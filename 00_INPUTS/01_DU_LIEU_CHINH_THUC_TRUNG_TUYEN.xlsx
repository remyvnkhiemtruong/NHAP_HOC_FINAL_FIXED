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46b0d9a4f44c62" /></Relationships>
</file>

<file path=xl/workbook.xml><?xml version="1.0" encoding="utf-8"?>
<x:workbook xmlns:x="http://schemas.openxmlformats.org/spreadsheetml/2006/main">
  <x:sheets>
    <x:sheet xmlns:r="http://schemas.openxmlformats.org/officeDocument/2006/relationships" name="Danh sách trúng tuyển" sheetId="1" r:id="R4d87f24f7ac04ee2"/>
    <x:sheet xmlns:r="http://schemas.openxmlformats.org/officeDocument/2006/relationships" name="Dữ liệu OCR gốc" sheetId="2" r:id="R1c7b593c60224e34"/>
    <x:sheet xmlns:r="http://schemas.openxmlformats.org/officeDocument/2006/relationships" name="Thông tin" sheetId="3" r:id="R55a446aeef454a5b"/>
    <x:sheet xmlns:r="http://schemas.openxmlformats.org/officeDocument/2006/relationships" name="Nhật ký sửa OCR" sheetId="4" r:id="R07ac927b1d664476"/>
    <x:sheet xmlns:r="http://schemas.openxmlformats.org/officeDocument/2006/relationships" name="Rà soát bổ sung" sheetId="5" r:id="Re1456a2a8b44473d"/>
    <x:sheet xmlns:r="http://schemas.openxmlformats.org/officeDocument/2006/relationships" name="Rà soát lần cuối" sheetId="6" r:id="R1bbf38779c854298"/>
    <x:sheet xmlns:r="http://schemas.openxmlformats.org/officeDocument/2006/relationships" name="Rà soát xác nhận" sheetId="7" r:id="R13f0ae8e65e64d3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dd/mm/yyyy"/>
    <x:numFmt numFmtId="202" formatCode="0.0"/>
    <x:numFmt numFmtId="203" formatCode="0"/>
    <x:numFmt numFmtId="204" formatCode="000000000000"/>
  </x:numFmts>
  <x:fonts count="11">
    <x:font>
      <x:sz val="11"/>
      <x:name val="Carlito"/>
    </x:font>
    <x:font>
      <x:b/>
      <x:sz val="16"/>
      <x:color rgb="FFFFFFFF"/>
      <x:name val="Carlito"/>
    </x:font>
    <x:font>
      <x:i/>
      <x:sz val="10"/>
      <x:color rgb="FF1F1F1F"/>
      <x:name val="Carlito"/>
    </x:font>
    <x:font>
      <x:b/>
      <x:sz val="10"/>
      <x:color rgb="FFFFFFFF"/>
      <x:name val="Carlito"/>
    </x:font>
    <x:font>
      <x:b/>
      <x:sz val="11"/>
      <x:color rgb="FFFFFFFF"/>
      <x:name val="Carlito"/>
    </x:font>
    <x:font>
      <x:b/>
      <x:sz val="15"/>
      <x:color rgb="FFFFFFFF"/>
      <x:name val="Carlito"/>
    </x:font>
    <x:font>
      <x:b/>
      <x:sz val="14"/>
      <x:color rgb="FFFFFFFF"/>
      <x:name val="Carlito"/>
    </x:font>
    <x:font>
      <x:i/>
      <x:sz val="11"/>
      <x:color rgb="FF1F1F1F"/>
      <x:name val="Carlito"/>
    </x:font>
    <x:font>
      <x:b/>
      <x:sz val="11"/>
      <x:name val="Carlito"/>
    </x:font>
    <x:font>
      <x:i/>
      <x:sz val="11"/>
      <x:color rgb="FF7F6000"/>
      <x:name val="Carlito"/>
    </x:font>
    <x:font>
      <x:b/>
      <x:sz val="11"/>
      <x:color rgb="FF375623"/>
      <x:name val="Carlito"/>
    </x:font>
  </x:fonts>
  <x:fills count="21">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7F6000"/>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E2F0D9"/>
      </x:patternFill>
    </x:fill>
  </x:fills>
  <x:borders count="51">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rder>
    <x:border>
      <x:top/>
    </x:border>
    <x:border>
      <x:right/>
      <x:top/>
    </x:border>
    <x:border>
      <x:left/>
      <x:bottom/>
    </x:border>
    <x:border>
      <x:bottom/>
    </x:border>
    <x:border>
      <x:right/>
      <x:bottom/>
    </x:border>
  </x:borders>
  <x:cellStyleXfs count="1">
    <x:xf numFmtId="0" fontId="0" fillId="0" borderId="0"/>
  </x:cellStyleXfs>
  <x:cellXfs count="3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xf numFmtId="0" fontId="0" fillId="0" borderId="8" xfId="0" applyNumberFormat="1" applyFont="1" applyFill="1" applyBorder="1" applyAlignment="1">
      <x:alignment horizontal="center" vertical="center" wrapText="1"/>
    </x:xf>
    <x:xf numFmtId="0" fontId="0" fillId="0" borderId="11" xfId="0" applyNumberFormat="1" applyFont="1" applyFill="1" applyBorder="1" applyAlignment="1">
      <x:alignment horizontal="center" vertical="center" wrapText="1"/>
    </x:xf>
    <x:xf numFmtId="0" fontId="0" fillId="0" borderId="13" xfId="0" applyNumberFormat="1" applyFont="1" applyFill="1" applyBorder="1" applyAlignment="1">
      <x:alignment horizontal="center" vertical="center" wrapText="1"/>
    </x:xf>
    <x:xf numFmtId="0" fontId="0" fillId="0" borderId="16" xfId="0" applyNumberFormat="1" applyFont="1" applyFill="1" applyBorder="1" applyAlignment="1">
      <x:alignment horizontal="center" vertical="center" wrapText="1"/>
    </x:xf>
    <x:xf numFmtId="0" fontId="0" fillId="0" borderId="19" xfId="0" applyNumberFormat="1" applyFont="1" applyFill="1" applyBorder="1" applyAlignment="1">
      <x:alignment horizontal="center" vertical="center" wrapText="1"/>
    </x:xf>
    <x:xf numFmtId="0" fontId="0" fillId="0" borderId="21" xfId="0" applyNumberFormat="1" applyFont="1" applyFill="1" applyBorder="1" applyAlignment="1">
      <x:alignment horizontal="center" vertical="center" wrapText="1"/>
    </x:xf>
    <x:xf numFmtId="0" fontId="0" fillId="0" borderId="9"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0" fillId="0" borderId="14" xfId="0" applyNumberFormat="1" applyFont="1" applyFill="1" applyBorder="1" applyAlignment="1">
      <x:alignment horizontal="center" vertical="center" wrapText="1"/>
    </x:xf>
    <x:xf numFmtId="0" fontId="0" fillId="0" borderId="17"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0" borderId="22" xfId="0" applyNumberFormat="1" applyFont="1" applyFill="1" applyBorder="1" applyAlignment="1">
      <x:alignment horizontal="center" vertical="center" wrapText="1"/>
    </x:xf>
    <x:xf numFmtId="200" fontId="0" fillId="0" borderId="9"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4" xfId="0" applyNumberFormat="1" applyFont="1" applyFill="1" applyBorder="1" applyAlignment="1">
      <x:alignment horizontal="center" vertical="center" wrapText="1"/>
    </x:xf>
    <x:xf numFmtId="200" fontId="0" fillId="0" borderId="17"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0" fontId="0" fillId="0" borderId="22" xfId="0" applyNumberFormat="1" applyFont="1" applyFill="1" applyBorder="1" applyAlignment="1">
      <x:alignment horizontal="center" vertical="center" wrapText="1"/>
    </x:xf>
    <x:xf numFmtId="201" fontId="0" fillId="0" borderId="9" xfId="0" applyNumberFormat="1" applyFont="1" applyFill="1" applyBorder="1" applyAlignment="1">
      <x:alignment horizontal="center" vertical="center" wrapText="1"/>
    </x:xf>
    <x:xf numFmtId="201" fontId="0" fillId="0" borderId="0" xfId="0" applyNumberFormat="1" applyFont="1" applyFill="1" applyBorder="1" applyAlignment="1">
      <x:alignment horizontal="center" vertical="center" wrapText="1"/>
    </x:xf>
    <x:xf numFmtId="201" fontId="0" fillId="0" borderId="14" xfId="0" applyNumberFormat="1" applyFont="1" applyFill="1" applyBorder="1" applyAlignment="1">
      <x:alignment horizontal="center" vertical="center" wrapText="1"/>
    </x:xf>
    <x:xf numFmtId="201" fontId="0" fillId="0" borderId="17" xfId="0" applyNumberFormat="1" applyFont="1" applyFill="1" applyBorder="1" applyAlignment="1">
      <x:alignment horizontal="center" vertical="center" wrapText="1"/>
    </x:xf>
    <x:xf numFmtId="201" fontId="0" fillId="0" borderId="1" xfId="0" applyNumberFormat="1" applyFont="1" applyFill="1" applyBorder="1" applyAlignment="1">
      <x:alignment horizontal="center" vertical="center" wrapText="1"/>
    </x:xf>
    <x:xf numFmtId="201" fontId="0" fillId="0" borderId="22" xfId="0" applyNumberFormat="1" applyFont="1" applyFill="1" applyBorder="1" applyAlignment="1">
      <x:alignment horizontal="center" vertical="center" wrapText="1"/>
    </x:xf>
    <x:xf numFmtId="202" fontId="0" fillId="0" borderId="9" xfId="0" applyNumberFormat="1" applyFont="1" applyFill="1" applyBorder="1" applyAlignment="1">
      <x:alignment horizontal="center" vertical="center" wrapText="1"/>
    </x:xf>
    <x:xf numFmtId="202" fontId="0" fillId="0" borderId="0" xfId="0" applyNumberFormat="1" applyFont="1" applyFill="1" applyBorder="1" applyAlignment="1">
      <x:alignment horizontal="center" vertical="center" wrapText="1"/>
    </x:xf>
    <x:xf numFmtId="202" fontId="0" fillId="0" borderId="14" xfId="0" applyNumberFormat="1" applyFont="1" applyFill="1" applyBorder="1" applyAlignment="1">
      <x:alignment horizontal="center" vertical="center" wrapText="1"/>
    </x:xf>
    <x:xf numFmtId="202" fontId="0" fillId="0" borderId="17" xfId="0" applyNumberFormat="1" applyFont="1" applyFill="1" applyBorder="1" applyAlignment="1">
      <x:alignment horizontal="center" vertical="center" wrapText="1"/>
    </x:xf>
    <x:xf numFmtId="202" fontId="0" fillId="0" borderId="1" xfId="0" applyNumberFormat="1" applyFont="1" applyFill="1" applyBorder="1" applyAlignment="1">
      <x:alignment horizontal="center" vertical="center" wrapText="1"/>
    </x:xf>
    <x:xf numFmtId="202" fontId="0" fillId="0" borderId="22" xfId="0" applyNumberFormat="1" applyFont="1" applyFill="1" applyBorder="1" applyAlignment="1">
      <x:alignment horizontal="center" vertical="center" wrapText="1"/>
    </x:xf>
    <x:xf numFmtId="203" fontId="0" fillId="0" borderId="9" xfId="0" applyNumberFormat="1" applyFont="1" applyFill="1" applyBorder="1" applyAlignment="1">
      <x:alignment horizontal="center" vertical="center" wrapText="1"/>
    </x:xf>
    <x:xf numFmtId="203" fontId="0" fillId="0" borderId="0" xfId="0" applyNumberFormat="1" applyFont="1" applyFill="1" applyBorder="1" applyAlignment="1">
      <x:alignment horizontal="center" vertical="center" wrapText="1"/>
    </x:xf>
    <x:xf numFmtId="203" fontId="0" fillId="0" borderId="14" xfId="0" applyNumberFormat="1" applyFont="1" applyFill="1" applyBorder="1" applyAlignment="1">
      <x:alignment horizontal="center" vertical="center" wrapText="1"/>
    </x:xf>
    <x:xf numFmtId="203" fontId="0" fillId="0" borderId="17" xfId="0" applyNumberFormat="1" applyFont="1" applyFill="1" applyBorder="1" applyAlignment="1">
      <x:alignment horizontal="center" vertical="center" wrapText="1"/>
    </x:xf>
    <x:xf numFmtId="203" fontId="0" fillId="0" borderId="1" xfId="0" applyNumberFormat="1" applyFont="1" applyFill="1" applyBorder="1" applyAlignment="1">
      <x:alignment horizontal="center" vertical="center" wrapText="1"/>
    </x:xf>
    <x:xf numFmtId="203" fontId="0" fillId="0" borderId="22"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24" xfId="0" applyNumberFormat="1" applyFont="1" applyFill="1" applyBorder="1"/>
    <x:xf numFmtId="0" fontId="0" fillId="0" borderId="24" xfId="0" applyNumberFormat="1" applyFont="1" applyFill="1" applyBorder="1" applyAlignment="1">
      <x:alignment wrapText="1"/>
    </x:xf>
    <x:xf numFmtId="0" fontId="0" fillId="0" borderId="24" xfId="0" applyNumberFormat="1" applyFont="1" applyFill="1" applyBorder="1" applyAlignment="1">
      <x:alignment vertical="center" wrapText="1"/>
    </x:xf>
    <x:xf numFmtId="0" fontId="0" fillId="0" borderId="25" xfId="0" applyNumberFormat="1" applyFont="1" applyFill="1" applyBorder="1"/>
    <x:xf numFmtId="0" fontId="0" fillId="0" borderId="25" xfId="0" applyNumberFormat="1" applyFont="1" applyFill="1" applyBorder="1" applyAlignment="1">
      <x:alignment wrapText="1"/>
    </x:xf>
    <x:xf numFmtId="0" fontId="0" fillId="0" borderId="25" xfId="0" applyNumberFormat="1" applyFont="1" applyFill="1" applyBorder="1" applyAlignment="1">
      <x:alignment vertical="center" wrapText="1"/>
    </x:xf>
    <x:xf numFmtId="0" fontId="0" fillId="0" borderId="24" xfId="0" applyNumberFormat="1" applyFont="1" applyFill="1" applyBorder="1" applyAlignment="1">
      <x:alignment horizontal="center" vertical="center" wrapText="1"/>
    </x:xf>
    <x:xf numFmtId="0" fontId="0" fillId="0" borderId="25" xfId="0" applyNumberFormat="1" applyFont="1" applyFill="1" applyBorder="1" applyAlignment="1">
      <x:alignment horizontal="center" vertical="center"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5" fillId="2" borderId="1" xfId="0" applyNumberFormat="1" applyFont="1" applyFill="1" applyBorder="1" applyAlignment="1">
      <x:alignment horizontal="center" vertical="center"/>
    </x:xf>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1" xfId="0" applyNumberFormat="1" applyFont="1" applyFill="1" applyBorder="1"/>
    <x:xf numFmtId="0" fontId="4" fillId="4" borderId="1" xfId="0" applyNumberFormat="1" applyFont="1" applyFill="1" applyBorder="1" applyAlignment="1">
      <x:alignment horizontal="center"/>
    </x:xf>
    <x:xf numFmtId="0" fontId="4" fillId="4" borderId="0" xfId="0" applyNumberFormat="1" applyFont="1" applyFill="1" applyBorder="1" applyAlignment="1">
      <x:alignment horizontal="center" wrapText="1"/>
    </x:xf>
    <x:xf numFmtId="0" fontId="4" fillId="4" borderId="1"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center" wrapText="1"/>
    </x:xf>
    <x:xf numFmtId="200" fontId="0" fillId="0" borderId="24"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0" fontId="0" fillId="0" borderId="25" xfId="0" applyNumberFormat="1" applyFont="1" applyFill="1" applyBorder="1" applyAlignment="1">
      <x:alignment vertical="center" wrapText="1"/>
    </x:xf>
    <x:xf numFmtId="204" fontId="0" fillId="0" borderId="9" xfId="0" applyNumberFormat="1" applyFont="1" applyFill="1" applyBorder="1" applyAlignment="1">
      <x:alignment horizontal="center" vertical="center" wrapText="1"/>
    </x:xf>
    <x:xf numFmtId="204" fontId="0" fillId="0" borderId="0" xfId="0" applyNumberFormat="1" applyFont="1" applyFill="1" applyBorder="1" applyAlignment="1">
      <x:alignment horizontal="center" vertical="center" wrapText="1"/>
    </x:xf>
    <x:xf numFmtId="204" fontId="0" fillId="0" borderId="14" xfId="0" applyNumberFormat="1" applyFont="1" applyFill="1" applyBorder="1" applyAlignment="1">
      <x:alignment horizontal="center" vertical="center" wrapText="1"/>
    </x:xf>
    <x:xf numFmtId="204" fontId="0" fillId="0" borderId="17" xfId="0" applyNumberFormat="1" applyFont="1" applyFill="1" applyBorder="1" applyAlignment="1">
      <x:alignment horizontal="center" vertical="center" wrapText="1"/>
    </x:xf>
    <x:xf numFmtId="204" fontId="0" fillId="0" borderId="1" xfId="0" applyNumberFormat="1" applyFont="1" applyFill="1" applyBorder="1" applyAlignment="1">
      <x:alignment horizontal="center" vertical="center" wrapText="1"/>
    </x:xf>
    <x:xf numFmtId="204" fontId="0" fillId="0" borderId="22" xfId="0" applyNumberFormat="1" applyFont="1" applyFill="1" applyBorder="1" applyAlignment="1">
      <x:alignment horizontal="center" vertical="center"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horizontal="center"/>
    </x:xf>
    <x:xf numFmtId="0" fontId="7" fillId="7" borderId="0"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horizontal="center" wrapText="1"/>
    </x:xf>
    <x:xf numFmtId="0" fontId="4" fillId="8" borderId="0" xfId="0" applyNumberFormat="1" applyFont="1" applyFill="1" applyBorder="1" applyAlignment="1">
      <x:alignment horizontal="center" vertical="center" wrapText="1"/>
    </x:xf>
    <x:xf numFmtId="0" fontId="0" fillId="0" xfId="0" applyNumberFormat="1" applyFont="1" applyFill="1" applyBorder="0"/>
    <x:xf numFmtId="0" fontId="0" fillId="0" borderId="26" xfId="0" applyNumberFormat="1" applyFont="1" applyFill="1" applyBorder="1"/>
    <x:xf numFmtId="0" fontId="0" fillId="0" xfId="0" applyNumberFormat="1" applyFont="1" applyFill="1" applyBorder="0" applyAlignment="1">
      <x:alignment wrapText="1"/>
    </x:xf>
    <x:xf numFmtId="0" fontId="0" fillId="0" borderId="26" xfId="0" applyNumberFormat="1" applyFont="1" applyFill="1" applyBorder="1" applyAlignment="1">
      <x:alignment wrapText="1"/>
    </x:xf>
    <x:xf numFmtId="0" fontId="0" fillId="0" xfId="0" applyNumberFormat="1" applyFont="1" applyFill="1" applyBorder="0" applyAlignment="1">
      <x:alignment vertical="center" wrapText="1"/>
    </x:xf>
    <x:xf numFmtId="0" fontId="0" fillId="0" borderId="26" xfId="0" applyNumberFormat="1" applyFont="1" applyFill="1" applyBorder="1" applyAlignment="1">
      <x:alignment vertical="center" wrapText="1"/>
    </x:xf>
    <x:xf numFmtId="0" fontId="0" fillId="0" xfId="0" applyNumberFormat="1" applyFont="1" applyFill="1" applyBorder="0" applyAlignment="1">
      <x:alignment horizontal="center" vertical="center" wrapText="1"/>
    </x:xf>
    <x:xf numFmtId="0" fontId="0" fillId="0" borderId="26" xfId="0" applyNumberFormat="1" applyFont="1" applyFill="1" applyBorder="1" applyAlignment="1">
      <x:alignment horizontal="center" vertical="center" wrapText="1"/>
    </x:xf>
    <x:xf numFmtId="0" fontId="8" fillId="0" xfId="0" applyNumberFormat="1" applyFont="1" applyFill="1" applyBorder="0" applyAlignment="1">
      <x:alignment vertical="center" wrapText="1"/>
    </x:xf>
    <x:xf numFmtId="0" fontId="8" fillId="0" borderId="26" xfId="0" applyNumberFormat="1" applyFont="1" applyFill="1" applyBorder="1" applyAlignment="1">
      <x:alignment vertical="center"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0" xfId="0" applyNumberFormat="1" applyFont="1" applyFill="1" applyBorder="1" applyAlignment="1">
      <x:alignment horizontal="center" vertical="center"/>
    </x:xf>
    <x:xf numFmtId="0" fontId="4" fillId="4" borderId="0" xfId="0" applyNumberFormat="1" applyFont="1" applyFill="1" applyBorder="1" applyAlignment="1">
      <x:alignment wrapText="1"/>
    </x:xf>
    <x:xf numFmtId="0" fontId="8" fillId="0" borderId="0" xfId="0" applyNumberFormat="1" applyFont="1" applyFill="1" applyBorder="1" applyAlignment="1">
      <x:alignment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6" fillId="9" borderId="0"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horizontal="center" wrapText="1"/>
    </x:xf>
    <x:xf numFmtId="0" fontId="7" fillId="10" borderId="0" xfId="0" applyNumberFormat="1" applyFont="1" applyFill="1" applyBorder="1" applyAlignment="1">
      <x:alignment horizontal="center"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horizontal="center"/>
    </x:xf>
    <x:xf numFmtId="0" fontId="4" fillId="11" borderId="0" xfId="0" applyNumberFormat="1" applyFont="1" applyFill="1" applyBorder="1" applyAlignment="1">
      <x:alignment horizontal="center" vertical="center"/>
    </x:xf>
    <x:xf numFmtId="0" fontId="8" fillId="0" borderId="0" xfId="0" applyNumberFormat="1" applyFont="1" applyFill="1" applyBorder="1"/>
    <x:xf numFmtId="0" fontId="4" fillId="11" borderId="27" xfId="0" applyNumberFormat="1" applyFont="1" applyFill="1" applyBorder="1" applyAlignment="1">
      <x:alignment horizontal="center" vertical="center"/>
    </x:xf>
    <x:xf numFmtId="0" fontId="4" fillId="11" borderId="28" xfId="0" applyNumberFormat="1" applyFont="1" applyFill="1" applyBorder="1" applyAlignment="1">
      <x:alignment horizontal="center" vertical="center"/>
    </x:xf>
    <x:xf numFmtId="0" fontId="8" fillId="0" borderId="29" xfId="0" applyNumberFormat="1" applyFont="1" applyFill="1" applyBorder="1"/>
    <x:xf numFmtId="0" fontId="0" fillId="0" borderId="30" xfId="0" applyNumberFormat="1" applyFont="1" applyFill="1" applyBorder="1"/>
    <x:xf numFmtId="0" fontId="8" fillId="0" borderId="31" xfId="0" applyNumberFormat="1" applyFont="1" applyFill="1" applyBorder="1"/>
    <x:xf numFmtId="0" fontId="0" fillId="0" borderId="32" xfId="0" applyNumberFormat="1" applyFont="1" applyFill="1" applyBorder="1"/>
    <x:xf numFmtId="0" fontId="4" fillId="11" borderId="27" xfId="0" applyNumberFormat="1" applyFont="1" applyFill="1" applyBorder="1" applyAlignment="1">
      <x:alignment horizontal="center" vertical="center" wrapText="1"/>
    </x:xf>
    <x:xf numFmtId="0" fontId="4" fillId="11" borderId="28" xfId="0" applyNumberFormat="1" applyFont="1" applyFill="1" applyBorder="1" applyAlignment="1">
      <x:alignment horizontal="center" vertical="center" wrapText="1"/>
    </x:xf>
    <x:xf numFmtId="0" fontId="8" fillId="0" borderId="29" xfId="0" applyNumberFormat="1" applyFont="1" applyFill="1" applyBorder="1" applyAlignment="1">
      <x:alignment wrapText="1"/>
    </x:xf>
    <x:xf numFmtId="0" fontId="0" fillId="0" borderId="30" xfId="0" applyNumberFormat="1" applyFont="1" applyFill="1" applyBorder="1" applyAlignment="1">
      <x:alignment wrapText="1"/>
    </x:xf>
    <x:xf numFmtId="0" fontId="8" fillId="0" borderId="31" xfId="0" applyNumberFormat="1" applyFont="1" applyFill="1" applyBorder="1" applyAlignment="1">
      <x:alignment wrapText="1"/>
    </x:xf>
    <x:xf numFmtId="0" fontId="0" fillId="0" borderId="32" xfId="0" applyNumberFormat="1" applyFont="1" applyFill="1" applyBorder="1" applyAlignment="1">
      <x:alignment wrapText="1"/>
    </x:xf>
    <x:xf numFmtId="0" fontId="8" fillId="0" borderId="29" xfId="0" applyNumberFormat="1" applyFont="1" applyFill="1" applyBorder="1" applyAlignment="1">
      <x:alignment vertical="center" wrapText="1"/>
    </x:xf>
    <x:xf numFmtId="0" fontId="0" fillId="0" borderId="30" xfId="0" applyNumberFormat="1" applyFont="1" applyFill="1" applyBorder="1" applyAlignment="1">
      <x:alignment vertical="center" wrapText="1"/>
    </x:xf>
    <x:xf numFmtId="0" fontId="8" fillId="0" borderId="31" xfId="0" applyNumberFormat="1" applyFont="1" applyFill="1" applyBorder="1" applyAlignment="1">
      <x:alignment vertical="center" wrapText="1"/>
    </x:xf>
    <x:xf numFmtId="0" fontId="0" fillId="0" borderId="32" xfId="0" applyNumberFormat="1" applyFont="1" applyFill="1" applyBorder="1" applyAlignment="1">
      <x:alignment vertical="center" wrapText="1"/>
    </x:xf>
    <x:xf numFmtId="0" fontId="4" fillId="11" borderId="33" xfId="0" applyNumberFormat="1" applyFont="1" applyFill="1" applyBorder="1" applyAlignment="1">
      <x:alignment horizontal="center" vertical="center" wrapText="1"/>
    </x:xf>
    <x:xf numFmtId="0" fontId="4" fillId="11" borderId="34" xfId="0" applyNumberFormat="1" applyFont="1" applyFill="1" applyBorder="1" applyAlignment="1">
      <x:alignment horizontal="center" vertical="center" wrapText="1"/>
    </x:xf>
    <x:xf numFmtId="0" fontId="4" fillId="11" borderId="0" xfId="0" applyNumberFormat="1" applyFont="1" applyFill="1" applyBorder="1" applyAlignment="1">
      <x:alignment wrapText="1"/>
    </x:xf>
    <x:xf numFmtId="0" fontId="4" fillId="11" borderId="0" xfId="0" applyNumberFormat="1" applyFont="1" applyFill="1" applyBorder="1" applyAlignment="1">
      <x:alignment horizontal="center" wrapText="1"/>
    </x:xf>
    <x:xf numFmtId="0" fontId="4" fillId="11" borderId="0" xfId="0" applyNumberFormat="1" applyFont="1" applyFill="1" applyBorder="1" applyAlignment="1">
      <x:alignment horizontal="center" vertical="center" wrapText="1"/>
    </x:xf>
    <x:xf numFmtId="0" fontId="0" fillId="0" borderId="27" xfId="0" applyNumberFormat="1" applyFont="1" applyFill="1" applyBorder="1"/>
    <x:xf numFmtId="0" fontId="0" fillId="0" borderId="35"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borderId="31" xfId="0" applyNumberFormat="1" applyFont="1" applyFill="1" applyBorder="1"/>
    <x:xf numFmtId="0" fontId="0" fillId="0" borderId="36" xfId="0" applyNumberFormat="1" applyFont="1" applyFill="1" applyBorder="1"/>
    <x:xf numFmtId="0" fontId="0" fillId="0" borderId="27" xfId="0" applyNumberFormat="1" applyFont="1" applyFill="1" applyBorder="1" applyAlignment="1">
      <x:alignment wrapText="1"/>
    </x:xf>
    <x:xf numFmtId="0" fontId="0" fillId="0" borderId="35"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6" xfId="0" applyNumberFormat="1" applyFont="1" applyFill="1" applyBorder="1" applyAlignment="1">
      <x:alignment wrapText="1"/>
    </x:xf>
    <x:xf numFmtId="0" fontId="0" fillId="0" borderId="27" xfId="0" applyNumberFormat="1" applyFont="1" applyFill="1" applyBorder="1" applyAlignment="1">
      <x:alignment vertical="center" wrapText="1"/>
    </x:xf>
    <x:xf numFmtId="0" fontId="0" fillId="0" borderId="35" xfId="0" applyNumberFormat="1" applyFont="1" applyFill="1" applyBorder="1" applyAlignment="1">
      <x:alignment vertical="center" wrapText="1"/>
    </x:xf>
    <x:xf numFmtId="0" fontId="0" fillId="0" borderId="28" xfId="0" applyNumberFormat="1" applyFont="1" applyFill="1" applyBorder="1" applyAlignment="1">
      <x:alignment vertical="center" wrapText="1"/>
    </x:xf>
    <x:xf numFmtId="0" fontId="0" fillId="0" borderId="29" xfId="0" applyNumberFormat="1" applyFont="1" applyFill="1" applyBorder="1" applyAlignment="1">
      <x:alignment vertical="center" wrapText="1"/>
    </x:xf>
    <x:xf numFmtId="0" fontId="0" fillId="0" borderId="31" xfId="0" applyNumberFormat="1" applyFont="1" applyFill="1" applyBorder="1" applyAlignment="1">
      <x:alignment vertical="center" wrapText="1"/>
    </x:xf>
    <x:xf numFmtId="0" fontId="0" fillId="0" borderId="36" xfId="0" applyNumberFormat="1" applyFont="1" applyFill="1" applyBorder="1" applyAlignment="1">
      <x:alignment vertical="center" wrapText="1"/>
    </x:xf>
    <x:xf numFmtId="0" fontId="0" fillId="0" borderId="27" xfId="0" applyNumberFormat="1" applyFont="1" applyFill="1" applyBorder="1" applyAlignment="1">
      <x:alignment horizontal="center" vertical="center" wrapText="1"/>
    </x:xf>
    <x:xf numFmtId="0" fontId="0" fillId="0" borderId="35" xfId="0" applyNumberFormat="1" applyFont="1" applyFill="1" applyBorder="1" applyAlignment="1">
      <x:alignment horizontal="center" vertical="center" wrapText="1"/>
    </x:xf>
    <x:xf numFmtId="0" fontId="0" fillId="0" borderId="29" xfId="0" applyNumberFormat="1" applyFont="1" applyFill="1" applyBorder="1" applyAlignment="1">
      <x:alignment horizontal="center" vertical="center" wrapText="1"/>
    </x:xf>
    <x:xf numFmtId="0" fontId="0" fillId="0" borderId="31" xfId="0" applyNumberFormat="1" applyFont="1" applyFill="1" applyBorder="1" applyAlignment="1">
      <x:alignment horizontal="center" vertical="center" wrapText="1"/>
    </x:xf>
    <x:xf numFmtId="0" fontId="0" fillId="0" borderId="36" xfId="0" applyNumberFormat="1" applyFont="1" applyFill="1" applyBorder="1" applyAlignment="1">
      <x:alignment horizontal="center" vertical="center"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9" fillId="12" borderId="0" xfId="0" applyNumberFormat="1" applyFont="1" applyFill="1" applyBorder="1" applyAlignment="1">
      <x:alignment vertical="center" wrapText="1"/>
    </x:xf>
    <x:xf numFmtId="0" fontId="8" fillId="0" borderId="36" xfId="0" applyNumberFormat="1" applyFont="1" applyFill="1" applyBorder="1" applyAlignment="1">
      <x:alignment vertical="center" wrapText="1"/>
    </x:xf>
    <x:xf numFmtId="0" fontId="7" fillId="3" borderId="0" xfId="0" applyNumberFormat="1" applyFont="1" applyFill="1" applyBorder="1" applyAlignment="1">
      <x:alignment wrapText="1"/>
    </x:xf>
    <x:xf numFmtId="0" fontId="7" fillId="3" borderId="0" xfId="0" applyNumberFormat="1" applyFont="1" applyFill="1" applyBorder="1" applyAlignment="1">
      <x:alignment horizontal="center" wrapText="1"/>
    </x:xf>
    <x:xf numFmtId="0" fontId="7" fillId="3"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center"/>
    </x:xf>
    <x:xf numFmtId="0" fontId="8" fillId="0" borderId="0" xfId="0" applyNumberFormat="1" applyFont="1" applyFill="1" applyBorder="1" applyAlignment="1">
      <x:alignment wrapText="1"/>
    </x:xf>
    <x:xf numFmtId="0" fontId="0" fillId="13" borderId="0" xfId="0" applyNumberFormat="1" applyFont="1" applyFill="1" applyBorder="1"/>
    <x:xf numFmtId="0" fontId="6" fillId="13" borderId="0" xfId="0" applyNumberFormat="1" applyFont="1" applyFill="1" applyBorder="1"/>
    <x:xf numFmtId="0" fontId="6" fillId="13" borderId="0" xfId="0" applyNumberFormat="1" applyFont="1" applyFill="1" applyBorder="1" applyAlignment="1">
      <x:alignment horizontal="center"/>
    </x:xf>
    <x:xf numFmtId="0" fontId="6" fillId="13" borderId="0" xfId="0" applyNumberFormat="1" applyFont="1" applyFill="1" applyBorder="1" applyAlignment="1">
      <x:alignment horizontal="center" vertical="center"/>
    </x:xf>
    <x:xf numFmtId="0" fontId="0" fillId="14" borderId="0" xfId="0" applyNumberFormat="1" applyFont="1" applyFill="1" applyBorder="1"/>
    <x:xf numFmtId="0" fontId="7" fillId="14" borderId="0" xfId="0" applyNumberFormat="1" applyFont="1" applyFill="1" applyBorder="1"/>
    <x:xf numFmtId="0" fontId="7" fillId="14" borderId="0" xfId="0" applyNumberFormat="1" applyFont="1" applyFill="1" applyBorder="1" applyAlignment="1">
      <x:alignment wrapText="1"/>
    </x:xf>
    <x:xf numFmtId="0" fontId="7" fillId="14" borderId="0" xfId="0" applyNumberFormat="1" applyFont="1" applyFill="1" applyBorder="1" applyAlignment="1">
      <x:alignment horizontal="center" wrapText="1"/>
    </x:xf>
    <x:xf numFmtId="0" fontId="7" fillId="14" borderId="0" xfId="0" applyNumberFormat="1" applyFont="1" applyFill="1" applyBorder="1" applyAlignment="1">
      <x:alignment horizontal="center" vertical="center" wrapText="1"/>
    </x:xf>
    <x:xf numFmtId="0" fontId="0" fillId="15" borderId="0" xfId="0" applyNumberFormat="1" applyFont="1" applyFill="1" applyBorder="1"/>
    <x:xf numFmtId="0" fontId="4" fillId="15" borderId="0" xfId="0" applyNumberFormat="1" applyFont="1" applyFill="1" applyBorder="1"/>
    <x:xf numFmtId="0" fontId="4" fillId="15" borderId="0" xfId="0" applyNumberFormat="1" applyFont="1" applyFill="1" applyBorder="1" applyAlignment="1">
      <x:alignment horizontal="center"/>
    </x:xf>
    <x:xf numFmtId="0" fontId="4" fillId="15" borderId="0" xfId="0" applyNumberFormat="1" applyFont="1" applyFill="1" applyBorder="1" applyAlignment="1">
      <x:alignment horizontal="center" vertical="center"/>
    </x:xf>
    <x:xf numFmtId="0" fontId="4" fillId="15" borderId="0" xfId="0" applyNumberFormat="1" applyFont="1" applyFill="1" applyBorder="1" applyAlignment="1">
      <x:alignment horizontal="center" vertical="center" wrapText="1"/>
    </x:xf>
    <x:xf numFmtId="0" fontId="4" fillId="15" borderId="0" xfId="0" applyNumberFormat="1" applyFont="1" applyFill="1" applyBorder="1" applyAlignment="1">
      <x:alignment wrapText="1"/>
    </x:xf>
    <x:xf numFmtId="0" fontId="4" fillId="15" borderId="0" xfId="0" applyNumberFormat="1" applyFont="1" applyFill="1" applyBorder="1" applyAlignment="1">
      <x:alignment horizontal="center" wrapText="1"/>
    </x:xf>
    <x:xf numFmtId="0" fontId="0" fillId="0" borderId="37" xfId="0" applyNumberFormat="1" applyFont="1" applyFill="1" applyBorder="1"/>
    <x:xf numFmtId="0" fontId="0" fillId="0" borderId="38" xfId="0" applyNumberFormat="1" applyFont="1" applyFill="1" applyBorder="1"/>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37" xfId="0" applyNumberFormat="1" applyFont="1" applyFill="1" applyBorder="1" applyAlignment="1">
      <x:alignment wrapText="1"/>
    </x:xf>
    <x:xf numFmtId="0" fontId="0" fillId="0" borderId="38" xfId="0" applyNumberFormat="1" applyFont="1" applyFill="1" applyBorder="1" applyAlignment="1">
      <x:alignment wrapText="1"/>
    </x:xf>
    <x:xf numFmtId="0" fontId="0" fillId="0" borderId="39"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37" xfId="0" applyNumberFormat="1" applyFont="1" applyFill="1" applyBorder="1" applyAlignment="1">
      <x:alignment vertical="center" wrapText="1"/>
    </x:xf>
    <x:xf numFmtId="0" fontId="0" fillId="0" borderId="38" xfId="0" applyNumberFormat="1" applyFont="1" applyFill="1" applyBorder="1" applyAlignment="1">
      <x:alignment vertical="center" wrapText="1"/>
    </x:xf>
    <x:xf numFmtId="0" fontId="0" fillId="0" borderId="39" xfId="0" applyNumberFormat="1" applyFont="1" applyFill="1" applyBorder="1" applyAlignment="1">
      <x:alignment vertical="center" wrapText="1"/>
    </x:xf>
    <x:xf numFmtId="0" fontId="0" fillId="0" borderId="40" xfId="0" applyNumberFormat="1" applyFont="1" applyFill="1" applyBorder="1" applyAlignment="1">
      <x:alignment vertical="center" wrapText="1"/>
    </x:xf>
    <x:xf numFmtId="0" fontId="0" fillId="0" borderId="41" xfId="0" applyNumberFormat="1" applyFont="1" applyFill="1" applyBorder="1" applyAlignment="1">
      <x:alignment vertical="center" wrapText="1"/>
    </x:xf>
    <x:xf numFmtId="0" fontId="0" fillId="0" borderId="42" xfId="0" applyNumberFormat="1" applyFont="1" applyFill="1" applyBorder="1" applyAlignment="1">
      <x:alignment vertical="center" wrapText="1"/>
    </x:xf>
    <x:xf numFmtId="0" fontId="0" fillId="0" borderId="43" xfId="0" applyNumberFormat="1" applyFont="1" applyFill="1" applyBorder="1" applyAlignment="1">
      <x:alignment vertical="center" wrapText="1"/>
    </x:xf>
    <x:xf numFmtId="0" fontId="0" fillId="0" borderId="44" xfId="0" applyNumberFormat="1" applyFont="1" applyFill="1" applyBorder="1" applyAlignment="1">
      <x:alignment vertical="center" wrapText="1"/>
    </x:xf>
    <x:xf numFmtId="0" fontId="0" fillId="0" borderId="37" xfId="0" applyNumberFormat="1" applyFont="1" applyFill="1" applyBorder="1" applyAlignment="1">
      <x:alignment horizontal="center" vertical="center" wrapText="1"/>
    </x:xf>
    <x:xf numFmtId="0" fontId="0" fillId="0" borderId="38" xfId="0" applyNumberFormat="1" applyFont="1" applyFill="1" applyBorder="1" applyAlignment="1">
      <x:alignment horizontal="center" vertical="center" wrapText="1"/>
    </x:xf>
    <x:xf numFmtId="0" fontId="0" fillId="0" borderId="40" xfId="0" applyNumberFormat="1" applyFont="1" applyFill="1" applyBorder="1" applyAlignment="1">
      <x:alignment horizontal="center" vertical="center" wrapText="1"/>
    </x:xf>
    <x:xf numFmtId="0" fontId="0" fillId="0" borderId="42" xfId="0" applyNumberFormat="1" applyFont="1" applyFill="1" applyBorder="1" applyAlignment="1">
      <x:alignment horizontal="center" vertical="center" wrapText="1"/>
    </x:xf>
    <x:xf numFmtId="0" fontId="0" fillId="0" borderId="43" xfId="0" applyNumberFormat="1" applyFont="1" applyFill="1" applyBorder="1" applyAlignment="1">
      <x:alignment horizontal="center" vertical="center" wrapText="1"/>
    </x:xf>
    <x:xf numFmtId="0" fontId="0" fillId="16" borderId="0" xfId="0" applyNumberFormat="1" applyFont="1" applyFill="1" applyBorder="1"/>
    <x:xf numFmtId="0" fontId="9" fillId="16" borderId="0" xfId="0" applyNumberFormat="1" applyFont="1" applyFill="1" applyBorder="1"/>
    <x:xf numFmtId="0" fontId="9" fillId="16" borderId="0" xfId="0" applyNumberFormat="1" applyFont="1" applyFill="1" applyBorder="1" applyAlignment="1">
      <x:alignment wrapText="1"/>
    </x:xf>
    <x:xf numFmtId="0" fontId="9" fillId="16" borderId="0" xfId="0" applyNumberFormat="1" applyFont="1" applyFill="1" applyBorder="1" applyAlignment="1">
      <x:alignment vertical="center" wrapText="1"/>
    </x:xf>
    <x:xf numFmtId="0" fontId="8" fillId="0" borderId="43" xfId="0" applyNumberFormat="1" applyFont="1" applyFill="1" applyBorder="1" applyAlignment="1">
      <x:alignment vertical="center" wrapText="1"/>
    </x:xf>
    <x:xf numFmtId="0" fontId="0" fillId="17" borderId="0" xfId="0" applyNumberFormat="1" applyFont="1" applyFill="1" applyBorder="1"/>
    <x:xf numFmtId="0" fontId="6" fillId="17" borderId="0" xfId="0" applyNumberFormat="1" applyFont="1" applyFill="1" applyBorder="1"/>
    <x:xf numFmtId="0" fontId="6" fillId="17" borderId="0" xfId="0" applyNumberFormat="1" applyFont="1" applyFill="1" applyBorder="1" applyAlignment="1">
      <x:alignment horizontal="center"/>
    </x:xf>
    <x:xf numFmtId="0" fontId="6" fillId="17" borderId="0" xfId="0" applyNumberFormat="1" applyFont="1" applyFill="1" applyBorder="1" applyAlignment="1">
      <x:alignment horizontal="center" vertical="center"/>
    </x:xf>
    <x:xf numFmtId="0" fontId="0" fillId="18" borderId="0" xfId="0" applyNumberFormat="1" applyFont="1" applyFill="1" applyBorder="1"/>
    <x:xf numFmtId="0" fontId="7" fillId="18" borderId="0" xfId="0" applyNumberFormat="1" applyFont="1" applyFill="1" applyBorder="1"/>
    <x:xf numFmtId="0" fontId="7" fillId="18" borderId="0" xfId="0" applyNumberFormat="1" applyFont="1" applyFill="1" applyBorder="1" applyAlignment="1">
      <x:alignment wrapText="1"/>
    </x:xf>
    <x:xf numFmtId="0" fontId="7" fillId="18" borderId="0" xfId="0" applyNumberFormat="1" applyFont="1" applyFill="1" applyBorder="1" applyAlignment="1">
      <x:alignment horizontal="center" wrapText="1"/>
    </x:xf>
    <x:xf numFmtId="0" fontId="7" fillId="18" borderId="0" xfId="0" applyNumberFormat="1" applyFont="1" applyFill="1" applyBorder="1" applyAlignment="1">
      <x:alignment horizontal="center" vertical="center" wrapText="1"/>
    </x:xf>
    <x:xf numFmtId="0" fontId="0" fillId="19" borderId="0" xfId="0" applyNumberFormat="1" applyFont="1" applyFill="1" applyBorder="1"/>
    <x:xf numFmtId="0" fontId="4" fillId="19" borderId="0" xfId="0" applyNumberFormat="1" applyFont="1" applyFill="1" applyBorder="1"/>
    <x:xf numFmtId="0" fontId="4" fillId="19" borderId="0" xfId="0" applyNumberFormat="1" applyFont="1" applyFill="1" applyBorder="1" applyAlignment="1">
      <x:alignment horizontal="center"/>
    </x:xf>
    <x:xf numFmtId="0" fontId="4" fillId="19" borderId="0" xfId="0" applyNumberFormat="1" applyFont="1" applyFill="1" applyBorder="1" applyAlignment="1">
      <x:alignment horizontal="center" vertical="center"/>
    </x:xf>
    <x:xf numFmtId="0" fontId="4" fillId="19" borderId="0" xfId="0" applyNumberFormat="1" applyFont="1" applyFill="1" applyBorder="1" applyAlignment="1">
      <x:alignment horizontal="center" vertical="center" wrapText="1"/>
    </x:xf>
    <x:xf numFmtId="0" fontId="4" fillId="19" borderId="0" xfId="0" applyNumberFormat="1" applyFont="1" applyFill="1" applyBorder="1" applyAlignment="1">
      <x:alignment wrapText="1"/>
    </x:xf>
    <x:xf numFmtId="0" fontId="4" fillId="19" borderId="0" xfId="0" applyNumberFormat="1" applyFont="1" applyFill="1" applyBorder="1" applyAlignment="1">
      <x:alignment horizontal="center" wrapText="1"/>
    </x:xf>
    <x:xf numFmtId="0" fontId="0" fillId="0" borderId="45" xfId="0" applyNumberFormat="1" applyFont="1" applyFill="1" applyBorder="1"/>
    <x:xf numFmtId="0" fontId="0" fillId="0" borderId="46" xfId="0" applyNumberFormat="1" applyFont="1" applyFill="1" applyBorder="1"/>
    <x:xf numFmtId="0" fontId="0" fillId="0" borderId="47" xfId="0" applyNumberFormat="1" applyFont="1" applyFill="1" applyBorder="1"/>
    <x:xf numFmtId="0" fontId="0" fillId="0" borderId="48" xfId="0" applyNumberFormat="1" applyFont="1" applyFill="1" applyBorder="1"/>
    <x:xf numFmtId="0" fontId="0" fillId="0" borderId="49" xfId="0" applyNumberFormat="1" applyFont="1" applyFill="1" applyBorder="1"/>
    <x:xf numFmtId="0" fontId="0" fillId="0" borderId="50" xfId="0" applyNumberFormat="1" applyFont="1" applyFill="1" applyBorder="1"/>
    <x:xf numFmtId="0" fontId="0" fillId="0" borderId="45" xfId="0" applyNumberFormat="1" applyFont="1" applyFill="1" applyBorder="1" applyAlignment="1">
      <x:alignment wrapText="1"/>
    </x:xf>
    <x:xf numFmtId="0" fontId="0" fillId="0" borderId="46" xfId="0" applyNumberFormat="1" applyFont="1" applyFill="1" applyBorder="1" applyAlignment="1">
      <x:alignment wrapText="1"/>
    </x:xf>
    <x:xf numFmtId="0" fontId="0" fillId="0" borderId="47" xfId="0" applyNumberFormat="1" applyFont="1" applyFill="1" applyBorder="1" applyAlignment="1">
      <x:alignment wrapText="1"/>
    </x:xf>
    <x:xf numFmtId="0" fontId="0" fillId="0" borderId="48" xfId="0" applyNumberFormat="1" applyFont="1" applyFill="1" applyBorder="1" applyAlignment="1">
      <x:alignment wrapText="1"/>
    </x:xf>
    <x:xf numFmtId="0" fontId="0" fillId="0" borderId="49" xfId="0" applyNumberFormat="1" applyFont="1" applyFill="1" applyBorder="1" applyAlignment="1">
      <x:alignment wrapText="1"/>
    </x:xf>
    <x:xf numFmtId="0" fontId="0" fillId="0" borderId="50" xfId="0" applyNumberFormat="1" applyFont="1" applyFill="1" applyBorder="1" applyAlignment="1">
      <x:alignment wrapText="1"/>
    </x:xf>
    <x:xf numFmtId="0" fontId="0" fillId="0" borderId="45" xfId="0" applyNumberFormat="1" applyFont="1" applyFill="1" applyBorder="1" applyAlignment="1">
      <x:alignment vertical="center" wrapText="1"/>
    </x:xf>
    <x:xf numFmtId="0" fontId="0" fillId="0" borderId="46" xfId="0" applyNumberFormat="1" applyFont="1" applyFill="1" applyBorder="1" applyAlignment="1">
      <x:alignment vertical="center" wrapText="1"/>
    </x:xf>
    <x:xf numFmtId="0" fontId="0" fillId="0" borderId="47" xfId="0" applyNumberFormat="1" applyFont="1" applyFill="1" applyBorder="1" applyAlignment="1">
      <x:alignment vertical="center" wrapText="1"/>
    </x:xf>
    <x:xf numFmtId="0" fontId="0" fillId="0" borderId="48" xfId="0" applyNumberFormat="1" applyFont="1" applyFill="1" applyBorder="1" applyAlignment="1">
      <x:alignment vertical="center" wrapText="1"/>
    </x:xf>
    <x:xf numFmtId="0" fontId="0" fillId="0" borderId="49" xfId="0" applyNumberFormat="1" applyFont="1" applyFill="1" applyBorder="1" applyAlignment="1">
      <x:alignment vertical="center" wrapText="1"/>
    </x:xf>
    <x:xf numFmtId="0" fontId="0" fillId="0" borderId="50" xfId="0" applyNumberFormat="1" applyFont="1" applyFill="1" applyBorder="1" applyAlignment="1">
      <x:alignment vertical="center" wrapText="1"/>
    </x:xf>
    <x:xf numFmtId="0" fontId="0" fillId="0" borderId="45" xfId="0" applyNumberFormat="1" applyFont="1" applyFill="1" applyBorder="1" applyAlignment="1">
      <x:alignment horizontal="center" vertical="center" wrapText="1"/>
    </x:xf>
    <x:xf numFmtId="0" fontId="0" fillId="0" borderId="46" xfId="0" applyNumberFormat="1" applyFont="1" applyFill="1" applyBorder="1" applyAlignment="1">
      <x:alignment horizontal="center" vertical="center" wrapText="1"/>
    </x:xf>
    <x:xf numFmtId="0" fontId="0" fillId="0" borderId="48" xfId="0" applyNumberFormat="1" applyFont="1" applyFill="1" applyBorder="1" applyAlignment="1">
      <x:alignment horizontal="center" vertical="center" wrapText="1"/>
    </x:xf>
    <x:xf numFmtId="0" fontId="0" fillId="0" borderId="49" xfId="0" applyNumberFormat="1" applyFont="1" applyFill="1" applyBorder="1" applyAlignment="1">
      <x:alignment horizontal="center" vertical="center" wrapText="1"/>
    </x:xf>
    <x:xf numFmtId="0" fontId="0" fillId="20" borderId="0" xfId="0" applyNumberFormat="1" applyFont="1" applyFill="1" applyBorder="1"/>
    <x:xf numFmtId="0" fontId="10" fillId="20" borderId="0" xfId="0" applyNumberFormat="1" applyFont="1" applyFill="1" applyBorder="1"/>
    <x:xf numFmtId="0" fontId="10" fillId="20" borderId="0" xfId="0" applyNumberFormat="1" applyFont="1" applyFill="1" applyBorder="1" applyAlignment="1">
      <x:alignment wrapText="1"/>
    </x:xf>
    <x:xf numFmtId="0" fontId="10" fillId="20" borderId="0" xfId="0" applyNumberFormat="1" applyFont="1" applyFill="1" applyBorder="1" applyAlignment="1">
      <x:alignment vertical="center" wrapText="1"/>
    </x:xf>
    <x:xf numFmtId="0" fontId="8" fillId="0" borderId="4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f3dd0154054b41" /><Relationship Type="http://schemas.openxmlformats.org/officeDocument/2006/relationships/theme" Target="/xl/theme/theme1.xml" Id="R949d992761a94278" /><Relationship Type="http://schemas.openxmlformats.org/officeDocument/2006/relationships/sharedStrings" Target="/xl/sharedStrings.xml" Id="R36d0f76ba1dd4947" /><Relationship Type="http://schemas.openxmlformats.org/officeDocument/2006/relationships/worksheet" Target="/xl/worksheets/sheet1.xml" Id="R4d87f24f7ac04ee2" /><Relationship Type="http://schemas.openxmlformats.org/officeDocument/2006/relationships/worksheet" Target="/xl/worksheets/sheet2.xml" Id="R1c7b593c60224e34" /><Relationship Type="http://schemas.openxmlformats.org/officeDocument/2006/relationships/worksheet" Target="/xl/worksheets/sheet3.xml" Id="R55a446aeef454a5b" /><Relationship Type="http://schemas.openxmlformats.org/officeDocument/2006/relationships/worksheet" Target="/xl/worksheets/sheet4.xml" Id="R07ac927b1d664476" /><Relationship Type="http://schemas.openxmlformats.org/officeDocument/2006/relationships/worksheet" Target="/xl/worksheets/sheet5.xml" Id="Re1456a2a8b44473d" /><Relationship Type="http://schemas.openxmlformats.org/officeDocument/2006/relationships/worksheet" Target="/xl/worksheets/sheet6.xml" Id="R1bbf38779c854298" /><Relationship Type="http://schemas.openxmlformats.org/officeDocument/2006/relationships/worksheet" Target="/xl/worksheets/sheet7.xml" Id="R13f0ae8e65e64d34" /></Relationships>
</file>

<file path=xl/tables/table1.xml><?xml version="1.0" encoding="utf-8"?>
<x:table xmlns:x="http://schemas.openxmlformats.org/spreadsheetml/2006/main" id="1" name="AdmissionListTable" displayName="AdmissionListTable" ref="A4:O934" headerRowCount="1">
  <x:tableColumns count="15">
    <x:tableColumn id="1" name="TT"/>
    <x:tableColumn id="2" name="Mã định danh cá nhân/CCCD"/>
    <x:tableColumn id="3" name="Họ và tên"/>
    <x:tableColumn id="4" name="Nữ"/>
    <x:tableColumn id="5" name="Ngày tháng năm sinh"/>
    <x:tableColumn id="6" name="Dân tộc"/>
    <x:tableColumn id="7" name="Nơi cư trú (Xã/Phường)"/>
    <x:tableColumn id="8" name="Trường THCS - Tên trường"/>
    <x:tableColumn id="9" name="Trường THCS - Xã/Phường"/>
    <x:tableColumn id="10" name="Tổng ĐTB môn cả năm các môn học của 4 năm cấp THCS"/>
    <x:tableColumn id="11" name="Tổng điểm quy đổi của 4 năm cấp THCS"/>
    <x:tableColumn id="12" name="Điểm ưu tiên"/>
    <x:tableColumn id="13" name="Điểm khuyến khích"/>
    <x:tableColumn id="14" name="Điểm xét tuyển"/>
    <x:tableColumn id="15" name="Ghi chú"/>
  </x:tableColumns>
  <x:tableStyleInfo name="TableStyleMedium2" showRowStripes="1"/>
</x:table>
</file>

<file path=xl/tables/table2.xml><?xml version="1.0" encoding="utf-8"?>
<x:table xmlns:x="http://schemas.openxmlformats.org/spreadsheetml/2006/main" id="2" name="RawOcrTable" displayName="RawOcrTable" ref="A1:P931" headerRowCount="1">
  <x:tableColumns count="16">
    <x:tableColumn id="1" name="Trang nguồn"/>
    <x:tableColumn id="2" name="TT"/>
    <x:tableColumn id="3" name="Mã định danh cá nhân/CCCD"/>
    <x:tableColumn id="4" name="Họ và tên"/>
    <x:tableColumn id="5" name="Nữ"/>
    <x:tableColumn id="6" name="Ngày tháng năm sinh"/>
    <x:tableColumn id="7" name="Dân tộc"/>
    <x:tableColumn id="8" name="Nơi cư trú (Xã/Phường)"/>
    <x:tableColumn id="9" name="Trường THCS - Tên trường"/>
    <x:tableColumn id="10" name="Trường THCS - Xã/Phường"/>
    <x:tableColumn id="11" name="Tổng ĐTB môn cả năm các môn học của 4 năm cấp THCS"/>
    <x:tableColumn id="12" name="Tổng điểm quy đổi của 4 năm cấp THCS"/>
    <x:tableColumn id="13" name="Điểm ưu tiên"/>
    <x:tableColumn id="14" name="Điểm khuyến khích"/>
    <x:tableColumn id="15" name="Điểm xét tuyển"/>
    <x:tableColumn id="16" name="Ghi chú"/>
  </x:tableColumns>
  <x:tableStyleInfo name="TableStyleMedium2" showRowStripes="1"/>
</x:table>
</file>

<file path=xl/tables/table3.xml><?xml version="1.0" encoding="utf-8"?>
<x:table xmlns:x="http://schemas.openxmlformats.org/spreadsheetml/2006/main" id="3" name="OcrCorrectionLogTable" displayName="OcrCorrectionLogTable" ref="A4:F148" headerRowCount="1">
  <x:tableColumns count="6">
    <x:tableColumn id="1" name="TT"/>
    <x:tableColumn id="2" name="Trang PDF"/>
    <x:tableColumn id="3" name="Cột dữ liệu"/>
    <x:tableColumn id="4" name="Giá trị trước"/>
    <x:tableColumn id="5" name="Giá trị sau"/>
    <x:tableColumn id="6" name="Căn cứ sửa"/>
  </x:tableColumns>
  <x:tableStyleInfo name="TableStyleMedium2" showRowStripes="1"/>
</x:table>
</file>

<file path=xl/tables/table4.xml><?xml version="1.0" encoding="utf-8"?>
<x:table xmlns:x="http://schemas.openxmlformats.org/spreadsheetml/2006/main" id="4" name="AdditionalOcrReviewTable" displayName="AdditionalOcrReviewTable" ref="A15:G27" headerRowCount="1">
  <x:tableColumns count="7">
    <x:tableColumn id="1" name="TT"/>
    <x:tableColumn id="2" name="Trang PDF"/>
    <x:tableColumn id="3" name="Cột dữ liệu"/>
    <x:tableColumn id="4" name="Giá trị trước"/>
    <x:tableColumn id="5" name="Giá trị sau"/>
    <x:tableColumn id="6" name="Loại lỗi"/>
    <x:tableColumn id="7" name="Căn cứ sửa"/>
  </x:tableColumns>
  <x:tableStyleInfo name="TableStyleMedium2" showRowStripes="1"/>
</x:table>
</file>

<file path=xl/tables/table5.xml><?xml version="1.0" encoding="utf-8"?>
<x:table xmlns:x="http://schemas.openxmlformats.org/spreadsheetml/2006/main" id="5" name="FinalOcrReviewTable" displayName="FinalOcrReviewTable" ref="A14:G20" headerRowCount="1">
  <x:tableColumns count="7">
    <x:tableColumn id="1" name="TT"/>
    <x:tableColumn id="2" name="Trang PDF"/>
    <x:tableColumn id="3" name="Cột dữ liệu"/>
    <x:tableColumn id="4" name="Giá trị trước"/>
    <x:tableColumn id="5" name="Giá trị sau"/>
    <x:tableColumn id="6" name="Loại lỗi"/>
    <x:tableColumn id="7" name="Căn cứ"/>
  </x:tableColumns>
  <x:tableStyleInfo name="TableStyleMedium2" showRowStripes="1"/>
</x:table>
</file>

<file path=xl/tables/table6.xml><?xml version="1.0" encoding="utf-8"?>
<x:table xmlns:x="http://schemas.openxmlformats.org/spreadsheetml/2006/main" id="6" name="ConfirmationReviewTable" displayName="ConfirmationReviewTable" ref="A15:G17" headerRowCount="1">
  <x:tableColumns count="7">
    <x:tableColumn id="1" name="TT"/>
    <x:tableColumn id="2" name="Trang PDF"/>
    <x:tableColumn id="3" name="Cột dữ liệu"/>
    <x:tableColumn id="4" name="Giá trị trước"/>
    <x:tableColumn id="5" name="Giá trị sau"/>
    <x:tableColumn id="6" name="Loại lỗi"/>
    <x:tableColumn id="7" name="Căn cứ sử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0528fd00a154125" /></Relationships>
</file>

<file path=xl/worksheets/_rels/sheet2.xml.rels>&#65279;<?xml version="1.0" encoding="utf-8"?><Relationships xmlns="http://schemas.openxmlformats.org/package/2006/relationships"><Relationship Type="http://schemas.openxmlformats.org/officeDocument/2006/relationships/table" Target="/xl/tables/table2.xml" Id="Rd06bec4746604293" /></Relationships>
</file>

<file path=xl/worksheets/_rels/sheet4.xml.rels>&#65279;<?xml version="1.0" encoding="utf-8"?><Relationships xmlns="http://schemas.openxmlformats.org/package/2006/relationships"><Relationship Type="http://schemas.openxmlformats.org/officeDocument/2006/relationships/table" Target="/xl/tables/table3.xml" Id="Raf9b9b59804242b4" /></Relationships>
</file>

<file path=xl/worksheets/_rels/sheet5.xml.rels>&#65279;<?xml version="1.0" encoding="utf-8"?><Relationships xmlns="http://schemas.openxmlformats.org/package/2006/relationships"><Relationship Type="http://schemas.openxmlformats.org/officeDocument/2006/relationships/table" Target="/xl/tables/table4.xml" Id="R1a2d570fb55f4770" /></Relationships>
</file>

<file path=xl/worksheets/_rels/sheet6.xml.rels>&#65279;<?xml version="1.0" encoding="utf-8"?><Relationships xmlns="http://schemas.openxmlformats.org/package/2006/relationships"><Relationship Type="http://schemas.openxmlformats.org/officeDocument/2006/relationships/table" Target="/xl/tables/table5.xml" Id="R5a7a63b55b394a55" /></Relationships>
</file>

<file path=xl/worksheets/_rels/sheet7.xml.rels>&#65279;<?xml version="1.0" encoding="utf-8"?><Relationships xmlns="http://schemas.openxmlformats.org/package/2006/relationships"><Relationship Type="http://schemas.openxmlformats.org/officeDocument/2006/relationships/table" Target="/xl/tables/table6.xml" Id="R3414a092a7f446fb" /></Relationships>
</file>

<file path=xl/worksheets/sheet1.xml><?xml version="1.0" encoding="utf-8"?>
<x:worksheet xmlns:x="http://schemas.openxmlformats.org/spreadsheetml/2006/main">
  <x:sheetFormatPr defaultRowHeight="15"/>
  <x:cols>
    <x:col min="1" max="1" width="6" hidden="0" customWidth="1"/>
    <x:col min="2" max="2" width="19" hidden="0" customWidth="1"/>
    <x:col min="3" max="3" width="28" hidden="0" customWidth="1"/>
    <x:col min="4" max="4" width="6" hidden="0" customWidth="1"/>
    <x:col min="5" max="5" width="15" hidden="0" customWidth="1"/>
    <x:col min="6" max="6" width="10" hidden="0" customWidth="1"/>
    <x:col min="7" max="7" width="21" hidden="0" customWidth="1"/>
    <x:col min="8" max="8" width="28" hidden="0" customWidth="1"/>
    <x:col min="9" max="9" width="21" hidden="0" customWidth="1"/>
    <x:col min="10" max="10" width="18" hidden="0" customWidth="1"/>
    <x:col min="11" max="11" width="17" hidden="0" customWidth="1"/>
    <x:col min="12" max="12" width="12" hidden="0" customWidth="1"/>
    <x:col min="13" max="13" width="14" hidden="0" customWidth="1"/>
    <x:col min="14" max="14" width="13" hidden="0" customWidth="1"/>
    <x:col min="15" max="15" width="18" hidden="0" customWidth="1"/>
  </x:cols>
  <x:sheetData>
    <x:row r="1" ht="32" customHeight="1">
      <x:c r="A1" s="5" t="str">
        <x:v>DANH SÁCH HỌC SINH TRÚNG TUYỂN VÀO LỚP 10, NĂM HỌC 2026 - 2027</x:v>
      </x:c>
      <x:c r="B1" s="5"/>
      <x:c r="C1" s="5"/>
      <x:c r="D1" s="5"/>
      <x:c r="E1" s="5"/>
      <x:c r="F1" s="5"/>
      <x:c r="G1" s="5"/>
      <x:c r="H1" s="5"/>
      <x:c r="I1" s="5"/>
      <x:c r="J1" s="5"/>
      <x:c r="K1" s="5"/>
      <x:c r="L1" s="5"/>
      <x:c r="M1" s="5"/>
      <x:c r="N1" s="5"/>
      <x:c r="O1" s="5"/>
    </x:row>
    <x:row r="2" ht="22" customHeight="1">
      <x:c r="A2" s="13" t="str">
        <x:v>Trường THPT Võ Văn Kiệt - Chuyển đổi từ PDF đính kèm</x:v>
      </x:c>
      <x:c r="B2" s="13"/>
      <x:c r="C2" s="13"/>
      <x:c r="D2" s="13"/>
      <x:c r="E2" s="13"/>
      <x:c r="F2" s="13"/>
      <x:c r="G2" s="13"/>
      <x:c r="H2" s="13"/>
      <x:c r="I2" s="13"/>
      <x:c r="J2" s="13"/>
      <x:c r="K2" s="13"/>
      <x:c r="L2" s="13"/>
      <x:c r="M2" s="13"/>
      <x:c r="N2" s="13"/>
      <x:c r="O2" s="13"/>
    </x:row>
    <x:row r="4" ht="62" customHeight="1">
      <x:c r="A4" s="29" t="str">
        <x:v>TT</x:v>
      </x:c>
      <x:c r="B4" s="30" t="str">
        <x:v>Mã định danh cá nhân/CCCD</x:v>
      </x:c>
      <x:c r="C4" s="30" t="str">
        <x:v>Họ và tên</x:v>
      </x:c>
      <x:c r="D4" s="30" t="str">
        <x:v>Nữ</x:v>
      </x:c>
      <x:c r="E4" s="30" t="str">
        <x:v>Ngày tháng năm sinh</x:v>
      </x:c>
      <x:c r="F4" s="30" t="str">
        <x:v>Dân tộc</x:v>
      </x:c>
      <x:c r="G4" s="30" t="str">
        <x:v>Nơi cư trú (Xã/Phường)</x:v>
      </x:c>
      <x:c r="H4" s="30" t="str">
        <x:v>Trường THCS - Tên trường</x:v>
      </x:c>
      <x:c r="I4" s="30" t="str">
        <x:v>Trường THCS - Xã/Phường</x:v>
      </x:c>
      <x:c r="J4" s="30" t="str">
        <x:v>Tổng ĐTB môn cả năm các môn học của 4 năm cấp THCS</x:v>
      </x:c>
      <x:c r="K4" s="30" t="str">
        <x:v>Tổng điểm quy đổi của 4 năm cấp THCS</x:v>
      </x:c>
      <x:c r="L4" s="30" t="str">
        <x:v>Điểm ưu tiên</x:v>
      </x:c>
      <x:c r="M4" s="30" t="str">
        <x:v>Điểm khuyến khích</x:v>
      </x:c>
      <x:c r="N4" s="30" t="str">
        <x:v>Điểm xét tuyển</x:v>
      </x:c>
      <x:c r="O4" s="31" t="str">
        <x:v>Ghi chú</x:v>
      </x:c>
    </x:row>
    <x:row r="5" ht="21" customHeight="1">
      <x:c r="A5" s="99" t="n">
        <x:v>1</x:v>
      </x:c>
      <x:c r="B5" s="171" t="n">
        <x:v>92311008843</x:v>
      </x:c>
      <x:c r="C5" s="65" t="str">
        <x:v>NGUYỄN THỊ AN BÌNH</x:v>
      </x:c>
      <x:c r="D5" s="105" t="str">
        <x:v>X</x:v>
      </x:c>
      <x:c r="E5" s="117" t="n">
        <x:v>40668</x:v>
      </x:c>
      <x:c r="F5" s="105" t="str">
        <x:v>Kinh</x:v>
      </x:c>
      <x:c r="G5" s="65" t="str">
        <x:v>Xã Phước Long</x:v>
      </x:c>
      <x:c r="H5" s="65" t="str">
        <x:v>THCS Phước Long</x:v>
      </x:c>
      <x:c r="I5" s="65" t="str">
        <x:v>Xã Phước Long</x:v>
      </x:c>
      <x:c r="J5" s="123" t="n">
        <x:v>38.8</x:v>
      </x:c>
      <x:c r="K5" s="129" t="n">
        <x:v>40</x:v>
      </x:c>
      <x:c r="L5" s="123"/>
      <x:c r="M5" s="123" t="n">
        <x:v>1</x:v>
      </x:c>
      <x:c r="N5" s="123" t="n">
        <x:v>79.8</x:v>
      </x:c>
      <x:c r="O5" s="66" t="str"/>
    </x:row>
    <x:row r="6" ht="21" customHeight="1">
      <x:c r="A6" s="100" t="n">
        <x:v>2</x:v>
      </x:c>
      <x:c r="B6" s="172" t="n">
        <x:v>95311003768</x:v>
      </x:c>
      <x:c r="C6" s="68" t="str">
        <x:v>PHAN THỊ ANH THƯ</x:v>
      </x:c>
      <x:c r="D6" s="106" t="str">
        <x:v>X</x:v>
      </x:c>
      <x:c r="E6" s="118" t="n">
        <x:v>40572</x:v>
      </x:c>
      <x:c r="F6" s="106" t="str">
        <x:v>Kinh</x:v>
      </x:c>
      <x:c r="G6" s="68" t="str">
        <x:v>Xã Phước Long</x:v>
      </x:c>
      <x:c r="H6" s="68" t="str">
        <x:v>THCS Phước Long</x:v>
      </x:c>
      <x:c r="I6" s="68" t="str">
        <x:v>Xã Phước Long</x:v>
      </x:c>
      <x:c r="J6" s="124" t="n">
        <x:v>38.2</x:v>
      </x:c>
      <x:c r="K6" s="130" t="n">
        <x:v>40</x:v>
      </x:c>
      <x:c r="L6" s="124"/>
      <x:c r="M6" s="124" t="n">
        <x:v>1.5</x:v>
      </x:c>
      <x:c r="N6" s="124" t="n">
        <x:v>79.7</x:v>
      </x:c>
      <x:c r="O6" s="69" t="str"/>
    </x:row>
    <x:row r="7" ht="21" customHeight="1">
      <x:c r="A7" s="100" t="n">
        <x:v>3</x:v>
      </x:c>
      <x:c r="B7" s="172" t="n">
        <x:v>95211001217</x:v>
      </x:c>
      <x:c r="C7" s="68" t="str">
        <x:v>HUỲNH ĐẠT</x:v>
      </x:c>
      <x:c r="D7" s="106" t="str"/>
      <x:c r="E7" s="118" t="n">
        <x:v>40854</x:v>
      </x:c>
      <x:c r="F7" s="106" t="str">
        <x:v>Hoa</x:v>
      </x:c>
      <x:c r="G7" s="68" t="str">
        <x:v>Xã Phước Long</x:v>
      </x:c>
      <x:c r="H7" s="68" t="str">
        <x:v>THCS Phước Long</x:v>
      </x:c>
      <x:c r="I7" s="68" t="str">
        <x:v>Xã Phước Long</x:v>
      </x:c>
      <x:c r="J7" s="124" t="n">
        <x:v>38.1</x:v>
      </x:c>
      <x:c r="K7" s="130" t="n">
        <x:v>40</x:v>
      </x:c>
      <x:c r="L7" s="124" t="n">
        <x:v>1</x:v>
      </x:c>
      <x:c r="M7" s="124" t="n">
        <x:v>0.5</x:v>
      </x:c>
      <x:c r="N7" s="124" t="n">
        <x:v>79.6</x:v>
      </x:c>
      <x:c r="O7" s="69" t="str"/>
    </x:row>
    <x:row r="8" ht="21" customHeight="1">
      <x:c r="A8" s="100" t="n">
        <x:v>4</x:v>
      </x:c>
      <x:c r="B8" s="172" t="n">
        <x:v>95311006597</x:v>
      </x:c>
      <x:c r="C8" s="68" t="str">
        <x:v>NGUYỄN THỊ TUYẾT KHA</x:v>
      </x:c>
      <x:c r="D8" s="106" t="str">
        <x:v>X</x:v>
      </x:c>
      <x:c r="E8" s="118" t="n">
        <x:v>40730</x:v>
      </x:c>
      <x:c r="F8" s="106" t="str">
        <x:v>Kinh</x:v>
      </x:c>
      <x:c r="G8" s="68" t="str">
        <x:v>Xã Phước Long</x:v>
      </x:c>
      <x:c r="H8" s="68" t="str">
        <x:v>THCS Phước Long</x:v>
      </x:c>
      <x:c r="I8" s="68" t="str">
        <x:v>Xã Phước Long</x:v>
      </x:c>
      <x:c r="J8" s="124" t="n">
        <x:v>39.1</x:v>
      </x:c>
      <x:c r="K8" s="130" t="n">
        <x:v>40</x:v>
      </x:c>
      <x:c r="L8" s="124"/>
      <x:c r="M8" s="124" t="n">
        <x:v>0.5</x:v>
      </x:c>
      <x:c r="N8" s="124" t="n">
        <x:v>79.6</x:v>
      </x:c>
      <x:c r="O8" s="69" t="str"/>
    </x:row>
    <x:row r="9" ht="21" customHeight="1">
      <x:c r="A9" s="100" t="n">
        <x:v>5</x:v>
      </x:c>
      <x:c r="B9" s="172" t="n">
        <x:v>95211009332</x:v>
      </x:c>
      <x:c r="C9" s="68" t="str">
        <x:v>PHAN PHÚC TRƯỜNG</x:v>
      </x:c>
      <x:c r="D9" s="106" t="str"/>
      <x:c r="E9" s="118" t="n">
        <x:v>40803</x:v>
      </x:c>
      <x:c r="F9" s="106" t="str">
        <x:v>Kinh</x:v>
      </x:c>
      <x:c r="G9" s="68" t="str">
        <x:v>Xã Vĩnh Thanh</x:v>
      </x:c>
      <x:c r="H9" s="68" t="str">
        <x:v>THCS Hưng Phú</x:v>
      </x:c>
      <x:c r="I9" s="68" t="str">
        <x:v>Xã Vĩnh Thanh</x:v>
      </x:c>
      <x:c r="J9" s="124" t="n">
        <x:v>38.4</x:v>
      </x:c>
      <x:c r="K9" s="130" t="n">
        <x:v>40</x:v>
      </x:c>
      <x:c r="L9" s="124"/>
      <x:c r="M9" s="124" t="n">
        <x:v>1</x:v>
      </x:c>
      <x:c r="N9" s="124" t="n">
        <x:v>79.4</x:v>
      </x:c>
      <x:c r="O9" s="69" t="str"/>
    </x:row>
    <x:row r="10" ht="21" customHeight="1">
      <x:c r="A10" s="100" t="n">
        <x:v>6</x:v>
      </x:c>
      <x:c r="B10" s="172" t="n">
        <x:v>95211005083</x:v>
      </x:c>
      <x:c r="C10" s="68" t="str">
        <x:v>TRẦN HẠO</x:v>
      </x:c>
      <x:c r="D10" s="106" t="str"/>
      <x:c r="E10" s="118" t="n">
        <x:v>40603</x:v>
      </x:c>
      <x:c r="F10" s="106" t="str">
        <x:v>Kinh</x:v>
      </x:c>
      <x:c r="G10" s="68" t="str">
        <x:v>Xã Phước Long</x:v>
      </x:c>
      <x:c r="H10" s="68" t="str">
        <x:v>THCS Phước Long</x:v>
      </x:c>
      <x:c r="I10" s="68" t="str">
        <x:v>Xã Phước Long</x:v>
      </x:c>
      <x:c r="J10" s="124" t="n">
        <x:v>38.5</x:v>
      </x:c>
      <x:c r="K10" s="130" t="n">
        <x:v>40</x:v>
      </x:c>
      <x:c r="L10" s="124"/>
      <x:c r="M10" s="124" t="n">
        <x:v>0.5</x:v>
      </x:c>
      <x:c r="N10" s="124" t="n">
        <x:v>79</x:v>
      </x:c>
      <x:c r="O10" s="69" t="str"/>
    </x:row>
    <x:row r="11" ht="21" customHeight="1">
      <x:c r="A11" s="100" t="n">
        <x:v>7</x:v>
      </x:c>
      <x:c r="B11" s="172" t="n">
        <x:v>95211003142</x:v>
      </x:c>
      <x:c r="C11" s="68" t="str">
        <x:v>TÔ TRƯƠNG BẰNG PHI</x:v>
      </x:c>
      <x:c r="D11" s="106" t="str"/>
      <x:c r="E11" s="118" t="n">
        <x:v>40832</x:v>
      </x:c>
      <x:c r="F11" s="106" t="str">
        <x:v>Kinh</x:v>
      </x:c>
      <x:c r="G11" s="68" t="str">
        <x:v>Xã Phước Long</x:v>
      </x:c>
      <x:c r="H11" s="68" t="str">
        <x:v>THCS Phước Long</x:v>
      </x:c>
      <x:c r="I11" s="68" t="str">
        <x:v>Xã Phước Long</x:v>
      </x:c>
      <x:c r="J11" s="124" t="n">
        <x:v>38.2</x:v>
      </x:c>
      <x:c r="K11" s="130" t="n">
        <x:v>40</x:v>
      </x:c>
      <x:c r="L11" s="124"/>
      <x:c r="M11" s="124" t="n">
        <x:v>0.5</x:v>
      </x:c>
      <x:c r="N11" s="124" t="n">
        <x:v>78.7</x:v>
      </x:c>
      <x:c r="O11" s="69" t="str"/>
    </x:row>
    <x:row r="12" ht="21" customHeight="1">
      <x:c r="A12" s="100" t="n">
        <x:v>8</x:v>
      </x:c>
      <x:c r="B12" s="172" t="n">
        <x:v>95311002093</x:v>
      </x:c>
      <x:c r="C12" s="68" t="str">
        <x:v>ĐÀO THỊ NHÍ</x:v>
      </x:c>
      <x:c r="D12" s="106" t="str">
        <x:v>X</x:v>
      </x:c>
      <x:c r="E12" s="118" t="n">
        <x:v>40673</x:v>
      </x:c>
      <x:c r="F12" s="106" t="str">
        <x:v>Kinh</x:v>
      </x:c>
      <x:c r="G12" s="68" t="str">
        <x:v>Xã Phước Long</x:v>
      </x:c>
      <x:c r="H12" s="68" t="str">
        <x:v>THCS Phước Long</x:v>
      </x:c>
      <x:c r="I12" s="68" t="str">
        <x:v>Xã Phước Long</x:v>
      </x:c>
      <x:c r="J12" s="124" t="n">
        <x:v>37.6</x:v>
      </x:c>
      <x:c r="K12" s="130" t="n">
        <x:v>40</x:v>
      </x:c>
      <x:c r="L12" s="124"/>
      <x:c r="M12" s="124" t="n">
        <x:v>1</x:v>
      </x:c>
      <x:c r="N12" s="124" t="n">
        <x:v>78.6</x:v>
      </x:c>
      <x:c r="O12" s="69" t="str"/>
    </x:row>
    <x:row r="13" ht="21" customHeight="1">
      <x:c r="A13" s="100" t="n">
        <x:v>9</x:v>
      </x:c>
      <x:c r="B13" s="172" t="n">
        <x:v>95211001512</x:v>
      </x:c>
      <x:c r="C13" s="68" t="str">
        <x:v>NGUYỄN THÀNH HƯNG</x:v>
      </x:c>
      <x:c r="D13" s="106" t="str"/>
      <x:c r="E13" s="118" t="n">
        <x:v>40715</x:v>
      </x:c>
      <x:c r="F13" s="106" t="str">
        <x:v>Kinh</x:v>
      </x:c>
      <x:c r="G13" s="68" t="str">
        <x:v>Xã Phước Long</x:v>
      </x:c>
      <x:c r="H13" s="68" t="str">
        <x:v>THCS Phước Long</x:v>
      </x:c>
      <x:c r="I13" s="68" t="str">
        <x:v>Xã Phước Long</x:v>
      </x:c>
      <x:c r="J13" s="124" t="n">
        <x:v>38.5</x:v>
      </x:c>
      <x:c r="K13" s="130" t="n">
        <x:v>40</x:v>
      </x:c>
      <x:c r="L13" s="124"/>
      <x:c r="M13" s="124"/>
      <x:c r="N13" s="124" t="n">
        <x:v>78.5</x:v>
      </x:c>
      <x:c r="O13" s="69" t="str"/>
    </x:row>
    <x:row r="14" ht="21" customHeight="1">
      <x:c r="A14" s="100" t="n">
        <x:v>10</x:v>
      </x:c>
      <x:c r="B14" s="172" t="n">
        <x:v>95311003537</x:v>
      </x:c>
      <x:c r="C14" s="68" t="str">
        <x:v>ĐẶNG SƠN DIỄM MY</x:v>
      </x:c>
      <x:c r="D14" s="106" t="str">
        <x:v>X</x:v>
      </x:c>
      <x:c r="E14" s="118" t="n">
        <x:v>40607</x:v>
      </x:c>
      <x:c r="F14" s="106" t="str">
        <x:v>Khmer</x:v>
      </x:c>
      <x:c r="G14" s="68" t="str">
        <x:v>Xã Phước Long</x:v>
      </x:c>
      <x:c r="H14" s="68" t="str">
        <x:v>THCS Phước Long</x:v>
      </x:c>
      <x:c r="I14" s="68" t="str">
        <x:v>Xã Phước Long</x:v>
      </x:c>
      <x:c r="J14" s="124" t="n">
        <x:v>37.4</x:v>
      </x:c>
      <x:c r="K14" s="130" t="n">
        <x:v>40</x:v>
      </x:c>
      <x:c r="L14" s="124" t="n">
        <x:v>1</x:v>
      </x:c>
      <x:c r="M14" s="124"/>
      <x:c r="N14" s="124" t="n">
        <x:v>78.4</x:v>
      </x:c>
      <x:c r="O14" s="69" t="str"/>
    </x:row>
    <x:row r="15" ht="21" customHeight="1">
      <x:c r="A15" s="100" t="n">
        <x:v>11</x:v>
      </x:c>
      <x:c r="B15" s="172" t="n">
        <x:v>95311005853</x:v>
      </x:c>
      <x:c r="C15" s="68" t="str">
        <x:v>TRẦN NGỌC TUYÊN</x:v>
      </x:c>
      <x:c r="D15" s="106" t="str">
        <x:v>X</x:v>
      </x:c>
      <x:c r="E15" s="118" t="n">
        <x:v>40657</x:v>
      </x:c>
      <x:c r="F15" s="106" t="str">
        <x:v>Kinh</x:v>
      </x:c>
      <x:c r="G15" s="68" t="str">
        <x:v>Xã Phước Long</x:v>
      </x:c>
      <x:c r="H15" s="68" t="str">
        <x:v>THCS Phước Long</x:v>
      </x:c>
      <x:c r="I15" s="68" t="str">
        <x:v>Xã Phước Long</x:v>
      </x:c>
      <x:c r="J15" s="124" t="n">
        <x:v>37.4</x:v>
      </x:c>
      <x:c r="K15" s="130" t="n">
        <x:v>40</x:v>
      </x:c>
      <x:c r="L15" s="124"/>
      <x:c r="M15" s="124" t="n">
        <x:v>1</x:v>
      </x:c>
      <x:c r="N15" s="124" t="n">
        <x:v>78.4</x:v>
      </x:c>
      <x:c r="O15" s="69" t="str"/>
    </x:row>
    <x:row r="16" ht="21" customHeight="1">
      <x:c r="A16" s="100" t="n">
        <x:v>12</x:v>
      </x:c>
      <x:c r="B16" s="172" t="n">
        <x:v>95311006165</x:v>
      </x:c>
      <x:c r="C16" s="68" t="str">
        <x:v>LÂM KHÁNH VY</x:v>
      </x:c>
      <x:c r="D16" s="106" t="str">
        <x:v>X</x:v>
      </x:c>
      <x:c r="E16" s="118" t="n">
        <x:v>40858</x:v>
      </x:c>
      <x:c r="F16" s="106" t="str">
        <x:v>Kinh</x:v>
      </x:c>
      <x:c r="G16" s="68" t="str">
        <x:v>Xã Vĩnh Thanh</x:v>
      </x:c>
      <x:c r="H16" s="68" t="str">
        <x:v>THCS Hưng Phú</x:v>
      </x:c>
      <x:c r="I16" s="68" t="str">
        <x:v>Xã Vĩnh Thanh</x:v>
      </x:c>
      <x:c r="J16" s="124" t="n">
        <x:v>38.3</x:v>
      </x:c>
      <x:c r="K16" s="130" t="n">
        <x:v>40</x:v>
      </x:c>
      <x:c r="L16" s="124"/>
      <x:c r="M16" s="124"/>
      <x:c r="N16" s="124" t="n">
        <x:v>78.3</x:v>
      </x:c>
      <x:c r="O16" s="69" t="str"/>
    </x:row>
    <x:row r="17" ht="21" customHeight="1">
      <x:c r="A17" s="100" t="n">
        <x:v>13</x:v>
      </x:c>
      <x:c r="B17" s="172" t="n">
        <x:v>95211002174</x:v>
      </x:c>
      <x:c r="C17" s="68" t="str">
        <x:v>LÊ HUỲNH KHÁNH DUY</x:v>
      </x:c>
      <x:c r="D17" s="106" t="str"/>
      <x:c r="E17" s="118" t="n">
        <x:v>40850</x:v>
      </x:c>
      <x:c r="F17" s="106" t="str">
        <x:v>Kinh</x:v>
      </x:c>
      <x:c r="G17" s="68" t="str">
        <x:v>Xã Phước Long</x:v>
      </x:c>
      <x:c r="H17" s="68" t="str">
        <x:v>THCS Phước Long</x:v>
      </x:c>
      <x:c r="I17" s="68" t="str">
        <x:v>Xã Phước Long</x:v>
      </x:c>
      <x:c r="J17" s="124" t="n">
        <x:v>37.5</x:v>
      </x:c>
      <x:c r="K17" s="130" t="n">
        <x:v>40</x:v>
      </x:c>
      <x:c r="L17" s="124"/>
      <x:c r="M17" s="124" t="n">
        <x:v>0.5</x:v>
      </x:c>
      <x:c r="N17" s="124" t="n">
        <x:v>78</x:v>
      </x:c>
      <x:c r="O17" s="69" t="str"/>
    </x:row>
    <x:row r="18" ht="21" customHeight="1">
      <x:c r="A18" s="100" t="n">
        <x:v>14</x:v>
      </x:c>
      <x:c r="B18" s="172" t="n">
        <x:v>95311006058</x:v>
      </x:c>
      <x:c r="C18" s="68" t="str">
        <x:v>TRIỆU MINH THƯ</x:v>
      </x:c>
      <x:c r="D18" s="106" t="str">
        <x:v>X</x:v>
      </x:c>
      <x:c r="E18" s="118" t="n">
        <x:v>40700</x:v>
      </x:c>
      <x:c r="F18" s="106" t="str">
        <x:v>Kinh</x:v>
      </x:c>
      <x:c r="G18" s="68" t="str">
        <x:v>Xã Phước Long</x:v>
      </x:c>
      <x:c r="H18" s="68" t="str">
        <x:v>THCS Phước Long</x:v>
      </x:c>
      <x:c r="I18" s="68" t="str">
        <x:v>Xã Phước Long</x:v>
      </x:c>
      <x:c r="J18" s="124" t="n">
        <x:v>38</x:v>
      </x:c>
      <x:c r="K18" s="130" t="n">
        <x:v>40</x:v>
      </x:c>
      <x:c r="L18" s="124"/>
      <x:c r="M18" s="124"/>
      <x:c r="N18" s="124" t="n">
        <x:v>78</x:v>
      </x:c>
      <x:c r="O18" s="69" t="str"/>
    </x:row>
    <x:row r="19" ht="21" customHeight="1">
      <x:c r="A19" s="100" t="n">
        <x:v>15</x:v>
      </x:c>
      <x:c r="B19" s="172" t="n">
        <x:v>95311008396</x:v>
      </x:c>
      <x:c r="C19" s="68" t="str">
        <x:v>CAO NHÃ TRÚC</x:v>
      </x:c>
      <x:c r="D19" s="106" t="str">
        <x:v>X</x:v>
      </x:c>
      <x:c r="E19" s="118" t="n">
        <x:v>40596</x:v>
      </x:c>
      <x:c r="F19" s="106" t="str">
        <x:v>Kinh</x:v>
      </x:c>
      <x:c r="G19" s="68" t="str">
        <x:v>Xã Phước Long</x:v>
      </x:c>
      <x:c r="H19" s="68" t="str">
        <x:v>THCS Phước Long</x:v>
      </x:c>
      <x:c r="I19" s="68" t="str">
        <x:v>Xã Phước Long</x:v>
      </x:c>
      <x:c r="J19" s="124" t="n">
        <x:v>37.9</x:v>
      </x:c>
      <x:c r="K19" s="130" t="n">
        <x:v>40</x:v>
      </x:c>
      <x:c r="L19" s="124"/>
      <x:c r="M19" s="124"/>
      <x:c r="N19" s="124" t="n">
        <x:v>77.9</x:v>
      </x:c>
      <x:c r="O19" s="69" t="str"/>
    </x:row>
    <x:row r="20" ht="21" customHeight="1">
      <x:c r="A20" s="100" t="n">
        <x:v>16</x:v>
      </x:c>
      <x:c r="B20" s="172" t="n">
        <x:v>95311003536</x:v>
      </x:c>
      <x:c r="C20" s="68" t="str">
        <x:v>NGUYỄN BẢO NGỌC</x:v>
      </x:c>
      <x:c r="D20" s="106" t="str">
        <x:v>X</x:v>
      </x:c>
      <x:c r="E20" s="118" t="n">
        <x:v>40601</x:v>
      </x:c>
      <x:c r="F20" s="106" t="str">
        <x:v>Kinh</x:v>
      </x:c>
      <x:c r="G20" s="68" t="str">
        <x:v>Xã Phước Long</x:v>
      </x:c>
      <x:c r="H20" s="68" t="str">
        <x:v>THCS Phước Long</x:v>
      </x:c>
      <x:c r="I20" s="68" t="str">
        <x:v>Xã Phước Long</x:v>
      </x:c>
      <x:c r="J20" s="124" t="n">
        <x:v>37.4</x:v>
      </x:c>
      <x:c r="K20" s="130" t="n">
        <x:v>40</x:v>
      </x:c>
      <x:c r="L20" s="124"/>
      <x:c r="M20" s="124" t="n">
        <x:v>0.5</x:v>
      </x:c>
      <x:c r="N20" s="124" t="n">
        <x:v>77.9</x:v>
      </x:c>
      <x:c r="O20" s="69" t="str"/>
    </x:row>
    <x:row r="21" ht="21" customHeight="1">
      <x:c r="A21" s="100" t="n">
        <x:v>17</x:v>
      </x:c>
      <x:c r="B21" s="172" t="n">
        <x:v>95311002828</x:v>
      </x:c>
      <x:c r="C21" s="68" t="str">
        <x:v>LÊ THẢO NGUYỄN</x:v>
      </x:c>
      <x:c r="D21" s="106" t="str">
        <x:v>X</x:v>
      </x:c>
      <x:c r="E21" s="118" t="n">
        <x:v>40815</x:v>
      </x:c>
      <x:c r="F21" s="106" t="str">
        <x:v>Kinh</x:v>
      </x:c>
      <x:c r="G21" s="68" t="str">
        <x:v>Xã Phước Long</x:v>
      </x:c>
      <x:c r="H21" s="68" t="str">
        <x:v>THCS Phước Long</x:v>
      </x:c>
      <x:c r="I21" s="68" t="str">
        <x:v>Xã Phước Long</x:v>
      </x:c>
      <x:c r="J21" s="124" t="n">
        <x:v>37.7</x:v>
      </x:c>
      <x:c r="K21" s="130" t="n">
        <x:v>40</x:v>
      </x:c>
      <x:c r="L21" s="124"/>
      <x:c r="M21" s="124"/>
      <x:c r="N21" s="124" t="n">
        <x:v>77.7</x:v>
      </x:c>
      <x:c r="O21" s="69" t="str"/>
    </x:row>
    <x:row r="22" ht="21" customHeight="1">
      <x:c r="A22" s="100" t="n">
        <x:v>18</x:v>
      </x:c>
      <x:c r="B22" s="172" t="n">
        <x:v>95311003268</x:v>
      </x:c>
      <x:c r="C22" s="68" t="str">
        <x:v>NGUYỄN DIỄM QUỲNH</x:v>
      </x:c>
      <x:c r="D22" s="106" t="str">
        <x:v>X</x:v>
      </x:c>
      <x:c r="E22" s="118" t="n">
        <x:v>40794</x:v>
      </x:c>
      <x:c r="F22" s="106" t="str">
        <x:v>Kinh</x:v>
      </x:c>
      <x:c r="G22" s="68" t="str">
        <x:v>Xã Phước Long</x:v>
      </x:c>
      <x:c r="H22" s="68" t="str">
        <x:v>THCS Phước Long</x:v>
      </x:c>
      <x:c r="I22" s="68" t="str">
        <x:v>Xã Phước Long</x:v>
      </x:c>
      <x:c r="J22" s="124" t="n">
        <x:v>37.7</x:v>
      </x:c>
      <x:c r="K22" s="130" t="n">
        <x:v>40</x:v>
      </x:c>
      <x:c r="L22" s="124"/>
      <x:c r="M22" s="124"/>
      <x:c r="N22" s="124" t="n">
        <x:v>77.7</x:v>
      </x:c>
      <x:c r="O22" s="69" t="str"/>
    </x:row>
    <x:row r="23" ht="21" customHeight="1">
      <x:c r="A23" s="100" t="n">
        <x:v>19</x:v>
      </x:c>
      <x:c r="B23" s="172" t="n">
        <x:v>95311006258</x:v>
      </x:c>
      <x:c r="C23" s="68" t="str">
        <x:v>TRẦN THỊ KHÁNH BĂNG</x:v>
      </x:c>
      <x:c r="D23" s="106" t="str">
        <x:v>X</x:v>
      </x:c>
      <x:c r="E23" s="118" t="n">
        <x:v>40879</x:v>
      </x:c>
      <x:c r="F23" s="106" t="str">
        <x:v>Kinh</x:v>
      </x:c>
      <x:c r="G23" s="68" t="str">
        <x:v>Xã Vĩnh Thanh</x:v>
      </x:c>
      <x:c r="H23" s="68" t="str">
        <x:v>THCS Hưng Phú</x:v>
      </x:c>
      <x:c r="I23" s="68" t="str">
        <x:v>Xã Vĩnh Thanh</x:v>
      </x:c>
      <x:c r="J23" s="124" t="n">
        <x:v>37.6</x:v>
      </x:c>
      <x:c r="K23" s="130" t="n">
        <x:v>40</x:v>
      </x:c>
      <x:c r="L23" s="124"/>
      <x:c r="M23" s="124"/>
      <x:c r="N23" s="124" t="n">
        <x:v>77.6</x:v>
      </x:c>
      <x:c r="O23" s="69" t="str"/>
    </x:row>
    <x:row r="24" ht="21" customHeight="1">
      <x:c r="A24" s="100" t="n">
        <x:v>20</x:v>
      </x:c>
      <x:c r="B24" s="172" t="n">
        <x:v>95311008916</x:v>
      </x:c>
      <x:c r="C24" s="68" t="str">
        <x:v>ĐOÀN CHÚC VY</x:v>
      </x:c>
      <x:c r="D24" s="106" t="str">
        <x:v>X</x:v>
      </x:c>
      <x:c r="E24" s="118" t="n">
        <x:v>40646</x:v>
      </x:c>
      <x:c r="F24" s="106" t="str">
        <x:v>Kinh</x:v>
      </x:c>
      <x:c r="G24" s="68" t="str">
        <x:v>Xã Phước Long</x:v>
      </x:c>
      <x:c r="H24" s="68" t="str">
        <x:v>THCS Phước Long</x:v>
      </x:c>
      <x:c r="I24" s="68" t="str">
        <x:v>Xã Phước Long</x:v>
      </x:c>
      <x:c r="J24" s="124" t="n">
        <x:v>37.5</x:v>
      </x:c>
      <x:c r="K24" s="130" t="n">
        <x:v>40</x:v>
      </x:c>
      <x:c r="L24" s="124"/>
      <x:c r="M24" s="124"/>
      <x:c r="N24" s="124" t="n">
        <x:v>77.5</x:v>
      </x:c>
      <x:c r="O24" s="69" t="str"/>
    </x:row>
    <x:row r="25" ht="21" customHeight="1">
      <x:c r="A25" s="100" t="n">
        <x:v>21</x:v>
      </x:c>
      <x:c r="B25" s="172" t="n">
        <x:v>95311002526</x:v>
      </x:c>
      <x:c r="C25" s="68" t="str">
        <x:v>DƯƠNG HỒNG LUYẾN</x:v>
      </x:c>
      <x:c r="D25" s="106" t="str">
        <x:v>X</x:v>
      </x:c>
      <x:c r="E25" s="118" t="n">
        <x:v>40688</x:v>
      </x:c>
      <x:c r="F25" s="106" t="str">
        <x:v>Kinh</x:v>
      </x:c>
      <x:c r="G25" s="68" t="str">
        <x:v>Xã Vĩnh Thanh</x:v>
      </x:c>
      <x:c r="H25" s="68" t="str">
        <x:v>THCS Hưng Phú</x:v>
      </x:c>
      <x:c r="I25" s="68" t="str">
        <x:v>Xã Vĩnh Thanh</x:v>
      </x:c>
      <x:c r="J25" s="124" t="n">
        <x:v>37.5</x:v>
      </x:c>
      <x:c r="K25" s="130" t="n">
        <x:v>40</x:v>
      </x:c>
      <x:c r="L25" s="124"/>
      <x:c r="M25" s="124"/>
      <x:c r="N25" s="124" t="n">
        <x:v>77.5</x:v>
      </x:c>
      <x:c r="O25" s="69" t="str"/>
    </x:row>
    <x:row r="26" ht="21" customHeight="1">
      <x:c r="A26" s="100" t="n">
        <x:v>22</x:v>
      </x:c>
      <x:c r="B26" s="172" t="n">
        <x:v>95311007272</x:v>
      </x:c>
      <x:c r="C26" s="68" t="str">
        <x:v>ĐẶNG NGỌC PHÚC</x:v>
      </x:c>
      <x:c r="D26" s="106" t="str">
        <x:v>X</x:v>
      </x:c>
      <x:c r="E26" s="118" t="n">
        <x:v>40569</x:v>
      </x:c>
      <x:c r="F26" s="106" t="str">
        <x:v>Kinh</x:v>
      </x:c>
      <x:c r="G26" s="68" t="str">
        <x:v>Xã Vĩnh Thanh</x:v>
      </x:c>
      <x:c r="H26" s="68" t="str">
        <x:v>THCS Vĩnh Thanh</x:v>
      </x:c>
      <x:c r="I26" s="68" t="str">
        <x:v>Xã Vĩnh Thanh</x:v>
      </x:c>
      <x:c r="J26" s="124" t="n">
        <x:v>37</x:v>
      </x:c>
      <x:c r="K26" s="130" t="n">
        <x:v>40</x:v>
      </x:c>
      <x:c r="L26" s="124"/>
      <x:c r="M26" s="124" t="n">
        <x:v>0.5</x:v>
      </x:c>
      <x:c r="N26" s="124" t="n">
        <x:v>77.5</x:v>
      </x:c>
      <x:c r="O26" s="69" t="str"/>
    </x:row>
    <x:row r="27" ht="21" customHeight="1">
      <x:c r="A27" s="100" t="n">
        <x:v>23</x:v>
      </x:c>
      <x:c r="B27" s="172" t="n">
        <x:v>95211001953</x:v>
      </x:c>
      <x:c r="C27" s="68" t="str">
        <x:v>NGUYỄN TRỌNG NHÂN</x:v>
      </x:c>
      <x:c r="D27" s="106" t="str"/>
      <x:c r="E27" s="118" t="n">
        <x:v>40892</x:v>
      </x:c>
      <x:c r="F27" s="106" t="str">
        <x:v>Kinh</x:v>
      </x:c>
      <x:c r="G27" s="68" t="str">
        <x:v>Xã Phước Long</x:v>
      </x:c>
      <x:c r="H27" s="68" t="str">
        <x:v>THCS Phước Long</x:v>
      </x:c>
      <x:c r="I27" s="68" t="str">
        <x:v>Xã Phước Long</x:v>
      </x:c>
      <x:c r="J27" s="124" t="n">
        <x:v>37.4</x:v>
      </x:c>
      <x:c r="K27" s="130" t="n">
        <x:v>40</x:v>
      </x:c>
      <x:c r="L27" s="124"/>
      <x:c r="M27" s="124"/>
      <x:c r="N27" s="124" t="n">
        <x:v>77.4</x:v>
      </x:c>
      <x:c r="O27" s="69" t="str"/>
    </x:row>
    <x:row r="28" ht="21" customHeight="1">
      <x:c r="A28" s="100" t="n">
        <x:v>24</x:v>
      </x:c>
      <x:c r="B28" s="172" t="n">
        <x:v>95211009852</x:v>
      </x:c>
      <x:c r="C28" s="68" t="str">
        <x:v>NGUYỄN HOÀNG THIÊN</x:v>
      </x:c>
      <x:c r="D28" s="106" t="str"/>
      <x:c r="E28" s="118" t="n">
        <x:v>40663</x:v>
      </x:c>
      <x:c r="F28" s="106" t="str">
        <x:v>Kinh</x:v>
      </x:c>
      <x:c r="G28" s="68" t="str">
        <x:v>Xã Vĩnh Thanh</x:v>
      </x:c>
      <x:c r="H28" s="68" t="str">
        <x:v>THCS Vĩnh Thanh</x:v>
      </x:c>
      <x:c r="I28" s="68" t="str">
        <x:v>Xã Vĩnh Thanh</x:v>
      </x:c>
      <x:c r="J28" s="124" t="n">
        <x:v>35.9</x:v>
      </x:c>
      <x:c r="K28" s="130" t="n">
        <x:v>40</x:v>
      </x:c>
      <x:c r="L28" s="124"/>
      <x:c r="M28" s="124" t="n">
        <x:v>1.5</x:v>
      </x:c>
      <x:c r="N28" s="124" t="n">
        <x:v>77.4</x:v>
      </x:c>
      <x:c r="O28" s="69" t="str"/>
    </x:row>
    <x:row r="29" ht="21" customHeight="1">
      <x:c r="A29" s="100" t="n">
        <x:v>25</x:v>
      </x:c>
      <x:c r="B29" s="172" t="n">
        <x:v>95311007155</x:v>
      </x:c>
      <x:c r="C29" s="68" t="str">
        <x:v>NGUYỄN TUỆ MẪN</x:v>
      </x:c>
      <x:c r="D29" s="106" t="str">
        <x:v>X</x:v>
      </x:c>
      <x:c r="E29" s="118" t="n">
        <x:v>40573</x:v>
      </x:c>
      <x:c r="F29" s="106" t="str">
        <x:v>Kinh</x:v>
      </x:c>
      <x:c r="G29" s="68" t="str">
        <x:v>Xã Vĩnh Phước</x:v>
      </x:c>
      <x:c r="H29" s="68" t="str">
        <x:v>THCS Phước Long</x:v>
      </x:c>
      <x:c r="I29" s="68" t="str">
        <x:v>Xã Vĩnh Phước</x:v>
      </x:c>
      <x:c r="J29" s="124" t="n">
        <x:v>36.4</x:v>
      </x:c>
      <x:c r="K29" s="130" t="n">
        <x:v>40</x:v>
      </x:c>
      <x:c r="L29" s="124" t="n">
        <x:v>1</x:v>
      </x:c>
      <x:c r="M29" s="124"/>
      <x:c r="N29" s="124" t="n">
        <x:v>77.4</x:v>
      </x:c>
      <x:c r="O29" s="69" t="str"/>
    </x:row>
    <x:row r="30" ht="21" customHeight="1">
      <x:c r="A30" s="100" t="n">
        <x:v>26</x:v>
      </x:c>
      <x:c r="B30" s="172" t="n">
        <x:v>95311009220</x:v>
      </x:c>
      <x:c r="C30" s="68" t="str">
        <x:v>NGUYỄN THỊ CẨM MINH</x:v>
      </x:c>
      <x:c r="D30" s="106" t="str">
        <x:v>X</x:v>
      </x:c>
      <x:c r="E30" s="118" t="n">
        <x:v>40603</x:v>
      </x:c>
      <x:c r="F30" s="106" t="str">
        <x:v>Kinh</x:v>
      </x:c>
      <x:c r="G30" s="68" t="str">
        <x:v>Xã Vĩnh Thanh</x:v>
      </x:c>
      <x:c r="H30" s="68" t="str">
        <x:v>THCS Hưng Phú</x:v>
      </x:c>
      <x:c r="I30" s="68" t="str">
        <x:v>Xã Vĩnh Thanh</x:v>
      </x:c>
      <x:c r="J30" s="124" t="n">
        <x:v>37.3</x:v>
      </x:c>
      <x:c r="K30" s="130" t="n">
        <x:v>40</x:v>
      </x:c>
      <x:c r="L30" s="124"/>
      <x:c r="M30" s="124"/>
      <x:c r="N30" s="124" t="n">
        <x:v>77.3</x:v>
      </x:c>
      <x:c r="O30" s="69" t="str"/>
    </x:row>
    <x:row r="31" ht="21" customHeight="1">
      <x:c r="A31" s="100" t="n">
        <x:v>27</x:v>
      </x:c>
      <x:c r="B31" s="172" t="n">
        <x:v>95211003732</x:v>
      </x:c>
      <x:c r="C31" s="68" t="str">
        <x:v>NGUYỄN ANH KIÊN</x:v>
      </x:c>
      <x:c r="D31" s="106" t="str"/>
      <x:c r="E31" s="118" t="n">
        <x:v>40558</x:v>
      </x:c>
      <x:c r="F31" s="106" t="str">
        <x:v>Kinh</x:v>
      </x:c>
      <x:c r="G31" s="68" t="str">
        <x:v>Xã Vĩnh Phước</x:v>
      </x:c>
      <x:c r="H31" s="68" t="str">
        <x:v>THCS Phước Long</x:v>
      </x:c>
      <x:c r="I31" s="68" t="str">
        <x:v>Xã Phước Long</x:v>
      </x:c>
      <x:c r="J31" s="124" t="n">
        <x:v>37.3</x:v>
      </x:c>
      <x:c r="K31" s="130" t="n">
        <x:v>40</x:v>
      </x:c>
      <x:c r="L31" s="124"/>
      <x:c r="M31" s="124"/>
      <x:c r="N31" s="124" t="n">
        <x:v>77.3</x:v>
      </x:c>
      <x:c r="O31" s="69" t="str"/>
    </x:row>
    <x:row r="32" ht="21" customHeight="1">
      <x:c r="A32" s="100" t="n">
        <x:v>28</x:v>
      </x:c>
      <x:c r="B32" s="172" t="n">
        <x:v>95211006131</x:v>
      </x:c>
      <x:c r="C32" s="68" t="str">
        <x:v>NGUYỄN HUỲNH TIẾN</x:v>
      </x:c>
      <x:c r="D32" s="106" t="str"/>
      <x:c r="E32" s="118" t="n">
        <x:v>40590</x:v>
      </x:c>
      <x:c r="F32" s="106" t="str">
        <x:v>Kinh</x:v>
      </x:c>
      <x:c r="G32" s="68" t="str">
        <x:v>Xã Phước Long</x:v>
      </x:c>
      <x:c r="H32" s="68" t="str">
        <x:v>THCS Phước Long</x:v>
      </x:c>
      <x:c r="I32" s="68" t="str">
        <x:v>Xã Phước Long</x:v>
      </x:c>
      <x:c r="J32" s="124" t="n">
        <x:v>37.3</x:v>
      </x:c>
      <x:c r="K32" s="130" t="n">
        <x:v>40</x:v>
      </x:c>
      <x:c r="L32" s="124"/>
      <x:c r="M32" s="124"/>
      <x:c r="N32" s="124" t="n">
        <x:v>77.3</x:v>
      </x:c>
      <x:c r="O32" s="69" t="str"/>
    </x:row>
    <x:row r="33" ht="21" customHeight="1">
      <x:c r="A33" s="100" t="n">
        <x:v>29</x:v>
      </x:c>
      <x:c r="B33" s="172" t="n">
        <x:v>95211004629</x:v>
      </x:c>
      <x:c r="C33" s="68" t="str">
        <x:v>NGUYỄN ĐÌNH LÊ</x:v>
      </x:c>
      <x:c r="D33" s="106" t="str"/>
      <x:c r="E33" s="118" t="n">
        <x:v>40661</x:v>
      </x:c>
      <x:c r="F33" s="106" t="str">
        <x:v>Kinh</x:v>
      </x:c>
      <x:c r="G33" s="68" t="str">
        <x:v>Xã Phước Long</x:v>
      </x:c>
      <x:c r="H33" s="68" t="str">
        <x:v>THCS Phước Long</x:v>
      </x:c>
      <x:c r="I33" s="68" t="str">
        <x:v>Xã Phước Long</x:v>
      </x:c>
      <x:c r="J33" s="124" t="n">
        <x:v>36.8</x:v>
      </x:c>
      <x:c r="K33" s="130" t="n">
        <x:v>40</x:v>
      </x:c>
      <x:c r="L33" s="124"/>
      <x:c r="M33" s="124" t="n">
        <x:v>0.5</x:v>
      </x:c>
      <x:c r="N33" s="124" t="n">
        <x:v>77.3</x:v>
      </x:c>
      <x:c r="O33" s="69" t="str"/>
    </x:row>
    <x:row r="34" ht="21" customHeight="1">
      <x:c r="A34" s="100" t="n">
        <x:v>30</x:v>
      </x:c>
      <x:c r="B34" s="172" t="n">
        <x:v>95211009171</x:v>
      </x:c>
      <x:c r="C34" s="68" t="str">
        <x:v>NGUYỄN NHẬT HÀO</x:v>
      </x:c>
      <x:c r="D34" s="106" t="str"/>
      <x:c r="E34" s="118" t="n">
        <x:v>40605</x:v>
      </x:c>
      <x:c r="F34" s="106" t="str">
        <x:v>Kinh</x:v>
      </x:c>
      <x:c r="G34" s="68" t="str">
        <x:v>Xã Vĩnh Thanh</x:v>
      </x:c>
      <x:c r="H34" s="68" t="str">
        <x:v>THCS Hưng Phú</x:v>
      </x:c>
      <x:c r="I34" s="68" t="str">
        <x:v>Xã Vĩnh Thanh</x:v>
      </x:c>
      <x:c r="J34" s="124" t="n">
        <x:v>37.3</x:v>
      </x:c>
      <x:c r="K34" s="130" t="n">
        <x:v>40</x:v>
      </x:c>
      <x:c r="L34" s="124"/>
      <x:c r="M34" s="124"/>
      <x:c r="N34" s="124" t="n">
        <x:v>77.3</x:v>
      </x:c>
      <x:c r="O34" s="69" t="str"/>
    </x:row>
    <x:row r="35" ht="21" customHeight="1">
      <x:c r="A35" s="100" t="n">
        <x:v>31</x:v>
      </x:c>
      <x:c r="B35" s="172" t="n">
        <x:v>95211001678</x:v>
      </x:c>
      <x:c r="C35" s="68" t="str">
        <x:v>HUỲNH GIA LỢI</x:v>
      </x:c>
      <x:c r="D35" s="106" t="str"/>
      <x:c r="E35" s="118" t="n">
        <x:v>40580</x:v>
      </x:c>
      <x:c r="F35" s="106" t="str">
        <x:v>Kinh</x:v>
      </x:c>
      <x:c r="G35" s="68" t="str">
        <x:v>Xã Phước Long</x:v>
      </x:c>
      <x:c r="H35" s="68" t="str">
        <x:v>THCS Phước Long</x:v>
      </x:c>
      <x:c r="I35" s="68" t="str">
        <x:v>Xã Phước Long</x:v>
      </x:c>
      <x:c r="J35" s="124" t="n">
        <x:v>37.2</x:v>
      </x:c>
      <x:c r="K35" s="130" t="n">
        <x:v>40</x:v>
      </x:c>
      <x:c r="L35" s="124"/>
      <x:c r="M35" s="124"/>
      <x:c r="N35" s="124" t="n">
        <x:v>77.2</x:v>
      </x:c>
      <x:c r="O35" s="69" t="str"/>
    </x:row>
    <x:row r="36" ht="21" customHeight="1">
      <x:c r="A36" s="100" t="n">
        <x:v>32</x:v>
      </x:c>
      <x:c r="B36" s="172" t="n">
        <x:v>95211010083</x:v>
      </x:c>
      <x:c r="C36" s="68" t="str">
        <x:v>TRẦN THỊNH PHÁT</x:v>
      </x:c>
      <x:c r="D36" s="106" t="str"/>
      <x:c r="E36" s="118" t="n">
        <x:v>40545</x:v>
      </x:c>
      <x:c r="F36" s="106" t="str">
        <x:v>Kinh</x:v>
      </x:c>
      <x:c r="G36" s="68" t="str">
        <x:v>Xã Phước Long</x:v>
      </x:c>
      <x:c r="H36" s="68" t="str">
        <x:v>THCS Phước Long</x:v>
      </x:c>
      <x:c r="I36" s="68" t="str">
        <x:v>Xã Phước Long</x:v>
      </x:c>
      <x:c r="J36" s="124" t="n">
        <x:v>36.7</x:v>
      </x:c>
      <x:c r="K36" s="130" t="n">
        <x:v>40</x:v>
      </x:c>
      <x:c r="L36" s="124"/>
      <x:c r="M36" s="124" t="n">
        <x:v>0.5</x:v>
      </x:c>
      <x:c r="N36" s="124" t="n">
        <x:v>77.2</x:v>
      </x:c>
      <x:c r="O36" s="69" t="str"/>
    </x:row>
    <x:row r="37" ht="21" customHeight="1">
      <x:c r="A37" s="100" t="n">
        <x:v>33</x:v>
      </x:c>
      <x:c r="B37" s="172" t="n">
        <x:v>95211008703</x:v>
      </x:c>
      <x:c r="C37" s="68" t="str">
        <x:v>VÕ HOÀNG BÁCH</x:v>
      </x:c>
      <x:c r="D37" s="106" t="str"/>
      <x:c r="E37" s="118" t="n">
        <x:v>40696</x:v>
      </x:c>
      <x:c r="F37" s="106" t="str">
        <x:v>Kinh</x:v>
      </x:c>
      <x:c r="G37" s="68" t="str">
        <x:v>Xã Vĩnh Thanh</x:v>
      </x:c>
      <x:c r="H37" s="68" t="str">
        <x:v>THCS Phước Long</x:v>
      </x:c>
      <x:c r="I37" s="68" t="str">
        <x:v>Xã Phước Long</x:v>
      </x:c>
      <x:c r="J37" s="124" t="n">
        <x:v>37.2</x:v>
      </x:c>
      <x:c r="K37" s="130" t="n">
        <x:v>40</x:v>
      </x:c>
      <x:c r="L37" s="124"/>
      <x:c r="M37" s="124"/>
      <x:c r="N37" s="124" t="n">
        <x:v>77.2</x:v>
      </x:c>
      <x:c r="O37" s="69" t="str"/>
    </x:row>
    <x:row r="38" ht="21" customHeight="1">
      <x:c r="A38" s="100" t="n">
        <x:v>34</x:v>
      </x:c>
      <x:c r="B38" s="172" t="n">
        <x:v>95311006825</x:v>
      </x:c>
      <x:c r="C38" s="68" t="str">
        <x:v>GIANG THỊ MINH HẢO</x:v>
      </x:c>
      <x:c r="D38" s="106" t="str">
        <x:v>X</x:v>
      </x:c>
      <x:c r="E38" s="118" t="n">
        <x:v>40546</x:v>
      </x:c>
      <x:c r="F38" s="106" t="str">
        <x:v>Kinh</x:v>
      </x:c>
      <x:c r="G38" s="68" t="str">
        <x:v>Xã Vĩnh Thanh</x:v>
      </x:c>
      <x:c r="H38" s="68" t="str">
        <x:v>THCS Hưng Phú</x:v>
      </x:c>
      <x:c r="I38" s="68" t="str">
        <x:v>Xã Vĩnh Thanh</x:v>
      </x:c>
      <x:c r="J38" s="124" t="n">
        <x:v>37.2</x:v>
      </x:c>
      <x:c r="K38" s="130" t="n">
        <x:v>40</x:v>
      </x:c>
      <x:c r="L38" s="124"/>
      <x:c r="M38" s="124"/>
      <x:c r="N38" s="124" t="n">
        <x:v>77.2</x:v>
      </x:c>
      <x:c r="O38" s="69" t="str"/>
    </x:row>
    <x:row r="39" ht="21" customHeight="1">
      <x:c r="A39" s="100" t="n">
        <x:v>35</x:v>
      </x:c>
      <x:c r="B39" s="172" t="n">
        <x:v>95211005347</x:v>
      </x:c>
      <x:c r="C39" s="68" t="str">
        <x:v>TRẦN MINH KHOA</x:v>
      </x:c>
      <x:c r="D39" s="106" t="str"/>
      <x:c r="E39" s="118" t="n">
        <x:v>40578</x:v>
      </x:c>
      <x:c r="F39" s="106" t="str">
        <x:v>Kinh</x:v>
      </x:c>
      <x:c r="G39" s="68" t="str">
        <x:v>Xã Vĩnh Thanh</x:v>
      </x:c>
      <x:c r="H39" s="68" t="str">
        <x:v>THCS Phước Long</x:v>
      </x:c>
      <x:c r="I39" s="68" t="str">
        <x:v>Xã Phước Long</x:v>
      </x:c>
      <x:c r="J39" s="124" t="n">
        <x:v>37.1</x:v>
      </x:c>
      <x:c r="K39" s="130" t="n">
        <x:v>40</x:v>
      </x:c>
      <x:c r="L39" s="124"/>
      <x:c r="M39" s="124"/>
      <x:c r="N39" s="124" t="n">
        <x:v>77.1</x:v>
      </x:c>
      <x:c r="O39" s="69" t="str"/>
    </x:row>
    <x:row r="40" ht="21" customHeight="1">
      <x:c r="A40" s="100" t="n">
        <x:v>36</x:v>
      </x:c>
      <x:c r="B40" s="172" t="n">
        <x:v>95211000441</x:v>
      </x:c>
      <x:c r="C40" s="68" t="str">
        <x:v>TRẦN ANH KHA</x:v>
      </x:c>
      <x:c r="D40" s="106" t="str"/>
      <x:c r="E40" s="118" t="n">
        <x:v>40776</x:v>
      </x:c>
      <x:c r="F40" s="106" t="str">
        <x:v>Kinh</x:v>
      </x:c>
      <x:c r="G40" s="68" t="str">
        <x:v>Xã Hồng Dân</x:v>
      </x:c>
      <x:c r="H40" s="68" t="str">
        <x:v>THCS Phước Long</x:v>
      </x:c>
      <x:c r="I40" s="68" t="str">
        <x:v>Xã Phước Long</x:v>
      </x:c>
      <x:c r="J40" s="124" t="n">
        <x:v>36.6</x:v>
      </x:c>
      <x:c r="K40" s="130" t="n">
        <x:v>40</x:v>
      </x:c>
      <x:c r="L40" s="124"/>
      <x:c r="M40" s="124" t="n">
        <x:v>0.5</x:v>
      </x:c>
      <x:c r="N40" s="124" t="n">
        <x:v>77.1</x:v>
      </x:c>
      <x:c r="O40" s="69" t="str"/>
    </x:row>
    <x:row r="41" ht="21" customHeight="1">
      <x:c r="A41" s="100" t="n">
        <x:v>37</x:v>
      </x:c>
      <x:c r="B41" s="172" t="n">
        <x:v>95311007955</x:v>
      </x:c>
      <x:c r="C41" s="68" t="str">
        <x:v>ĐÀO NHÃ XUYÊN</x:v>
      </x:c>
      <x:c r="D41" s="106" t="str">
        <x:v>X</x:v>
      </x:c>
      <x:c r="E41" s="118" t="n">
        <x:v>40702</x:v>
      </x:c>
      <x:c r="F41" s="106" t="str">
        <x:v>Kinh</x:v>
      </x:c>
      <x:c r="G41" s="68" t="str">
        <x:v>Xã Phước Long</x:v>
      </x:c>
      <x:c r="H41" s="68" t="str">
        <x:v>THCS Phước Long</x:v>
      </x:c>
      <x:c r="I41" s="68" t="str">
        <x:v>Xã Phước Long</x:v>
      </x:c>
      <x:c r="J41" s="124" t="n">
        <x:v>37.1</x:v>
      </x:c>
      <x:c r="K41" s="130" t="n">
        <x:v>40</x:v>
      </x:c>
      <x:c r="L41" s="124"/>
      <x:c r="M41" s="124"/>
      <x:c r="N41" s="124" t="n">
        <x:v>77.1</x:v>
      </x:c>
      <x:c r="O41" s="69" t="str"/>
    </x:row>
    <x:row r="42" ht="21" customHeight="1">
      <x:c r="A42" s="100" t="n">
        <x:v>38</x:v>
      </x:c>
      <x:c r="B42" s="172" t="n">
        <x:v>95311006404</x:v>
      </x:c>
      <x:c r="C42" s="68" t="str">
        <x:v>LÊ THỊ NGÂN QUỲNH</x:v>
      </x:c>
      <x:c r="D42" s="106" t="str">
        <x:v>X</x:v>
      </x:c>
      <x:c r="E42" s="118" t="n">
        <x:v>40743</x:v>
      </x:c>
      <x:c r="F42" s="106" t="str">
        <x:v>Kinh</x:v>
      </x:c>
      <x:c r="G42" s="68" t="str">
        <x:v>Xã Vĩnh Thanh</x:v>
      </x:c>
      <x:c r="H42" s="68" t="str">
        <x:v>THCS Hưng Phú</x:v>
      </x:c>
      <x:c r="I42" s="68" t="str">
        <x:v>Xã Vĩnh Thanh</x:v>
      </x:c>
      <x:c r="J42" s="124" t="n">
        <x:v>37.1</x:v>
      </x:c>
      <x:c r="K42" s="130" t="n">
        <x:v>40</x:v>
      </x:c>
      <x:c r="L42" s="124"/>
      <x:c r="M42" s="124"/>
      <x:c r="N42" s="124" t="n">
        <x:v>77.1</x:v>
      </x:c>
      <x:c r="O42" s="69" t="str"/>
    </x:row>
    <x:row r="43" ht="21" customHeight="1">
      <x:c r="A43" s="100" t="n">
        <x:v>39</x:v>
      </x:c>
      <x:c r="B43" s="172" t="n">
        <x:v>95311006038</x:v>
      </x:c>
      <x:c r="C43" s="68" t="str">
        <x:v>NGUYỄN THỊ HỒNG CẨM</x:v>
      </x:c>
      <x:c r="D43" s="106" t="str">
        <x:v>X</x:v>
      </x:c>
      <x:c r="E43" s="118" t="n">
        <x:v>40720</x:v>
      </x:c>
      <x:c r="F43" s="106" t="str">
        <x:v>Kinh</x:v>
      </x:c>
      <x:c r="G43" s="68" t="str">
        <x:v>Xã Phước Long</x:v>
      </x:c>
      <x:c r="H43" s="68" t="str">
        <x:v>THCS Phước Long</x:v>
      </x:c>
      <x:c r="I43" s="68" t="str">
        <x:v>Xã Phước Long</x:v>
      </x:c>
      <x:c r="J43" s="124" t="n">
        <x:v>36</x:v>
      </x:c>
      <x:c r="K43" s="130" t="n">
        <x:v>40</x:v>
      </x:c>
      <x:c r="L43" s="124"/>
      <x:c r="M43" s="124" t="n">
        <x:v>1</x:v>
      </x:c>
      <x:c r="N43" s="124" t="n">
        <x:v>77</x:v>
      </x:c>
      <x:c r="O43" s="69" t="str"/>
    </x:row>
    <x:row r="44" ht="21" customHeight="1">
      <x:c r="A44" s="100" t="n">
        <x:v>40</x:v>
      </x:c>
      <x:c r="B44" s="172" t="n">
        <x:v>95211002080</x:v>
      </x:c>
      <x:c r="C44" s="68" t="str">
        <x:v>LA VÕ BẢO DUY</x:v>
      </x:c>
      <x:c r="D44" s="106" t="str"/>
      <x:c r="E44" s="118" t="n">
        <x:v>40667</x:v>
      </x:c>
      <x:c r="F44" s="106" t="str">
        <x:v>Kinh</x:v>
      </x:c>
      <x:c r="G44" s="68" t="str">
        <x:v>Xã Phước Long</x:v>
      </x:c>
      <x:c r="H44" s="68" t="str">
        <x:v>THCS Phước Long</x:v>
      </x:c>
      <x:c r="I44" s="68" t="str">
        <x:v>Xã Phước Long</x:v>
      </x:c>
      <x:c r="J44" s="124" t="n">
        <x:v>37</x:v>
      </x:c>
      <x:c r="K44" s="130" t="n">
        <x:v>40</x:v>
      </x:c>
      <x:c r="L44" s="124"/>
      <x:c r="M44" s="124"/>
      <x:c r="N44" s="124" t="n">
        <x:v>77</x:v>
      </x:c>
      <x:c r="O44" s="69" t="str"/>
    </x:row>
    <x:row r="45" ht="21" customHeight="1">
      <x:c r="A45" s="100" t="n">
        <x:v>41</x:v>
      </x:c>
      <x:c r="B45" s="172" t="n">
        <x:v>95311005454</x:v>
      </x:c>
      <x:c r="C45" s="68" t="str">
        <x:v>LÝ TRÚC QUỲNH</x:v>
      </x:c>
      <x:c r="D45" s="106" t="str">
        <x:v>X</x:v>
      </x:c>
      <x:c r="E45" s="118" t="n">
        <x:v>40890</x:v>
      </x:c>
      <x:c r="F45" s="106" t="str">
        <x:v>Kinh</x:v>
      </x:c>
      <x:c r="G45" s="68" t="str">
        <x:v>Xã Phước Long</x:v>
      </x:c>
      <x:c r="H45" s="68" t="str">
        <x:v>THCS Phước Long</x:v>
      </x:c>
      <x:c r="I45" s="68" t="str">
        <x:v>Xã Phước Long</x:v>
      </x:c>
      <x:c r="J45" s="124" t="n">
        <x:v>37</x:v>
      </x:c>
      <x:c r="K45" s="130" t="n">
        <x:v>40</x:v>
      </x:c>
      <x:c r="L45" s="124"/>
      <x:c r="M45" s="124"/>
      <x:c r="N45" s="124" t="n">
        <x:v>77</x:v>
      </x:c>
      <x:c r="O45" s="69" t="str"/>
    </x:row>
    <x:row r="46" ht="21" customHeight="1">
      <x:c r="A46" s="100" t="n">
        <x:v>42</x:v>
      </x:c>
      <x:c r="B46" s="172" t="n">
        <x:v>92211005722</x:v>
      </x:c>
      <x:c r="C46" s="68" t="str">
        <x:v>HÀ MẠNH TRÍ</x:v>
      </x:c>
      <x:c r="D46" s="106" t="str"/>
      <x:c r="E46" s="118" t="n">
        <x:v>40787</x:v>
      </x:c>
      <x:c r="F46" s="106" t="str">
        <x:v>Kinh</x:v>
      </x:c>
      <x:c r="G46" s="68" t="str">
        <x:v>Xã Vĩnh Thanh</x:v>
      </x:c>
      <x:c r="H46" s="68" t="str">
        <x:v>THCS Vĩnh Phú Tây</x:v>
      </x:c>
      <x:c r="I46" s="68" t="str">
        <x:v>Xã Vĩnh Phước</x:v>
      </x:c>
      <x:c r="J46" s="124" t="n">
        <x:v>37</x:v>
      </x:c>
      <x:c r="K46" s="130" t="n">
        <x:v>40</x:v>
      </x:c>
      <x:c r="L46" s="124"/>
      <x:c r="M46" s="124"/>
      <x:c r="N46" s="124" t="n">
        <x:v>77</x:v>
      </x:c>
      <x:c r="O46" s="69" t="str"/>
    </x:row>
    <x:row r="47" ht="21" customHeight="1">
      <x:c r="A47" s="100" t="n">
        <x:v>43</x:v>
      </x:c>
      <x:c r="B47" s="172" t="n">
        <x:v>93311000744</x:v>
      </x:c>
      <x:c r="C47" s="68" t="str">
        <x:v>ĐOÀN NGỌC THÚY QUYÊN</x:v>
      </x:c>
      <x:c r="D47" s="106" t="str">
        <x:v>X</x:v>
      </x:c>
      <x:c r="E47" s="118" t="n">
        <x:v>40567</x:v>
      </x:c>
      <x:c r="F47" s="106" t="str">
        <x:v>Kinh</x:v>
      </x:c>
      <x:c r="G47" s="68" t="str">
        <x:v>Xã Vĩnh Thanh</x:v>
      </x:c>
      <x:c r="H47" s="68" t="str">
        <x:v>THCS Hưng Phú</x:v>
      </x:c>
      <x:c r="I47" s="68" t="str">
        <x:v>Xã Vĩnh Thanh</x:v>
      </x:c>
      <x:c r="J47" s="124" t="n">
        <x:v>37</x:v>
      </x:c>
      <x:c r="K47" s="130" t="n">
        <x:v>40</x:v>
      </x:c>
      <x:c r="L47" s="124"/>
      <x:c r="M47" s="124"/>
      <x:c r="N47" s="124" t="n">
        <x:v>77</x:v>
      </x:c>
      <x:c r="O47" s="69" t="str"/>
    </x:row>
    <x:row r="48" ht="21" customHeight="1">
      <x:c r="A48" s="100" t="n">
        <x:v>44</x:v>
      </x:c>
      <x:c r="B48" s="172" t="n">
        <x:v>95211008203</x:v>
      </x:c>
      <x:c r="C48" s="68" t="str">
        <x:v>LÂM GIA HẠO</x:v>
      </x:c>
      <x:c r="D48" s="106" t="str"/>
      <x:c r="E48" s="118" t="n">
        <x:v>40617</x:v>
      </x:c>
      <x:c r="F48" s="106" t="str">
        <x:v>Kinh</x:v>
      </x:c>
      <x:c r="G48" s="68" t="str">
        <x:v>Xã Phước Long</x:v>
      </x:c>
      <x:c r="H48" s="68" t="str">
        <x:v>THCS Phước Long</x:v>
      </x:c>
      <x:c r="I48" s="68" t="str">
        <x:v>Xã Phước Long</x:v>
      </x:c>
      <x:c r="J48" s="124" t="n">
        <x:v>36.9</x:v>
      </x:c>
      <x:c r="K48" s="130" t="n">
        <x:v>40</x:v>
      </x:c>
      <x:c r="L48" s="124"/>
      <x:c r="M48" s="124"/>
      <x:c r="N48" s="124" t="n">
        <x:v>76.9</x:v>
      </x:c>
      <x:c r="O48" s="69" t="str"/>
    </x:row>
    <x:row r="49" ht="21" customHeight="1">
      <x:c r="A49" s="100" t="n">
        <x:v>45</x:v>
      </x:c>
      <x:c r="B49" s="172" t="n">
        <x:v>95311010914</x:v>
      </x:c>
      <x:c r="C49" s="68" t="str">
        <x:v>NGUYỄN THỊ HẰNG NGA</x:v>
      </x:c>
      <x:c r="D49" s="106" t="str">
        <x:v>X</x:v>
      </x:c>
      <x:c r="E49" s="118" t="n">
        <x:v>40624</x:v>
      </x:c>
      <x:c r="F49" s="106" t="str">
        <x:v>Kinh</x:v>
      </x:c>
      <x:c r="G49" s="68" t="str">
        <x:v>Xã Vĩnh Thanh</x:v>
      </x:c>
      <x:c r="H49" s="68" t="str">
        <x:v>THCS Hưng Phú</x:v>
      </x:c>
      <x:c r="I49" s="68" t="str">
        <x:v>Xã Vĩnh Thanh</x:v>
      </x:c>
      <x:c r="J49" s="124" t="n">
        <x:v>36.9</x:v>
      </x:c>
      <x:c r="K49" s="130" t="n">
        <x:v>40</x:v>
      </x:c>
      <x:c r="L49" s="124"/>
      <x:c r="M49" s="124"/>
      <x:c r="N49" s="124" t="n">
        <x:v>76.9</x:v>
      </x:c>
      <x:c r="O49" s="69" t="str"/>
    </x:row>
    <x:row r="50" ht="21" customHeight="1">
      <x:c r="A50" s="100" t="n">
        <x:v>46</x:v>
      </x:c>
      <x:c r="B50" s="172" t="n">
        <x:v>95311003384</x:v>
      </x:c>
      <x:c r="C50" s="68" t="str">
        <x:v>NGUYỄN THỊ BÌNH YÊN</x:v>
      </x:c>
      <x:c r="D50" s="106" t="str">
        <x:v>X</x:v>
      </x:c>
      <x:c r="E50" s="118" t="n">
        <x:v>40891</x:v>
      </x:c>
      <x:c r="F50" s="106" t="str">
        <x:v>Kinh</x:v>
      </x:c>
      <x:c r="G50" s="68" t="str">
        <x:v>Xã Phước Long</x:v>
      </x:c>
      <x:c r="H50" s="68" t="str">
        <x:v>THCS Phước Long</x:v>
      </x:c>
      <x:c r="I50" s="68" t="str">
        <x:v>Xã Phước Long</x:v>
      </x:c>
      <x:c r="J50" s="124" t="n">
        <x:v>36.8</x:v>
      </x:c>
      <x:c r="K50" s="130" t="n">
        <x:v>40</x:v>
      </x:c>
      <x:c r="L50" s="124"/>
      <x:c r="M50" s="124"/>
      <x:c r="N50" s="124" t="n">
        <x:v>76.8</x:v>
      </x:c>
      <x:c r="O50" s="69" t="str"/>
    </x:row>
    <x:row r="51" ht="21" customHeight="1">
      <x:c r="A51" s="100" t="n">
        <x:v>47</x:v>
      </x:c>
      <x:c r="B51" s="172" t="n">
        <x:v>95311002384</x:v>
      </x:c>
      <x:c r="C51" s="68" t="str">
        <x:v>TRẦN MINH ANH</x:v>
      </x:c>
      <x:c r="D51" s="106" t="str">
        <x:v>X</x:v>
      </x:c>
      <x:c r="E51" s="118" t="n">
        <x:v>40555</x:v>
      </x:c>
      <x:c r="F51" s="106" t="str">
        <x:v>Kinh</x:v>
      </x:c>
      <x:c r="G51" s="68" t="str">
        <x:v>Xã Phước Long</x:v>
      </x:c>
      <x:c r="H51" s="68" t="str">
        <x:v>THCS Phước Long</x:v>
      </x:c>
      <x:c r="I51" s="68" t="str">
        <x:v>Xã Phước Long</x:v>
      </x:c>
      <x:c r="J51" s="124" t="n">
        <x:v>36.8</x:v>
      </x:c>
      <x:c r="K51" s="130" t="n">
        <x:v>40</x:v>
      </x:c>
      <x:c r="L51" s="124"/>
      <x:c r="M51" s="124"/>
      <x:c r="N51" s="124" t="n">
        <x:v>76.8</x:v>
      </x:c>
      <x:c r="O51" s="69" t="str"/>
    </x:row>
    <x:row r="52" ht="21" customHeight="1">
      <x:c r="A52" s="100" t="n">
        <x:v>48</x:v>
      </x:c>
      <x:c r="B52" s="172" t="n">
        <x:v>95311003543</x:v>
      </x:c>
      <x:c r="C52" s="68" t="str">
        <x:v>LÊ QUỲNH ANH</x:v>
      </x:c>
      <x:c r="D52" s="106" t="str">
        <x:v>X</x:v>
      </x:c>
      <x:c r="E52" s="118" t="n">
        <x:v>40658</x:v>
      </x:c>
      <x:c r="F52" s="106" t="str">
        <x:v>Kinh</x:v>
      </x:c>
      <x:c r="G52" s="68" t="str">
        <x:v>Xã Vĩnh Phước</x:v>
      </x:c>
      <x:c r="H52" s="68" t="str">
        <x:v>THCS Vĩnh Phú Tây</x:v>
      </x:c>
      <x:c r="I52" s="68" t="str">
        <x:v>Xã Vĩnh Phước</x:v>
      </x:c>
      <x:c r="J52" s="124" t="n">
        <x:v>36.8</x:v>
      </x:c>
      <x:c r="K52" s="130" t="n">
        <x:v>40</x:v>
      </x:c>
      <x:c r="L52" s="124"/>
      <x:c r="M52" s="124"/>
      <x:c r="N52" s="124" t="n">
        <x:v>76.8</x:v>
      </x:c>
      <x:c r="O52" s="69" t="str"/>
    </x:row>
    <x:row r="53" ht="21" customHeight="1">
      <x:c r="A53" s="100" t="n">
        <x:v>49</x:v>
      </x:c>
      <x:c r="B53" s="172" t="n">
        <x:v>95311007000</x:v>
      </x:c>
      <x:c r="C53" s="68" t="str">
        <x:v>NGUYỄN NGỌC TUYỂN</x:v>
      </x:c>
      <x:c r="D53" s="106" t="str">
        <x:v>X</x:v>
      </x:c>
      <x:c r="E53" s="118" t="n">
        <x:v>40834</x:v>
      </x:c>
      <x:c r="F53" s="106" t="str">
        <x:v>Kinh</x:v>
      </x:c>
      <x:c r="G53" s="68" t="str">
        <x:v>Xã Vĩnh Phước</x:v>
      </x:c>
      <x:c r="H53" s="68" t="str">
        <x:v>THCS Phước Long</x:v>
      </x:c>
      <x:c r="I53" s="68" t="str">
        <x:v>Xã Phước Long</x:v>
      </x:c>
      <x:c r="J53" s="124" t="n">
        <x:v>36.7</x:v>
      </x:c>
      <x:c r="K53" s="130" t="n">
        <x:v>40</x:v>
      </x:c>
      <x:c r="L53" s="124"/>
      <x:c r="M53" s="124"/>
      <x:c r="N53" s="124" t="n">
        <x:v>76.7</x:v>
      </x:c>
      <x:c r="O53" s="69" t="str"/>
    </x:row>
    <x:row r="54" ht="21" customHeight="1">
      <x:c r="A54" s="100" t="n">
        <x:v>50</x:v>
      </x:c>
      <x:c r="B54" s="172" t="n">
        <x:v>95211010013</x:v>
      </x:c>
      <x:c r="C54" s="68" t="str">
        <x:v>HUỲNH TRƯỜNG VĨ</x:v>
      </x:c>
      <x:c r="D54" s="106" t="str"/>
      <x:c r="E54" s="118" t="n">
        <x:v>40881</x:v>
      </x:c>
      <x:c r="F54" s="106" t="str">
        <x:v>Kinh</x:v>
      </x:c>
      <x:c r="G54" s="68" t="str">
        <x:v>Xã Phước Long</x:v>
      </x:c>
      <x:c r="H54" s="68" t="str">
        <x:v>THCS Phước Long</x:v>
      </x:c>
      <x:c r="I54" s="68" t="str">
        <x:v>Xã Phước Long</x:v>
      </x:c>
      <x:c r="J54" s="124" t="n">
        <x:v>36.7</x:v>
      </x:c>
      <x:c r="K54" s="130" t="n">
        <x:v>40</x:v>
      </x:c>
      <x:c r="L54" s="124"/>
      <x:c r="M54" s="124"/>
      <x:c r="N54" s="124" t="n">
        <x:v>76.7</x:v>
      </x:c>
      <x:c r="O54" s="69" t="str"/>
    </x:row>
    <x:row r="55" ht="21" customHeight="1">
      <x:c r="A55" s="100" t="n">
        <x:v>51</x:v>
      </x:c>
      <x:c r="B55" s="172" t="n">
        <x:v>95211003191</x:v>
      </x:c>
      <x:c r="C55" s="68" t="str">
        <x:v>HUỲNH DUY KHIÊM</x:v>
      </x:c>
      <x:c r="D55" s="106" t="str"/>
      <x:c r="E55" s="118" t="n">
        <x:v>40871</x:v>
      </x:c>
      <x:c r="F55" s="106" t="str">
        <x:v>Kinh</x:v>
      </x:c>
      <x:c r="G55" s="68" t="str">
        <x:v>Xã Vĩnh Phước</x:v>
      </x:c>
      <x:c r="H55" s="68" t="str">
        <x:v>THCS Vĩnh Thanh</x:v>
      </x:c>
      <x:c r="I55" s="68" t="str">
        <x:v>Xã Vĩnh Thanh</x:v>
      </x:c>
      <x:c r="J55" s="124" t="n">
        <x:v>35.7</x:v>
      </x:c>
      <x:c r="K55" s="130" t="n">
        <x:v>40</x:v>
      </x:c>
      <x:c r="L55" s="124" t="n">
        <x:v>1</x:v>
      </x:c>
      <x:c r="M55" s="124"/>
      <x:c r="N55" s="124" t="n">
        <x:v>76.7</x:v>
      </x:c>
      <x:c r="O55" s="69" t="str"/>
    </x:row>
    <x:row r="56" ht="21" customHeight="1">
      <x:c r="A56" s="100" t="n">
        <x:v>52</x:v>
      </x:c>
      <x:c r="B56" s="172" t="n">
        <x:v>95311001498</x:v>
      </x:c>
      <x:c r="C56" s="68" t="str">
        <x:v>TRANG KIM NGÂN</x:v>
      </x:c>
      <x:c r="D56" s="106" t="str">
        <x:v>X</x:v>
      </x:c>
      <x:c r="E56" s="118" t="n">
        <x:v>40842</x:v>
      </x:c>
      <x:c r="F56" s="106" t="str">
        <x:v>Kinh</x:v>
      </x:c>
      <x:c r="G56" s="68" t="str">
        <x:v>Xã Vĩnh Thanh</x:v>
      </x:c>
      <x:c r="H56" s="68" t="str">
        <x:v>THCS Phước Long</x:v>
      </x:c>
      <x:c r="I56" s="68" t="str">
        <x:v>Xã Phước Long</x:v>
      </x:c>
      <x:c r="J56" s="124" t="n">
        <x:v>36.2</x:v>
      </x:c>
      <x:c r="K56" s="130" t="n">
        <x:v>40</x:v>
      </x:c>
      <x:c r="L56" s="124"/>
      <x:c r="M56" s="124" t="n">
        <x:v>0.5</x:v>
      </x:c>
      <x:c r="N56" s="124" t="n">
        <x:v>76.7</x:v>
      </x:c>
      <x:c r="O56" s="69" t="str"/>
    </x:row>
    <x:row r="57" ht="21" customHeight="1">
      <x:c r="A57" s="100" t="n">
        <x:v>53</x:v>
      </x:c>
      <x:c r="B57" s="172" t="n">
        <x:v>95211007865</x:v>
      </x:c>
      <x:c r="C57" s="68" t="str">
        <x:v>NGUYỄN LÊ HOÀNG TUẦN</x:v>
      </x:c>
      <x:c r="D57" s="106" t="str"/>
      <x:c r="E57" s="118" t="n">
        <x:v>40612</x:v>
      </x:c>
      <x:c r="F57" s="106" t="str">
        <x:v>Kinh</x:v>
      </x:c>
      <x:c r="G57" s="68" t="str">
        <x:v>Xã Phước Long</x:v>
      </x:c>
      <x:c r="H57" s="68" t="str">
        <x:v>THCS Phước Long</x:v>
      </x:c>
      <x:c r="I57" s="68" t="str">
        <x:v>Xã Phước Long</x:v>
      </x:c>
      <x:c r="J57" s="124" t="n">
        <x:v>36.6</x:v>
      </x:c>
      <x:c r="K57" s="130" t="n">
        <x:v>40</x:v>
      </x:c>
      <x:c r="L57" s="124"/>
      <x:c r="M57" s="124"/>
      <x:c r="N57" s="124" t="n">
        <x:v>76.6</x:v>
      </x:c>
      <x:c r="O57" s="69" t="str"/>
    </x:row>
    <x:row r="58" ht="21" customHeight="1">
      <x:c r="A58" s="100" t="n">
        <x:v>54</x:v>
      </x:c>
      <x:c r="B58" s="172" t="n">
        <x:v>95311008450</x:v>
      </x:c>
      <x:c r="C58" s="68" t="str">
        <x:v>NGUYỄN BÍCH TUYÊN</x:v>
      </x:c>
      <x:c r="D58" s="106" t="str">
        <x:v>X</x:v>
      </x:c>
      <x:c r="E58" s="118" t="n">
        <x:v>40766</x:v>
      </x:c>
      <x:c r="F58" s="106" t="str">
        <x:v>Kinh</x:v>
      </x:c>
      <x:c r="G58" s="68" t="str">
        <x:v>Xã Ninh Thạnh Lợi</x:v>
      </x:c>
      <x:c r="H58" s="68" t="str">
        <x:v>THCS Phước Long</x:v>
      </x:c>
      <x:c r="I58" s="68" t="str">
        <x:v>Xã Vĩnh Phước</x:v>
      </x:c>
      <x:c r="J58" s="124" t="n">
        <x:v>35.6</x:v>
      </x:c>
      <x:c r="K58" s="130" t="n">
        <x:v>40</x:v>
      </x:c>
      <x:c r="L58" s="124" t="n">
        <x:v>1</x:v>
      </x:c>
      <x:c r="M58" s="124"/>
      <x:c r="N58" s="124" t="n">
        <x:v>76.6</x:v>
      </x:c>
      <x:c r="O58" s="69" t="str"/>
    </x:row>
    <x:row r="59" ht="21" customHeight="1">
      <x:c r="A59" s="100" t="n">
        <x:v>55</x:v>
      </x:c>
      <x:c r="B59" s="172" t="n">
        <x:v>95311006126</x:v>
      </x:c>
      <x:c r="C59" s="68" t="str">
        <x:v>QUÁCH HÀ THẢO VY</x:v>
      </x:c>
      <x:c r="D59" s="106" t="str">
        <x:v>X</x:v>
      </x:c>
      <x:c r="E59" s="118" t="n">
        <x:v>40689</x:v>
      </x:c>
      <x:c r="F59" s="106" t="str">
        <x:v>Kinh</x:v>
      </x:c>
      <x:c r="G59" s="68" t="str">
        <x:v>Xã Vĩnh Phước</x:v>
      </x:c>
      <x:c r="H59" s="68" t="str">
        <x:v>THCS Vĩnh Phú Tây</x:v>
      </x:c>
      <x:c r="I59" s="68" t="str">
        <x:v>Xã Vĩnh Phước</x:v>
      </x:c>
      <x:c r="J59" s="124" t="n">
        <x:v>36.5</x:v>
      </x:c>
      <x:c r="K59" s="130" t="n">
        <x:v>40</x:v>
      </x:c>
      <x:c r="L59" s="124"/>
      <x:c r="M59" s="124"/>
      <x:c r="N59" s="124" t="n">
        <x:v>76.5</x:v>
      </x:c>
      <x:c r="O59" s="69" t="str"/>
    </x:row>
    <x:row r="60" ht="21" customHeight="1">
      <x:c r="A60" s="100" t="n">
        <x:v>56</x:v>
      </x:c>
      <x:c r="B60" s="172" t="n">
        <x:v>95311008948</x:v>
      </x:c>
      <x:c r="C60" s="68" t="str">
        <x:v>LÂM KIỀU MY</x:v>
      </x:c>
      <x:c r="D60" s="106" t="str">
        <x:v>X</x:v>
      </x:c>
      <x:c r="E60" s="118" t="n">
        <x:v>40711</x:v>
      </x:c>
      <x:c r="F60" s="106" t="str">
        <x:v>Kinh</x:v>
      </x:c>
      <x:c r="G60" s="68" t="str">
        <x:v>Xã Vĩnh Thanh</x:v>
      </x:c>
      <x:c r="H60" s="68" t="str">
        <x:v>THCS Phước Long</x:v>
      </x:c>
      <x:c r="I60" s="68" t="str">
        <x:v>Xã Phước Long</x:v>
      </x:c>
      <x:c r="J60" s="124" t="n">
        <x:v>36.4</x:v>
      </x:c>
      <x:c r="K60" s="130" t="n">
        <x:v>40</x:v>
      </x:c>
      <x:c r="L60" s="124"/>
      <x:c r="M60" s="124"/>
      <x:c r="N60" s="124" t="n">
        <x:v>76.4</x:v>
      </x:c>
      <x:c r="O60" s="69" t="str"/>
    </x:row>
    <x:row r="61" ht="21" customHeight="1">
      <x:c r="A61" s="100" t="n">
        <x:v>57</x:v>
      </x:c>
      <x:c r="B61" s="172" t="n">
        <x:v>95211005101</x:v>
      </x:c>
      <x:c r="C61" s="68" t="str">
        <x:v>VÕ SƠN MINH ĐỊNH</x:v>
      </x:c>
      <x:c r="D61" s="106" t="str"/>
      <x:c r="E61" s="118" t="n">
        <x:v>40705</x:v>
      </x:c>
      <x:c r="F61" s="106" t="str">
        <x:v>Khmer</x:v>
      </x:c>
      <x:c r="G61" s="68" t="str">
        <x:v>Xã Phước Long</x:v>
      </x:c>
      <x:c r="H61" s="68" t="str">
        <x:v>THCS Phước Long</x:v>
      </x:c>
      <x:c r="I61" s="68" t="str">
        <x:v>Xã Phước Long</x:v>
      </x:c>
      <x:c r="J61" s="124" t="n">
        <x:v>35.4</x:v>
      </x:c>
      <x:c r="K61" s="130" t="n">
        <x:v>40</x:v>
      </x:c>
      <x:c r="L61" s="124" t="n">
        <x:v>1</x:v>
      </x:c>
      <x:c r="M61" s="124"/>
      <x:c r="N61" s="124" t="n">
        <x:v>76.4</x:v>
      </x:c>
      <x:c r="O61" s="69" t="str"/>
    </x:row>
    <x:row r="62" ht="21" customHeight="1">
      <x:c r="A62" s="100" t="n">
        <x:v>58</x:v>
      </x:c>
      <x:c r="B62" s="172" t="n">
        <x:v>95311007959</x:v>
      </x:c>
      <x:c r="C62" s="68" t="str">
        <x:v>NGUYỄN TRẦN ÁI VY</x:v>
      </x:c>
      <x:c r="D62" s="106" t="str">
        <x:v>X</x:v>
      </x:c>
      <x:c r="E62" s="118" t="n">
        <x:v>40560</x:v>
      </x:c>
      <x:c r="F62" s="106" t="str">
        <x:v>Kinh</x:v>
      </x:c>
      <x:c r="G62" s="68" t="str">
        <x:v>Xã Vĩnh Thanh</x:v>
      </x:c>
      <x:c r="H62" s="68" t="str">
        <x:v>THCS Hưng Phú</x:v>
      </x:c>
      <x:c r="I62" s="68" t="str">
        <x:v>Xã Vĩnh Thanh</x:v>
      </x:c>
      <x:c r="J62" s="124" t="n">
        <x:v>36.4</x:v>
      </x:c>
      <x:c r="K62" s="130" t="n">
        <x:v>40</x:v>
      </x:c>
      <x:c r="L62" s="124"/>
      <x:c r="M62" s="124"/>
      <x:c r="N62" s="124" t="n">
        <x:v>76.4</x:v>
      </x:c>
      <x:c r="O62" s="69" t="str"/>
    </x:row>
    <x:row r="63" ht="21" customHeight="1">
      <x:c r="A63" s="100" t="n">
        <x:v>59</x:v>
      </x:c>
      <x:c r="B63" s="172" t="n">
        <x:v>95311003563</x:v>
      </x:c>
      <x:c r="C63" s="68" t="str">
        <x:v>DANH THỊ PHƯƠNG NGUYỆT</x:v>
      </x:c>
      <x:c r="D63" s="106" t="str">
        <x:v>X</x:v>
      </x:c>
      <x:c r="E63" s="118" t="n">
        <x:v>40692</x:v>
      </x:c>
      <x:c r="F63" s="106" t="str">
        <x:v>Khmer</x:v>
      </x:c>
      <x:c r="G63" s="68" t="str">
        <x:v>Xã Vĩnh Phước</x:v>
      </x:c>
      <x:c r="H63" s="68" t="str">
        <x:v>THCS Phước Long</x:v>
      </x:c>
      <x:c r="I63" s="68" t="str">
        <x:v>Xã Vĩnh Phước</x:v>
      </x:c>
      <x:c r="J63" s="124" t="n">
        <x:v>35.4</x:v>
      </x:c>
      <x:c r="K63" s="130" t="n">
        <x:v>40</x:v>
      </x:c>
      <x:c r="L63" s="124" t="n">
        <x:v>1</x:v>
      </x:c>
      <x:c r="M63" s="124"/>
      <x:c r="N63" s="124" t="n">
        <x:v>76.4</x:v>
      </x:c>
      <x:c r="O63" s="69" t="str"/>
    </x:row>
    <x:row r="64" ht="21" customHeight="1">
      <x:c r="A64" s="100" t="n">
        <x:v>60</x:v>
      </x:c>
      <x:c r="B64" s="172" t="n">
        <x:v>95211003403</x:v>
      </x:c>
      <x:c r="C64" s="68" t="str">
        <x:v>TRẦN LÝ NGUYỄN</x:v>
      </x:c>
      <x:c r="D64" s="106" t="str"/>
      <x:c r="E64" s="118" t="n">
        <x:v>40611</x:v>
      </x:c>
      <x:c r="F64" s="106" t="str">
        <x:v>Kinh</x:v>
      </x:c>
      <x:c r="G64" s="68" t="str">
        <x:v>Xã Phước Long</x:v>
      </x:c>
      <x:c r="H64" s="68" t="str">
        <x:v>THCS Phước Long</x:v>
      </x:c>
      <x:c r="I64" s="68" t="str">
        <x:v>Xã Phước Long</x:v>
      </x:c>
      <x:c r="J64" s="124" t="n">
        <x:v>36.3</x:v>
      </x:c>
      <x:c r="K64" s="130" t="n">
        <x:v>40</x:v>
      </x:c>
      <x:c r="L64" s="124"/>
      <x:c r="M64" s="124"/>
      <x:c r="N64" s="124" t="n">
        <x:v>76.3</x:v>
      </x:c>
      <x:c r="O64" s="69" t="str"/>
    </x:row>
    <x:row r="65" ht="21" customHeight="1">
      <x:c r="A65" s="100" t="n">
        <x:v>61</x:v>
      </x:c>
      <x:c r="B65" s="172" t="n">
        <x:v>95311005425</x:v>
      </x:c>
      <x:c r="C65" s="68" t="str">
        <x:v>LÊ CÁT TƯỜNG</x:v>
      </x:c>
      <x:c r="D65" s="106" t="str">
        <x:v>X</x:v>
      </x:c>
      <x:c r="E65" s="118" t="n">
        <x:v>40663</x:v>
      </x:c>
      <x:c r="F65" s="106" t="str">
        <x:v>Kinh</x:v>
      </x:c>
      <x:c r="G65" s="68" t="str">
        <x:v>Xã Vĩnh Phước</x:v>
      </x:c>
      <x:c r="H65" s="68" t="str">
        <x:v>THCS Phước Long</x:v>
      </x:c>
      <x:c r="I65" s="68" t="str">
        <x:v>Xã Phước Long</x:v>
      </x:c>
      <x:c r="J65" s="124" t="n">
        <x:v>36.3</x:v>
      </x:c>
      <x:c r="K65" s="130" t="n">
        <x:v>40</x:v>
      </x:c>
      <x:c r="L65" s="124"/>
      <x:c r="M65" s="124"/>
      <x:c r="N65" s="124" t="n">
        <x:v>76.3</x:v>
      </x:c>
      <x:c r="O65" s="69" t="str"/>
    </x:row>
    <x:row r="66" ht="21" customHeight="1">
      <x:c r="A66" s="100" t="n">
        <x:v>62</x:v>
      </x:c>
      <x:c r="B66" s="172" t="n">
        <x:v>95311006960</x:v>
      </x:c>
      <x:c r="C66" s="68" t="str">
        <x:v>NGUYỄN ĐINH KHẢ MY</x:v>
      </x:c>
      <x:c r="D66" s="106" t="str">
        <x:v>X</x:v>
      </x:c>
      <x:c r="E66" s="118" t="n">
        <x:v>40877</x:v>
      </x:c>
      <x:c r="F66" s="106" t="str">
        <x:v>Kinh</x:v>
      </x:c>
      <x:c r="G66" s="68" t="str">
        <x:v>Xã Phước Long</x:v>
      </x:c>
      <x:c r="H66" s="68" t="str">
        <x:v>THCS Phước Long</x:v>
      </x:c>
      <x:c r="I66" s="68" t="str">
        <x:v>Xã Phước Long</x:v>
      </x:c>
      <x:c r="J66" s="124" t="n">
        <x:v>36.3</x:v>
      </x:c>
      <x:c r="K66" s="130" t="n">
        <x:v>40</x:v>
      </x:c>
      <x:c r="L66" s="124"/>
      <x:c r="M66" s="124"/>
      <x:c r="N66" s="124" t="n">
        <x:v>76.3</x:v>
      </x:c>
      <x:c r="O66" s="69" t="str"/>
    </x:row>
    <x:row r="67" ht="21" customHeight="1">
      <x:c r="A67" s="100" t="n">
        <x:v>63</x:v>
      </x:c>
      <x:c r="B67" s="172" t="n">
        <x:v>95211000347</x:v>
      </x:c>
      <x:c r="C67" s="68" t="str">
        <x:v>NGUYỄN THẾ BẢO</x:v>
      </x:c>
      <x:c r="D67" s="106" t="str"/>
      <x:c r="E67" s="118" t="n">
        <x:v>40759</x:v>
      </x:c>
      <x:c r="F67" s="106" t="str">
        <x:v>Kinh</x:v>
      </x:c>
      <x:c r="G67" s="68" t="str">
        <x:v>Xã Phước Long</x:v>
      </x:c>
      <x:c r="H67" s="68" t="str">
        <x:v>THCS Phước Long</x:v>
      </x:c>
      <x:c r="I67" s="68" t="str">
        <x:v>Xã Phước Long</x:v>
      </x:c>
      <x:c r="J67" s="124" t="n">
        <x:v>36.3</x:v>
      </x:c>
      <x:c r="K67" s="130" t="n">
        <x:v>40</x:v>
      </x:c>
      <x:c r="L67" s="124"/>
      <x:c r="M67" s="124"/>
      <x:c r="N67" s="124" t="n">
        <x:v>76.3</x:v>
      </x:c>
      <x:c r="O67" s="69" t="str"/>
    </x:row>
    <x:row r="68" ht="21" customHeight="1">
      <x:c r="A68" s="100" t="n">
        <x:v>64</x:v>
      </x:c>
      <x:c r="B68" s="172" t="n">
        <x:v>95311007897</x:v>
      </x:c>
      <x:c r="C68" s="68" t="str">
        <x:v>ĐẶNG THẢO VY</x:v>
      </x:c>
      <x:c r="D68" s="106" t="str">
        <x:v>X</x:v>
      </x:c>
      <x:c r="E68" s="118" t="n">
        <x:v>40768</x:v>
      </x:c>
      <x:c r="F68" s="106" t="str">
        <x:v>Kinh</x:v>
      </x:c>
      <x:c r="G68" s="68" t="str">
        <x:v>Xã Vĩnh Phước</x:v>
      </x:c>
      <x:c r="H68" s="68" t="str">
        <x:v>THCS Vĩnh Phú Tây</x:v>
      </x:c>
      <x:c r="I68" s="68" t="str">
        <x:v>Xã Vĩnh Phước</x:v>
      </x:c>
      <x:c r="J68" s="124" t="n">
        <x:v>35.3</x:v>
      </x:c>
      <x:c r="K68" s="130" t="n">
        <x:v>40</x:v>
      </x:c>
      <x:c r="L68" s="124" t="n">
        <x:v>1</x:v>
      </x:c>
      <x:c r="M68" s="124"/>
      <x:c r="N68" s="124" t="n">
        <x:v>76.3</x:v>
      </x:c>
      <x:c r="O68" s="69" t="str"/>
    </x:row>
    <x:row r="69" ht="21" customHeight="1">
      <x:c r="A69" s="100" t="n">
        <x:v>65</x:v>
      </x:c>
      <x:c r="B69" s="172" t="n">
        <x:v>95311005684</x:v>
      </x:c>
      <x:c r="C69" s="68" t="str">
        <x:v>TRẦN NHƯ Ý</x:v>
      </x:c>
      <x:c r="D69" s="106" t="str">
        <x:v>X</x:v>
      </x:c>
      <x:c r="E69" s="118" t="n">
        <x:v>40753</x:v>
      </x:c>
      <x:c r="F69" s="106" t="str">
        <x:v>Kinh</x:v>
      </x:c>
      <x:c r="G69" s="68" t="str">
        <x:v>Xã Vĩnh Thanh</x:v>
      </x:c>
      <x:c r="H69" s="68" t="str">
        <x:v>THCS Hưng Phú</x:v>
      </x:c>
      <x:c r="I69" s="68" t="str">
        <x:v>Xã Vĩnh Thanh</x:v>
      </x:c>
      <x:c r="J69" s="124" t="n">
        <x:v>36.3</x:v>
      </x:c>
      <x:c r="K69" s="130" t="n">
        <x:v>40</x:v>
      </x:c>
      <x:c r="L69" s="124"/>
      <x:c r="M69" s="124"/>
      <x:c r="N69" s="124" t="n">
        <x:v>76.3</x:v>
      </x:c>
      <x:c r="O69" s="69" t="str"/>
    </x:row>
    <x:row r="70" ht="21" customHeight="1">
      <x:c r="A70" s="100" t="n">
        <x:v>66</x:v>
      </x:c>
      <x:c r="B70" s="172" t="n">
        <x:v>95211002169</x:v>
      </x:c>
      <x:c r="C70" s="68" t="str">
        <x:v>LÊ HẢI LONG</x:v>
      </x:c>
      <x:c r="D70" s="106" t="str"/>
      <x:c r="E70" s="118" t="n">
        <x:v>40819</x:v>
      </x:c>
      <x:c r="F70" s="106" t="str">
        <x:v>Kinh</x:v>
      </x:c>
      <x:c r="G70" s="68" t="str">
        <x:v>Xã Vĩnh Thanh</x:v>
      </x:c>
      <x:c r="H70" s="68" t="str">
        <x:v>THCS Hưng Phú</x:v>
      </x:c>
      <x:c r="I70" s="68" t="str">
        <x:v>Xã Vĩnh Thanh</x:v>
      </x:c>
      <x:c r="J70" s="124" t="n">
        <x:v>36.3</x:v>
      </x:c>
      <x:c r="K70" s="130" t="n">
        <x:v>40</x:v>
      </x:c>
      <x:c r="L70" s="124"/>
      <x:c r="M70" s="124"/>
      <x:c r="N70" s="124" t="n">
        <x:v>76.3</x:v>
      </x:c>
      <x:c r="O70" s="69" t="str"/>
    </x:row>
    <x:row r="71" ht="21" customHeight="1">
      <x:c r="A71" s="100" t="n">
        <x:v>67</x:v>
      </x:c>
      <x:c r="B71" s="172" t="n">
        <x:v>95311004777</x:v>
      </x:c>
      <x:c r="C71" s="68" t="str">
        <x:v>NGUYỄN HÀ UYÊN NHI</x:v>
      </x:c>
      <x:c r="D71" s="106" t="str">
        <x:v>X</x:v>
      </x:c>
      <x:c r="E71" s="118" t="n">
        <x:v>40556</x:v>
      </x:c>
      <x:c r="F71" s="106" t="str">
        <x:v>Kinh</x:v>
      </x:c>
      <x:c r="G71" s="68" t="str">
        <x:v>Xã Phước Long</x:v>
      </x:c>
      <x:c r="H71" s="68" t="str">
        <x:v>THCS Phước Long</x:v>
      </x:c>
      <x:c r="I71" s="68" t="str">
        <x:v>Xã Phước Long</x:v>
      </x:c>
      <x:c r="J71" s="124" t="n">
        <x:v>36.2</x:v>
      </x:c>
      <x:c r="K71" s="130" t="n">
        <x:v>40</x:v>
      </x:c>
      <x:c r="L71" s="124"/>
      <x:c r="M71" s="124"/>
      <x:c r="N71" s="124" t="n">
        <x:v>76.2</x:v>
      </x:c>
      <x:c r="O71" s="69" t="str"/>
    </x:row>
    <x:row r="72" ht="21" customHeight="1">
      <x:c r="A72" s="100" t="n">
        <x:v>68</x:v>
      </x:c>
      <x:c r="B72" s="172" t="n">
        <x:v>95311002595</x:v>
      </x:c>
      <x:c r="C72" s="68" t="str">
        <x:v>NGUYỄN THỊ LAN ANH</x:v>
      </x:c>
      <x:c r="D72" s="106" t="str">
        <x:v>X</x:v>
      </x:c>
      <x:c r="E72" s="118" t="n">
        <x:v>40629</x:v>
      </x:c>
      <x:c r="F72" s="106" t="str">
        <x:v>Kinh</x:v>
      </x:c>
      <x:c r="G72" s="68" t="str">
        <x:v>Xã Phước Long</x:v>
      </x:c>
      <x:c r="H72" s="68" t="str">
        <x:v>THCS Vương Hữu Nhơn</x:v>
      </x:c>
      <x:c r="I72" s="68" t="str">
        <x:v>Xã Phước Long</x:v>
      </x:c>
      <x:c r="J72" s="124" t="n">
        <x:v>36.2</x:v>
      </x:c>
      <x:c r="K72" s="130" t="n">
        <x:v>40</x:v>
      </x:c>
      <x:c r="L72" s="124"/>
      <x:c r="M72" s="124"/>
      <x:c r="N72" s="124" t="n">
        <x:v>76.2</x:v>
      </x:c>
      <x:c r="O72" s="69" t="str"/>
    </x:row>
    <x:row r="73" ht="21" customHeight="1">
      <x:c r="A73" s="100" t="n">
        <x:v>69</x:v>
      </x:c>
      <x:c r="B73" s="172" t="n">
        <x:v>95211003352</x:v>
      </x:c>
      <x:c r="C73" s="68" t="str">
        <x:v>PHAN THANH DUY</x:v>
      </x:c>
      <x:c r="D73" s="106" t="str"/>
      <x:c r="E73" s="118" t="n">
        <x:v>40777</x:v>
      </x:c>
      <x:c r="F73" s="106" t="str">
        <x:v>Kinh</x:v>
      </x:c>
      <x:c r="G73" s="68" t="str">
        <x:v>Xã Phước Long</x:v>
      </x:c>
      <x:c r="H73" s="68" t="str">
        <x:v>THCS Phước Long</x:v>
      </x:c>
      <x:c r="I73" s="68" t="str">
        <x:v>Xã Phước Long</x:v>
      </x:c>
      <x:c r="J73" s="124" t="n">
        <x:v>36.2</x:v>
      </x:c>
      <x:c r="K73" s="130" t="n">
        <x:v>40</x:v>
      </x:c>
      <x:c r="L73" s="124"/>
      <x:c r="M73" s="124"/>
      <x:c r="N73" s="124" t="n">
        <x:v>76.2</x:v>
      </x:c>
      <x:c r="O73" s="69" t="str"/>
    </x:row>
    <x:row r="74" ht="21" customHeight="1">
      <x:c r="A74" s="100" t="n">
        <x:v>70</x:v>
      </x:c>
      <x:c r="B74" s="172" t="n">
        <x:v>95211002841</x:v>
      </x:c>
      <x:c r="C74" s="68" t="str">
        <x:v>HUỲNH VỸ TƯỜNG</x:v>
      </x:c>
      <x:c r="D74" s="106" t="str"/>
      <x:c r="E74" s="118" t="n">
        <x:v>40589</x:v>
      </x:c>
      <x:c r="F74" s="106" t="str">
        <x:v>Kinh</x:v>
      </x:c>
      <x:c r="G74" s="68" t="str">
        <x:v>Xã Vĩnh Phước</x:v>
      </x:c>
      <x:c r="H74" s="68" t="str">
        <x:v>THCS Phước Long</x:v>
      </x:c>
      <x:c r="I74" s="68" t="str">
        <x:v>Xã Phước Long</x:v>
      </x:c>
      <x:c r="J74" s="124" t="n">
        <x:v>36.1</x:v>
      </x:c>
      <x:c r="K74" s="130" t="n">
        <x:v>40</x:v>
      </x:c>
      <x:c r="L74" s="124"/>
      <x:c r="M74" s="124"/>
      <x:c r="N74" s="124" t="n">
        <x:v>76.1</x:v>
      </x:c>
      <x:c r="O74" s="69" t="str"/>
    </x:row>
    <x:row r="75" ht="21" customHeight="1">
      <x:c r="A75" s="100" t="n">
        <x:v>71</x:v>
      </x:c>
      <x:c r="B75" s="172" t="n">
        <x:v>95211001189</x:v>
      </x:c>
      <x:c r="C75" s="68" t="str">
        <x:v>TRƯƠNG VŨ THÁI</x:v>
      </x:c>
      <x:c r="D75" s="106" t="str"/>
      <x:c r="E75" s="118" t="n">
        <x:v>40818</x:v>
      </x:c>
      <x:c r="F75" s="106" t="str">
        <x:v>Kinh</x:v>
      </x:c>
      <x:c r="G75" s="68" t="str">
        <x:v>Xã Vĩnh Phước</x:v>
      </x:c>
      <x:c r="H75" s="68" t="str">
        <x:v>THCS Vĩnh Phú Tây</x:v>
      </x:c>
      <x:c r="I75" s="68" t="str">
        <x:v>Xã Vĩnh Phước</x:v>
      </x:c>
      <x:c r="J75" s="124" t="n">
        <x:v>36.1</x:v>
      </x:c>
      <x:c r="K75" s="130" t="n">
        <x:v>40</x:v>
      </x:c>
      <x:c r="L75" s="124"/>
      <x:c r="M75" s="124"/>
      <x:c r="N75" s="124" t="n">
        <x:v>76.1</x:v>
      </x:c>
      <x:c r="O75" s="69" t="str"/>
    </x:row>
    <x:row r="76" ht="21" customHeight="1">
      <x:c r="A76" s="100" t="n">
        <x:v>72</x:v>
      </x:c>
      <x:c r="B76" s="172" t="n">
        <x:v>95311005950</x:v>
      </x:c>
      <x:c r="C76" s="68" t="str">
        <x:v>NGUYỄN THANH TRÀ</x:v>
      </x:c>
      <x:c r="D76" s="106" t="str">
        <x:v>X</x:v>
      </x:c>
      <x:c r="E76" s="118" t="n">
        <x:v>40617</x:v>
      </x:c>
      <x:c r="F76" s="106" t="str">
        <x:v>Kinh</x:v>
      </x:c>
      <x:c r="G76" s="68" t="str">
        <x:v>Xã Phước Long</x:v>
      </x:c>
      <x:c r="H76" s="68" t="str">
        <x:v>THCS Phước Long</x:v>
      </x:c>
      <x:c r="I76" s="68" t="str">
        <x:v>Xã Phước Long</x:v>
      </x:c>
      <x:c r="J76" s="124" t="n">
        <x:v>36</x:v>
      </x:c>
      <x:c r="K76" s="130" t="n">
        <x:v>40</x:v>
      </x:c>
      <x:c r="L76" s="124"/>
      <x:c r="M76" s="124"/>
      <x:c r="N76" s="124" t="n">
        <x:v>76</x:v>
      </x:c>
      <x:c r="O76" s="69" t="str"/>
    </x:row>
    <x:row r="77" ht="21" customHeight="1">
      <x:c r="A77" s="100" t="n">
        <x:v>73</x:v>
      </x:c>
      <x:c r="B77" s="172" t="n">
        <x:v>95211002134</x:v>
      </x:c>
      <x:c r="C77" s="68" t="str">
        <x:v>VŨ QUANG MINH</x:v>
      </x:c>
      <x:c r="D77" s="106" t="str"/>
      <x:c r="E77" s="118" t="n">
        <x:v>40803</x:v>
      </x:c>
      <x:c r="F77" s="106" t="str">
        <x:v>Kinh</x:v>
      </x:c>
      <x:c r="G77" s="68" t="str">
        <x:v>Xã Phước Long</x:v>
      </x:c>
      <x:c r="H77" s="68" t="str">
        <x:v>THCS Phước Long</x:v>
      </x:c>
      <x:c r="I77" s="68" t="str">
        <x:v>Xã Phước Long</x:v>
      </x:c>
      <x:c r="J77" s="124" t="n">
        <x:v>36</x:v>
      </x:c>
      <x:c r="K77" s="130" t="n">
        <x:v>40</x:v>
      </x:c>
      <x:c r="L77" s="124"/>
      <x:c r="M77" s="124"/>
      <x:c r="N77" s="124" t="n">
        <x:v>76</x:v>
      </x:c>
      <x:c r="O77" s="69" t="str"/>
    </x:row>
    <x:row r="78" ht="21" customHeight="1">
      <x:c r="A78" s="100" t="n">
        <x:v>74</x:v>
      </x:c>
      <x:c r="B78" s="172" t="n">
        <x:v>95211009314</x:v>
      </x:c>
      <x:c r="C78" s="68" t="str">
        <x:v>LÊ NHẬT LÂM</x:v>
      </x:c>
      <x:c r="D78" s="106" t="str"/>
      <x:c r="E78" s="118" t="n">
        <x:v>40587</x:v>
      </x:c>
      <x:c r="F78" s="106" t="str">
        <x:v>Kinh</x:v>
      </x:c>
      <x:c r="G78" s="68" t="str">
        <x:v>Xã Vĩnh Thanh</x:v>
      </x:c>
      <x:c r="H78" s="68" t="str">
        <x:v>THCS Hưng Phú</x:v>
      </x:c>
      <x:c r="I78" s="68" t="str">
        <x:v>Xã Vĩnh Thanh</x:v>
      </x:c>
      <x:c r="J78" s="124" t="n">
        <x:v>35.5</x:v>
      </x:c>
      <x:c r="K78" s="130" t="n">
        <x:v>40</x:v>
      </x:c>
      <x:c r="L78" s="124"/>
      <x:c r="M78" s="124" t="n">
        <x:v>0.5</x:v>
      </x:c>
      <x:c r="N78" s="124" t="n">
        <x:v>76</x:v>
      </x:c>
      <x:c r="O78" s="69" t="str"/>
    </x:row>
    <x:row r="79" ht="21" customHeight="1">
      <x:c r="A79" s="100" t="n">
        <x:v>75</x:v>
      </x:c>
      <x:c r="B79" s="172" t="n">
        <x:v>95311004039</x:v>
      </x:c>
      <x:c r="C79" s="68" t="str">
        <x:v>HỒ THỊ CẨM HƯỜNG</x:v>
      </x:c>
      <x:c r="D79" s="106" t="str">
        <x:v>X</x:v>
      </x:c>
      <x:c r="E79" s="118" t="n">
        <x:v>40841</x:v>
      </x:c>
      <x:c r="F79" s="106" t="str">
        <x:v>Kinh</x:v>
      </x:c>
      <x:c r="G79" s="68" t="str">
        <x:v>Xã Vĩnh Phước</x:v>
      </x:c>
      <x:c r="H79" s="68" t="str">
        <x:v>THCS Hưng Phú</x:v>
      </x:c>
      <x:c r="I79" s="68" t="str">
        <x:v>Xã Vĩnh Thanh</x:v>
      </x:c>
      <x:c r="J79" s="124" t="n">
        <x:v>36</x:v>
      </x:c>
      <x:c r="K79" s="130" t="n">
        <x:v>40</x:v>
      </x:c>
      <x:c r="L79" s="124"/>
      <x:c r="M79" s="124"/>
      <x:c r="N79" s="124" t="n">
        <x:v>76</x:v>
      </x:c>
      <x:c r="O79" s="69" t="str"/>
    </x:row>
    <x:row r="80" ht="21" customHeight="1">
      <x:c r="A80" s="100" t="n">
        <x:v>76</x:v>
      </x:c>
      <x:c r="B80" s="172" t="n">
        <x:v>95311007951</x:v>
      </x:c>
      <x:c r="C80" s="68" t="str">
        <x:v>NGUYỄN THẢO NGÂN</x:v>
      </x:c>
      <x:c r="D80" s="106" t="str">
        <x:v>X</x:v>
      </x:c>
      <x:c r="E80" s="118" t="n">
        <x:v>40794</x:v>
      </x:c>
      <x:c r="F80" s="106" t="str">
        <x:v>Kinh</x:v>
      </x:c>
      <x:c r="G80" s="68" t="str">
        <x:v>Xã Hồng Dân</x:v>
      </x:c>
      <x:c r="H80" s="68" t="str">
        <x:v>THCS Phước Long</x:v>
      </x:c>
      <x:c r="I80" s="68" t="str">
        <x:v>Xã Vĩnh Phước</x:v>
      </x:c>
      <x:c r="J80" s="124" t="n">
        <x:v>36</x:v>
      </x:c>
      <x:c r="K80" s="130" t="n">
        <x:v>40</x:v>
      </x:c>
      <x:c r="L80" s="124"/>
      <x:c r="M80" s="124"/>
      <x:c r="N80" s="124" t="n">
        <x:v>76</x:v>
      </x:c>
      <x:c r="O80" s="69" t="str"/>
    </x:row>
    <x:row r="81" ht="21" customHeight="1">
      <x:c r="A81" s="100" t="n">
        <x:v>77</x:v>
      </x:c>
      <x:c r="B81" s="172" t="n">
        <x:v>95211004482</x:v>
      </x:c>
      <x:c r="C81" s="68" t="str">
        <x:v>TRẦN TRUNG HƯNG</x:v>
      </x:c>
      <x:c r="D81" s="106" t="str"/>
      <x:c r="E81" s="118" t="n">
        <x:v>40567</x:v>
      </x:c>
      <x:c r="F81" s="106" t="str">
        <x:v>Kinh</x:v>
      </x:c>
      <x:c r="G81" s="68" t="str">
        <x:v>Xã Vĩnh Phước</x:v>
      </x:c>
      <x:c r="H81" s="68" t="str">
        <x:v>THCS Phước Long</x:v>
      </x:c>
      <x:c r="I81" s="68" t="str">
        <x:v>Xã Phước Long</x:v>
      </x:c>
      <x:c r="J81" s="124" t="n">
        <x:v>35.9</x:v>
      </x:c>
      <x:c r="K81" s="130" t="n">
        <x:v>40</x:v>
      </x:c>
      <x:c r="L81" s="124"/>
      <x:c r="M81" s="124"/>
      <x:c r="N81" s="124" t="n">
        <x:v>75.9</x:v>
      </x:c>
      <x:c r="O81" s="69" t="str"/>
    </x:row>
    <x:row r="82" ht="21" customHeight="1">
      <x:c r="A82" s="100" t="n">
        <x:v>78</x:v>
      </x:c>
      <x:c r="B82" s="172" t="n">
        <x:v>95311006940</x:v>
      </x:c>
      <x:c r="C82" s="68" t="str">
        <x:v>PHẠM NGUYỄN DIỄM QUỲNH</x:v>
      </x:c>
      <x:c r="D82" s="106" t="str">
        <x:v>X</x:v>
      </x:c>
      <x:c r="E82" s="118" t="n">
        <x:v>40639</x:v>
      </x:c>
      <x:c r="F82" s="106" t="str">
        <x:v>Kinh</x:v>
      </x:c>
      <x:c r="G82" s="68" t="str">
        <x:v>Xã Vĩnh Phước</x:v>
      </x:c>
      <x:c r="H82" s="68" t="str">
        <x:v>THCS Phước Long</x:v>
      </x:c>
      <x:c r="I82" s="68" t="str">
        <x:v>Xã Phước Long</x:v>
      </x:c>
      <x:c r="J82" s="124" t="n">
        <x:v>35.9</x:v>
      </x:c>
      <x:c r="K82" s="130" t="n">
        <x:v>40</x:v>
      </x:c>
      <x:c r="L82" s="124"/>
      <x:c r="M82" s="124"/>
      <x:c r="N82" s="124" t="n">
        <x:v>75.9</x:v>
      </x:c>
      <x:c r="O82" s="69" t="str"/>
    </x:row>
    <x:row r="83" ht="21" customHeight="1">
      <x:c r="A83" s="100" t="n">
        <x:v>79</x:v>
      </x:c>
      <x:c r="B83" s="172" t="n">
        <x:v>91210010019</x:v>
      </x:c>
      <x:c r="C83" s="68" t="str">
        <x:v>NGUYỄN NGỌC TẤN</x:v>
      </x:c>
      <x:c r="D83" s="106" t="str"/>
      <x:c r="E83" s="118" t="n">
        <x:v>40409</x:v>
      </x:c>
      <x:c r="F83" s="106" t="str">
        <x:v>Kinh</x:v>
      </x:c>
      <x:c r="G83" s="68" t="str">
        <x:v>Xã Phước Long</x:v>
      </x:c>
      <x:c r="H83" s="68" t="str">
        <x:v>THCS Phước Long</x:v>
      </x:c>
      <x:c r="I83" s="68" t="str">
        <x:v>Xã Phước Long</x:v>
      </x:c>
      <x:c r="J83" s="124" t="n">
        <x:v>35.9</x:v>
      </x:c>
      <x:c r="K83" s="130" t="n">
        <x:v>40</x:v>
      </x:c>
      <x:c r="L83" s="124"/>
      <x:c r="M83" s="124"/>
      <x:c r="N83" s="124" t="n">
        <x:v>75.9</x:v>
      </x:c>
      <x:c r="O83" s="69" t="str"/>
    </x:row>
    <x:row r="84" ht="21" customHeight="1">
      <x:c r="A84" s="100" t="n">
        <x:v>80</x:v>
      </x:c>
      <x:c r="B84" s="172" t="n">
        <x:v>95311006504</x:v>
      </x:c>
      <x:c r="C84" s="68" t="str">
        <x:v>NGUYỄN THỊ THẠI</x:v>
      </x:c>
      <x:c r="D84" s="106" t="str">
        <x:v>X</x:v>
      </x:c>
      <x:c r="E84" s="118" t="n">
        <x:v>40583</x:v>
      </x:c>
      <x:c r="F84" s="106" t="str">
        <x:v>Kinh</x:v>
      </x:c>
      <x:c r="G84" s="68" t="str">
        <x:v>Xã Phước Long</x:v>
      </x:c>
      <x:c r="H84" s="68" t="str">
        <x:v>THCS Phước Long</x:v>
      </x:c>
      <x:c r="I84" s="68" t="str">
        <x:v>Xã Phước Long</x:v>
      </x:c>
      <x:c r="J84" s="124" t="n">
        <x:v>35.9</x:v>
      </x:c>
      <x:c r="K84" s="130" t="n">
        <x:v>40</x:v>
      </x:c>
      <x:c r="L84" s="124"/>
      <x:c r="M84" s="124"/>
      <x:c r="N84" s="124" t="n">
        <x:v>75.9</x:v>
      </x:c>
      <x:c r="O84" s="69" t="str"/>
    </x:row>
    <x:row r="85" ht="21" customHeight="1">
      <x:c r="A85" s="100" t="n">
        <x:v>81</x:v>
      </x:c>
      <x:c r="B85" s="172" t="n">
        <x:v>95311006969</x:v>
      </x:c>
      <x:c r="C85" s="68" t="str">
        <x:v>LÊ THỊ KIM DOAN</x:v>
      </x:c>
      <x:c r="D85" s="106" t="str">
        <x:v>X</x:v>
      </x:c>
      <x:c r="E85" s="118" t="n">
        <x:v>40691</x:v>
      </x:c>
      <x:c r="F85" s="106" t="str">
        <x:v>Kinh</x:v>
      </x:c>
      <x:c r="G85" s="68" t="str">
        <x:v>Xã Vĩnh Phước</x:v>
      </x:c>
      <x:c r="H85" s="68" t="str">
        <x:v>THCS Vĩnh Phú Tây</x:v>
      </x:c>
      <x:c r="I85" s="68" t="str">
        <x:v>Xã Vĩnh Phước</x:v>
      </x:c>
      <x:c r="J85" s="124" t="n">
        <x:v>35.9</x:v>
      </x:c>
      <x:c r="K85" s="130" t="n">
        <x:v>40</x:v>
      </x:c>
      <x:c r="L85" s="124"/>
      <x:c r="M85" s="124"/>
      <x:c r="N85" s="124" t="n">
        <x:v>75.9</x:v>
      </x:c>
      <x:c r="O85" s="69" t="str"/>
    </x:row>
    <x:row r="86" ht="21" customHeight="1">
      <x:c r="A86" s="100" t="n">
        <x:v>82</x:v>
      </x:c>
      <x:c r="B86" s="172" t="n">
        <x:v>95211009026</x:v>
      </x:c>
      <x:c r="C86" s="68" t="str">
        <x:v>LÝ CÔNG QUẢN</x:v>
      </x:c>
      <x:c r="D86" s="106" t="str"/>
      <x:c r="E86" s="118" t="n">
        <x:v>40794</x:v>
      </x:c>
      <x:c r="F86" s="106" t="str">
        <x:v>Kinh</x:v>
      </x:c>
      <x:c r="G86" s="68" t="str">
        <x:v>Xã Vĩnh Thanh</x:v>
      </x:c>
      <x:c r="H86" s="68" t="str">
        <x:v>THCS Hưng Phú</x:v>
      </x:c>
      <x:c r="I86" s="68" t="str">
        <x:v>Xã Vĩnh Thanh</x:v>
      </x:c>
      <x:c r="J86" s="124" t="n">
        <x:v>35.9</x:v>
      </x:c>
      <x:c r="K86" s="130" t="n">
        <x:v>40</x:v>
      </x:c>
      <x:c r="L86" s="124"/>
      <x:c r="M86" s="124"/>
      <x:c r="N86" s="124" t="n">
        <x:v>75.9</x:v>
      </x:c>
      <x:c r="O86" s="69" t="str"/>
    </x:row>
    <x:row r="87" ht="21" customHeight="1">
      <x:c r="A87" s="100" t="n">
        <x:v>83</x:v>
      </x:c>
      <x:c r="B87" s="172" t="n">
        <x:v>95211006212</x:v>
      </x:c>
      <x:c r="C87" s="68" t="str">
        <x:v>TRẦN TẤN PHÁT</x:v>
      </x:c>
      <x:c r="D87" s="106" t="str"/>
      <x:c r="E87" s="118" t="n">
        <x:v>40605</x:v>
      </x:c>
      <x:c r="F87" s="106" t="str">
        <x:v>Kinh</x:v>
      </x:c>
      <x:c r="G87" s="68" t="str">
        <x:v>Xã Vĩnh Thanh</x:v>
      </x:c>
      <x:c r="H87" s="68" t="str">
        <x:v>THCS Hưng Phú</x:v>
      </x:c>
      <x:c r="I87" s="68" t="str">
        <x:v>Xã Vĩnh Thanh</x:v>
      </x:c>
      <x:c r="J87" s="124" t="n">
        <x:v>35.9</x:v>
      </x:c>
      <x:c r="K87" s="130" t="n">
        <x:v>40</x:v>
      </x:c>
      <x:c r="L87" s="124"/>
      <x:c r="M87" s="124"/>
      <x:c r="N87" s="124" t="n">
        <x:v>75.9</x:v>
      </x:c>
      <x:c r="O87" s="69" t="str"/>
    </x:row>
    <x:row r="88" ht="21" customHeight="1">
      <x:c r="A88" s="100" t="n">
        <x:v>84</x:v>
      </x:c>
      <x:c r="B88" s="172" t="n">
        <x:v>95311002361</x:v>
      </x:c>
      <x:c r="C88" s="68" t="str">
        <x:v>NGUYỄN THỊ HẠNH TRANG</x:v>
      </x:c>
      <x:c r="D88" s="106" t="str">
        <x:v>X</x:v>
      </x:c>
      <x:c r="E88" s="118" t="n">
        <x:v>40872</x:v>
      </x:c>
      <x:c r="F88" s="106" t="str">
        <x:v>Kinh</x:v>
      </x:c>
      <x:c r="G88" s="68" t="str">
        <x:v>Xã Vĩnh Thanh</x:v>
      </x:c>
      <x:c r="H88" s="68" t="str">
        <x:v>THCS Hưng Phú</x:v>
      </x:c>
      <x:c r="I88" s="68" t="str">
        <x:v>Xã Vĩnh Thanh</x:v>
      </x:c>
      <x:c r="J88" s="124" t="n">
        <x:v>35.9</x:v>
      </x:c>
      <x:c r="K88" s="130" t="n">
        <x:v>40</x:v>
      </x:c>
      <x:c r="L88" s="124"/>
      <x:c r="M88" s="124"/>
      <x:c r="N88" s="124" t="n">
        <x:v>75.9</x:v>
      </x:c>
      <x:c r="O88" s="69" t="str"/>
    </x:row>
    <x:row r="89" ht="21" customHeight="1">
      <x:c r="A89" s="100" t="n">
        <x:v>85</x:v>
      </x:c>
      <x:c r="B89" s="172" t="n">
        <x:v>95211000862</x:v>
      </x:c>
      <x:c r="C89" s="68" t="str">
        <x:v>PHẠM HOÀNG LĨNH</x:v>
      </x:c>
      <x:c r="D89" s="106" t="str"/>
      <x:c r="E89" s="118" t="n">
        <x:v>40593</x:v>
      </x:c>
      <x:c r="F89" s="106" t="str">
        <x:v>Kinh</x:v>
      </x:c>
      <x:c r="G89" s="68" t="str">
        <x:v>Xã Phước Long</x:v>
      </x:c>
      <x:c r="H89" s="68" t="str">
        <x:v>THCS Phước Long</x:v>
      </x:c>
      <x:c r="I89" s="68" t="str">
        <x:v>Xã Phước Long</x:v>
      </x:c>
      <x:c r="J89" s="124" t="n">
        <x:v>35.8</x:v>
      </x:c>
      <x:c r="K89" s="130" t="n">
        <x:v>40</x:v>
      </x:c>
      <x:c r="L89" s="124"/>
      <x:c r="M89" s="124"/>
      <x:c r="N89" s="124" t="n">
        <x:v>75.8</x:v>
      </x:c>
      <x:c r="O89" s="69" t="str"/>
    </x:row>
    <x:row r="90" ht="21" customHeight="1">
      <x:c r="A90" s="100" t="n">
        <x:v>86</x:v>
      </x:c>
      <x:c r="B90" s="172" t="n">
        <x:v>95311005288</x:v>
      </x:c>
      <x:c r="C90" s="68" t="str">
        <x:v>HỒ HỒNG MINH NGÂN</x:v>
      </x:c>
      <x:c r="D90" s="106" t="str">
        <x:v>X</x:v>
      </x:c>
      <x:c r="E90" s="118" t="n">
        <x:v>40740</x:v>
      </x:c>
      <x:c r="F90" s="106" t="str">
        <x:v>Kinh</x:v>
      </x:c>
      <x:c r="G90" s="68" t="str">
        <x:v>Xã Vĩnh Thanh</x:v>
      </x:c>
      <x:c r="H90" s="68" t="str">
        <x:v>THCS Hưng Phú</x:v>
      </x:c>
      <x:c r="I90" s="68" t="str">
        <x:v>Xã Vĩnh Thanh</x:v>
      </x:c>
      <x:c r="J90" s="124" t="n">
        <x:v>35.8</x:v>
      </x:c>
      <x:c r="K90" s="130" t="n">
        <x:v>40</x:v>
      </x:c>
      <x:c r="L90" s="124"/>
      <x:c r="M90" s="124"/>
      <x:c r="N90" s="124" t="n">
        <x:v>75.8</x:v>
      </x:c>
      <x:c r="O90" s="69" t="str"/>
    </x:row>
    <x:row r="91" ht="21" customHeight="1">
      <x:c r="A91" s="100" t="n">
        <x:v>87</x:v>
      </x:c>
      <x:c r="B91" s="172" t="n">
        <x:v>95310000462</x:v>
      </x:c>
      <x:c r="C91" s="68" t="str">
        <x:v>VÕ HỒNG MỨC</x:v>
      </x:c>
      <x:c r="D91" s="106" t="str">
        <x:v>X</x:v>
      </x:c>
      <x:c r="E91" s="118" t="n">
        <x:v>40296</x:v>
      </x:c>
      <x:c r="F91" s="106" t="str">
        <x:v>Kinh</x:v>
      </x:c>
      <x:c r="G91" s="68" t="str">
        <x:v>Xã Vĩnh Thanh</x:v>
      </x:c>
      <x:c r="H91" s="68" t="str">
        <x:v>THCS Hưng Phú</x:v>
      </x:c>
      <x:c r="I91" s="68" t="str">
        <x:v>Xã Vĩnh Thanh</x:v>
      </x:c>
      <x:c r="J91" s="124" t="n">
        <x:v>35.8</x:v>
      </x:c>
      <x:c r="K91" s="130" t="n">
        <x:v>40</x:v>
      </x:c>
      <x:c r="L91" s="124"/>
      <x:c r="M91" s="124"/>
      <x:c r="N91" s="124" t="n">
        <x:v>75.8</x:v>
      </x:c>
      <x:c r="O91" s="69" t="str"/>
    </x:row>
    <x:row r="92" ht="21" customHeight="1">
      <x:c r="A92" s="100" t="n">
        <x:v>88</x:v>
      </x:c>
      <x:c r="B92" s="172" t="n">
        <x:v>95311005381</x:v>
      </x:c>
      <x:c r="C92" s="68" t="str">
        <x:v>DUY NGUYỄN TƯỜNG LAM</x:v>
      </x:c>
      <x:c r="D92" s="106" t="str">
        <x:v>X</x:v>
      </x:c>
      <x:c r="E92" s="118" t="n">
        <x:v>40660</x:v>
      </x:c>
      <x:c r="F92" s="106" t="str">
        <x:v>Kinh</x:v>
      </x:c>
      <x:c r="G92" s="68" t="str">
        <x:v>Xã Phước Long</x:v>
      </x:c>
      <x:c r="H92" s="68" t="str">
        <x:v>THCS Vương Hữu Nhơn</x:v>
      </x:c>
      <x:c r="I92" s="68" t="str">
        <x:v>Xã Phước Long</x:v>
      </x:c>
      <x:c r="J92" s="124" t="n">
        <x:v>35.8</x:v>
      </x:c>
      <x:c r="K92" s="130" t="n">
        <x:v>40</x:v>
      </x:c>
      <x:c r="L92" s="124"/>
      <x:c r="M92" s="124"/>
      <x:c r="N92" s="124" t="n">
        <x:v>75.8</x:v>
      </x:c>
      <x:c r="O92" s="69" t="str"/>
    </x:row>
    <x:row r="93" ht="21" customHeight="1">
      <x:c r="A93" s="100" t="n">
        <x:v>89</x:v>
      </x:c>
      <x:c r="B93" s="172" t="n">
        <x:v>95211005844</x:v>
      </x:c>
      <x:c r="C93" s="68" t="str">
        <x:v>TRƯƠNG HUỲNH PHƯƠNG</x:v>
      </x:c>
      <x:c r="D93" s="106" t="str"/>
      <x:c r="E93" s="118" t="n">
        <x:v>40577</x:v>
      </x:c>
      <x:c r="F93" s="106" t="str">
        <x:v>Kinh</x:v>
      </x:c>
      <x:c r="G93" s="68" t="str">
        <x:v>Xã Vĩnh Phước</x:v>
      </x:c>
      <x:c r="H93" s="68" t="str">
        <x:v>THCS Phước Long</x:v>
      </x:c>
      <x:c r="I93" s="68" t="str">
        <x:v>Xã Phước Long</x:v>
      </x:c>
      <x:c r="J93" s="124" t="n">
        <x:v>35.7</x:v>
      </x:c>
      <x:c r="K93" s="130" t="n">
        <x:v>40</x:v>
      </x:c>
      <x:c r="L93" s="124"/>
      <x:c r="M93" s="124"/>
      <x:c r="N93" s="124" t="n">
        <x:v>75.7</x:v>
      </x:c>
      <x:c r="O93" s="69" t="str"/>
    </x:row>
    <x:row r="94" ht="21" customHeight="1">
      <x:c r="A94" s="100" t="n">
        <x:v>90</x:v>
      </x:c>
      <x:c r="B94" s="172" t="n">
        <x:v>95311004235</x:v>
      </x:c>
      <x:c r="C94" s="68" t="str">
        <x:v>ĐÀO KHÁNH NGỌC</x:v>
      </x:c>
      <x:c r="D94" s="106" t="str">
        <x:v>X</x:v>
      </x:c>
      <x:c r="E94" s="118" t="n">
        <x:v>40714</x:v>
      </x:c>
      <x:c r="F94" s="106" t="str">
        <x:v>Kinh</x:v>
      </x:c>
      <x:c r="G94" s="68" t="str">
        <x:v>Xã Phước Long</x:v>
      </x:c>
      <x:c r="H94" s="68" t="str">
        <x:v>THCS Phước Long</x:v>
      </x:c>
      <x:c r="I94" s="68" t="str">
        <x:v>Xã Phước Long</x:v>
      </x:c>
      <x:c r="J94" s="124" t="n">
        <x:v>35.7</x:v>
      </x:c>
      <x:c r="K94" s="130" t="n">
        <x:v>40</x:v>
      </x:c>
      <x:c r="L94" s="124"/>
      <x:c r="M94" s="124"/>
      <x:c r="N94" s="124" t="n">
        <x:v>75.7</x:v>
      </x:c>
      <x:c r="O94" s="69" t="str"/>
    </x:row>
    <x:row r="95" ht="21" customHeight="1">
      <x:c r="A95" s="100" t="n">
        <x:v>91</x:v>
      </x:c>
      <x:c r="B95" s="172" t="n">
        <x:v>95211006907</x:v>
      </x:c>
      <x:c r="C95" s="68" t="str">
        <x:v>DƯƠNG NHẬT TƯỜNG</x:v>
      </x:c>
      <x:c r="D95" s="106" t="str"/>
      <x:c r="E95" s="118" t="n">
        <x:v>40634</x:v>
      </x:c>
      <x:c r="F95" s="106" t="str">
        <x:v>Kinh</x:v>
      </x:c>
      <x:c r="G95" s="68" t="str">
        <x:v>Xã Vĩnh Phước</x:v>
      </x:c>
      <x:c r="H95" s="68" t="str">
        <x:v>THCS Vĩnh Phú Tây</x:v>
      </x:c>
      <x:c r="I95" s="68" t="str">
        <x:v>Xã Vĩnh Phước</x:v>
      </x:c>
      <x:c r="J95" s="124" t="n">
        <x:v>35.7</x:v>
      </x:c>
      <x:c r="K95" s="130" t="n">
        <x:v>40</x:v>
      </x:c>
      <x:c r="L95" s="124"/>
      <x:c r="M95" s="124"/>
      <x:c r="N95" s="124" t="n">
        <x:v>75.7</x:v>
      </x:c>
      <x:c r="O95" s="69" t="str"/>
    </x:row>
    <x:row r="96" ht="21" customHeight="1">
      <x:c r="A96" s="100" t="n">
        <x:v>92</x:v>
      </x:c>
      <x:c r="B96" s="172" t="n">
        <x:v>95311008380</x:v>
      </x:c>
      <x:c r="C96" s="68" t="str">
        <x:v>HỒ NGỌC TRÂM</x:v>
      </x:c>
      <x:c r="D96" s="106" t="str">
        <x:v>X</x:v>
      </x:c>
      <x:c r="E96" s="118" t="n">
        <x:v>40716</x:v>
      </x:c>
      <x:c r="F96" s="106" t="str">
        <x:v>Kinh</x:v>
      </x:c>
      <x:c r="G96" s="68" t="str">
        <x:v>Xã Vĩnh Phước</x:v>
      </x:c>
      <x:c r="H96" s="68" t="str">
        <x:v>THCS Vĩnh Phú Tây</x:v>
      </x:c>
      <x:c r="I96" s="68" t="str">
        <x:v>Xã Vĩnh Phước</x:v>
      </x:c>
      <x:c r="J96" s="124" t="n">
        <x:v>35.7</x:v>
      </x:c>
      <x:c r="K96" s="130" t="n">
        <x:v>40</x:v>
      </x:c>
      <x:c r="L96" s="124"/>
      <x:c r="M96" s="124"/>
      <x:c r="N96" s="124" t="n">
        <x:v>75.7</x:v>
      </x:c>
      <x:c r="O96" s="69" t="str"/>
    </x:row>
    <x:row r="97" ht="21" customHeight="1">
      <x:c r="A97" s="100" t="n">
        <x:v>93</x:v>
      </x:c>
      <x:c r="B97" s="172" t="n">
        <x:v>95211008830</x:v>
      </x:c>
      <x:c r="C97" s="68" t="str">
        <x:v>NGUYỄN HOÀNG DANH</x:v>
      </x:c>
      <x:c r="D97" s="106" t="str"/>
      <x:c r="E97" s="118" t="n">
        <x:v>40885</x:v>
      </x:c>
      <x:c r="F97" s="106" t="str">
        <x:v>Kinh</x:v>
      </x:c>
      <x:c r="G97" s="68" t="str">
        <x:v>Xã Vĩnh Thanh</x:v>
      </x:c>
      <x:c r="H97" s="68" t="str">
        <x:v>THCS Hưng Phú</x:v>
      </x:c>
      <x:c r="I97" s="68" t="str">
        <x:v>Xã Vĩnh Thanh</x:v>
      </x:c>
      <x:c r="J97" s="124" t="n">
        <x:v>34.7</x:v>
      </x:c>
      <x:c r="K97" s="130" t="n">
        <x:v>40</x:v>
      </x:c>
      <x:c r="L97" s="124"/>
      <x:c r="M97" s="124" t="n">
        <x:v>1</x:v>
      </x:c>
      <x:c r="N97" s="124" t="n">
        <x:v>75.7</x:v>
      </x:c>
      <x:c r="O97" s="69" t="str"/>
    </x:row>
    <x:row r="98" ht="21" customHeight="1">
      <x:c r="A98" s="100" t="n">
        <x:v>94</x:v>
      </x:c>
      <x:c r="B98" s="172" t="n">
        <x:v>95311007043</x:v>
      </x:c>
      <x:c r="C98" s="68" t="str">
        <x:v>ĐẶNG THỊ DIỄM</x:v>
      </x:c>
      <x:c r="D98" s="106" t="str">
        <x:v>X</x:v>
      </x:c>
      <x:c r="E98" s="118" t="n">
        <x:v>40704</x:v>
      </x:c>
      <x:c r="F98" s="106" t="str">
        <x:v>Kinh</x:v>
      </x:c>
      <x:c r="G98" s="68" t="str">
        <x:v>Xã Vĩnh Thanh</x:v>
      </x:c>
      <x:c r="H98" s="68" t="str">
        <x:v>THCS Vĩnh Thanh</x:v>
      </x:c>
      <x:c r="I98" s="68" t="str">
        <x:v>Xã Vĩnh Thanh</x:v>
      </x:c>
      <x:c r="J98" s="124" t="n">
        <x:v>35.7</x:v>
      </x:c>
      <x:c r="K98" s="130" t="n">
        <x:v>40</x:v>
      </x:c>
      <x:c r="L98" s="124"/>
      <x:c r="M98" s="124"/>
      <x:c r="N98" s="124" t="n">
        <x:v>75.7</x:v>
      </x:c>
      <x:c r="O98" s="69" t="str"/>
    </x:row>
    <x:row r="99" ht="21" customHeight="1">
      <x:c r="A99" s="100" t="n">
        <x:v>95</x:v>
      </x:c>
      <x:c r="B99" s="172" t="n">
        <x:v>95311003455</x:v>
      </x:c>
      <x:c r="C99" s="68" t="str">
        <x:v>THỊ NGỌC TRUYỀN</x:v>
      </x:c>
      <x:c r="D99" s="106" t="str">
        <x:v>X</x:v>
      </x:c>
      <x:c r="E99" s="118" t="n">
        <x:v>40813</x:v>
      </x:c>
      <x:c r="F99" s="106" t="str">
        <x:v>Khmer</x:v>
      </x:c>
      <x:c r="G99" s="68" t="str">
        <x:v>Xã Hồng Dân</x:v>
      </x:c>
      <x:c r="H99" s="68" t="str">
        <x:v>THCS Trương Vĩnh Ký</x:v>
      </x:c>
      <x:c r="I99" s="68" t="str">
        <x:v>Xã Hồng Dân</x:v>
      </x:c>
      <x:c r="J99" s="124" t="n">
        <x:v>34.7</x:v>
      </x:c>
      <x:c r="K99" s="130" t="n">
        <x:v>40</x:v>
      </x:c>
      <x:c r="L99" s="124" t="n">
        <x:v>1</x:v>
      </x:c>
      <x:c r="M99" s="124"/>
      <x:c r="N99" s="124" t="n">
        <x:v>75.7</x:v>
      </x:c>
      <x:c r="O99" s="69" t="str"/>
    </x:row>
    <x:row r="100" ht="21" customHeight="1">
      <x:c r="A100" s="100" t="n">
        <x:v>96</x:v>
      </x:c>
      <x:c r="B100" s="172" t="n">
        <x:v>95311002146</x:v>
      </x:c>
      <x:c r="C100" s="68" t="str">
        <x:v>TRẦN THỊ MINH ANH</x:v>
      </x:c>
      <x:c r="D100" s="106" t="str">
        <x:v>X</x:v>
      </x:c>
      <x:c r="E100" s="118" t="n">
        <x:v>40701</x:v>
      </x:c>
      <x:c r="F100" s="106" t="str">
        <x:v>Kinh</x:v>
      </x:c>
      <x:c r="G100" s="68" t="str">
        <x:v>Xã Phước Long</x:v>
      </x:c>
      <x:c r="H100" s="68" t="str">
        <x:v>THCS Vương Hữu Nhơn</x:v>
      </x:c>
      <x:c r="I100" s="68" t="str">
        <x:v>Xã Phước Long</x:v>
      </x:c>
      <x:c r="J100" s="124" t="n">
        <x:v>35.7</x:v>
      </x:c>
      <x:c r="K100" s="130" t="n">
        <x:v>40</x:v>
      </x:c>
      <x:c r="L100" s="124"/>
      <x:c r="M100" s="124"/>
      <x:c r="N100" s="124" t="n">
        <x:v>75.7</x:v>
      </x:c>
      <x:c r="O100" s="69" t="str"/>
    </x:row>
    <x:row r="101" ht="21" customHeight="1">
      <x:c r="A101" s="100" t="n">
        <x:v>97</x:v>
      </x:c>
      <x:c r="B101" s="172" t="n">
        <x:v>95311010033</x:v>
      </x:c>
      <x:c r="C101" s="68" t="str">
        <x:v>LÊ YẾN TRANG</x:v>
      </x:c>
      <x:c r="D101" s="106" t="str">
        <x:v>X</x:v>
      </x:c>
      <x:c r="E101" s="118" t="n">
        <x:v>40890</x:v>
      </x:c>
      <x:c r="F101" s="106" t="str">
        <x:v>Kinh</x:v>
      </x:c>
      <x:c r="G101" s="68" t="str">
        <x:v>Xã Ninh Quới</x:v>
      </x:c>
      <x:c r="H101" s="68" t="str">
        <x:v>THCS Vương Hữu Nhơn</x:v>
      </x:c>
      <x:c r="I101" s="68" t="str">
        <x:v>Xã Phước Long</x:v>
      </x:c>
      <x:c r="J101" s="124" t="n">
        <x:v>35.2</x:v>
      </x:c>
      <x:c r="K101" s="130" t="n">
        <x:v>40</x:v>
      </x:c>
      <x:c r="L101" s="124"/>
      <x:c r="M101" s="124" t="n">
        <x:v>0.5</x:v>
      </x:c>
      <x:c r="N101" s="124" t="n">
        <x:v>75.7</x:v>
      </x:c>
      <x:c r="O101" s="69" t="str"/>
    </x:row>
    <x:row r="102" ht="21" customHeight="1">
      <x:c r="A102" s="100" t="n">
        <x:v>98</x:v>
      </x:c>
      <x:c r="B102" s="172" t="n">
        <x:v>95311004424</x:v>
      </x:c>
      <x:c r="C102" s="68" t="str">
        <x:v>NGUYỄN HUỲNH THẢO MY</x:v>
      </x:c>
      <x:c r="D102" s="106" t="str">
        <x:v>X</x:v>
      </x:c>
      <x:c r="E102" s="118" t="n">
        <x:v>40761</x:v>
      </x:c>
      <x:c r="F102" s="106" t="str">
        <x:v>Kinh</x:v>
      </x:c>
      <x:c r="G102" s="68" t="str">
        <x:v>Xã Phước Long</x:v>
      </x:c>
      <x:c r="H102" s="68" t="str">
        <x:v>THCS Phước Long</x:v>
      </x:c>
      <x:c r="I102" s="68" t="str">
        <x:v>Xã Phước Long</x:v>
      </x:c>
      <x:c r="J102" s="124" t="n">
        <x:v>35.6</x:v>
      </x:c>
      <x:c r="K102" s="130" t="n">
        <x:v>40</x:v>
      </x:c>
      <x:c r="L102" s="124"/>
      <x:c r="M102" s="124"/>
      <x:c r="N102" s="124" t="n">
        <x:v>75.6</x:v>
      </x:c>
      <x:c r="O102" s="69" t="str"/>
    </x:row>
    <x:row r="103" ht="21" customHeight="1">
      <x:c r="A103" s="100" t="n">
        <x:v>99</x:v>
      </x:c>
      <x:c r="B103" s="172" t="n">
        <x:v>79209013664</x:v>
      </x:c>
      <x:c r="C103" s="68" t="str">
        <x:v>NGUYỄN THÀNH TÀI</x:v>
      </x:c>
      <x:c r="D103" s="106" t="str"/>
      <x:c r="E103" s="118" t="n">
        <x:v>40141</x:v>
      </x:c>
      <x:c r="F103" s="106" t="str">
        <x:v>Kinh</x:v>
      </x:c>
      <x:c r="G103" s="68" t="str">
        <x:v>Xã Phước Long</x:v>
      </x:c>
      <x:c r="H103" s="68" t="str">
        <x:v>THCS Phước Long</x:v>
      </x:c>
      <x:c r="I103" s="68" t="str">
        <x:v>Xã Phước Long</x:v>
      </x:c>
      <x:c r="J103" s="124" t="n">
        <x:v>35.6</x:v>
      </x:c>
      <x:c r="K103" s="130" t="n">
        <x:v>40</x:v>
      </x:c>
      <x:c r="L103" s="124"/>
      <x:c r="M103" s="124"/>
      <x:c r="N103" s="124" t="n">
        <x:v>75.6</x:v>
      </x:c>
      <x:c r="O103" s="69" t="str"/>
    </x:row>
    <x:row r="104" ht="21" customHeight="1">
      <x:c r="A104" s="100" t="n">
        <x:v>100</x:v>
      </x:c>
      <x:c r="B104" s="172" t="n">
        <x:v>95311008906</x:v>
      </x:c>
      <x:c r="C104" s="68" t="str">
        <x:v>PHẠM BÍCH TRÂM</x:v>
      </x:c>
      <x:c r="D104" s="106" t="str">
        <x:v>X</x:v>
      </x:c>
      <x:c r="E104" s="118" t="n">
        <x:v>40557</x:v>
      </x:c>
      <x:c r="F104" s="106" t="str">
        <x:v>Kinh</x:v>
      </x:c>
      <x:c r="G104" s="68" t="str">
        <x:v>Xã Vĩnh Phước</x:v>
      </x:c>
      <x:c r="H104" s="68" t="str">
        <x:v>THCS Vĩnh Phú Tây</x:v>
      </x:c>
      <x:c r="I104" s="68" t="str">
        <x:v>Xã Vĩnh Phước</x:v>
      </x:c>
      <x:c r="J104" s="124" t="n">
        <x:v>35.6</x:v>
      </x:c>
      <x:c r="K104" s="130" t="n">
        <x:v>40</x:v>
      </x:c>
      <x:c r="L104" s="124"/>
      <x:c r="M104" s="124"/>
      <x:c r="N104" s="124" t="n">
        <x:v>75.6</x:v>
      </x:c>
      <x:c r="O104" s="69" t="str"/>
    </x:row>
    <x:row r="105" ht="21" customHeight="1">
      <x:c r="A105" s="100" t="n">
        <x:v>101</x:v>
      </x:c>
      <x:c r="B105" s="172" t="n">
        <x:v>95211005812</x:v>
      </x:c>
      <x:c r="C105" s="68" t="str">
        <x:v>LÊ HOÀNG LƯỢNG</x:v>
      </x:c>
      <x:c r="D105" s="106" t="str"/>
      <x:c r="E105" s="118" t="n">
        <x:v>40722</x:v>
      </x:c>
      <x:c r="F105" s="106" t="str">
        <x:v>Kinh</x:v>
      </x:c>
      <x:c r="G105" s="68" t="str">
        <x:v>Xã Hồng Dân</x:v>
      </x:c>
      <x:c r="H105" s="68" t="str">
        <x:v>THCS Trương Vĩnh Ký</x:v>
      </x:c>
      <x:c r="I105" s="68" t="str">
        <x:v>Xã Hồng Dân</x:v>
      </x:c>
      <x:c r="J105" s="124" t="n">
        <x:v>35.6</x:v>
      </x:c>
      <x:c r="K105" s="130" t="n">
        <x:v>40</x:v>
      </x:c>
      <x:c r="L105" s="124"/>
      <x:c r="M105" s="124"/>
      <x:c r="N105" s="124" t="n">
        <x:v>75.6</x:v>
      </x:c>
      <x:c r="O105" s="69" t="str"/>
    </x:row>
    <x:row r="106" ht="21" customHeight="1">
      <x:c r="A106" s="100" t="n">
        <x:v>102</x:v>
      </x:c>
      <x:c r="B106" s="172" t="n">
        <x:v>95211008507</x:v>
      </x:c>
      <x:c r="C106" s="68" t="str">
        <x:v>TRẦN PHƯỚC TƯỜNG</x:v>
      </x:c>
      <x:c r="D106" s="106" t="str"/>
      <x:c r="E106" s="118" t="n">
        <x:v>40791</x:v>
      </x:c>
      <x:c r="F106" s="106" t="str">
        <x:v>Kinh</x:v>
      </x:c>
      <x:c r="G106" s="68" t="str">
        <x:v>Xã Phước Long</x:v>
      </x:c>
      <x:c r="H106" s="68" t="str">
        <x:v>THCS Phước Long</x:v>
      </x:c>
      <x:c r="I106" s="68" t="str">
        <x:v>Xã Phước Long</x:v>
      </x:c>
      <x:c r="J106" s="124" t="n">
        <x:v>35.5</x:v>
      </x:c>
      <x:c r="K106" s="130" t="n">
        <x:v>40</x:v>
      </x:c>
      <x:c r="L106" s="124"/>
      <x:c r="M106" s="124"/>
      <x:c r="N106" s="124" t="n">
        <x:v>75.5</x:v>
      </x:c>
      <x:c r="O106" s="69" t="str"/>
    </x:row>
    <x:row r="107" ht="21" customHeight="1">
      <x:c r="A107" s="100" t="n">
        <x:v>103</x:v>
      </x:c>
      <x:c r="B107" s="172" t="n">
        <x:v>95311001130</x:v>
      </x:c>
      <x:c r="C107" s="68" t="str">
        <x:v>NGUYỄN NGỌC QUÝ</x:v>
      </x:c>
      <x:c r="D107" s="106" t="str">
        <x:v>X</x:v>
      </x:c>
      <x:c r="E107" s="118" t="n">
        <x:v>40870</x:v>
      </x:c>
      <x:c r="F107" s="106" t="str">
        <x:v>Kinh</x:v>
      </x:c>
      <x:c r="G107" s="68" t="str">
        <x:v>Xã Vĩnh Phước</x:v>
      </x:c>
      <x:c r="H107" s="68" t="str">
        <x:v>THCS Vĩnh Phú Tây</x:v>
      </x:c>
      <x:c r="I107" s="68" t="str">
        <x:v>Xã Vĩnh Phước</x:v>
      </x:c>
      <x:c r="J107" s="124" t="n">
        <x:v>35.5</x:v>
      </x:c>
      <x:c r="K107" s="130" t="n">
        <x:v>40</x:v>
      </x:c>
      <x:c r="L107" s="124"/>
      <x:c r="M107" s="124"/>
      <x:c r="N107" s="124" t="n">
        <x:v>75.5</x:v>
      </x:c>
      <x:c r="O107" s="69" t="str"/>
    </x:row>
    <x:row r="108" ht="21" customHeight="1">
      <x:c r="A108" s="100" t="n">
        <x:v>104</x:v>
      </x:c>
      <x:c r="B108" s="172" t="n">
        <x:v>95211005296</x:v>
      </x:c>
      <x:c r="C108" s="68" t="str">
        <x:v>NGUYỄN ĐĂNG KHÔI</x:v>
      </x:c>
      <x:c r="D108" s="106" t="str"/>
      <x:c r="E108" s="118" t="n">
        <x:v>40888</x:v>
      </x:c>
      <x:c r="F108" s="106" t="str">
        <x:v>Kinh</x:v>
      </x:c>
      <x:c r="G108" s="68" t="str">
        <x:v>Xã Phước Long</x:v>
      </x:c>
      <x:c r="H108" s="68" t="str">
        <x:v>THCS Phước Long</x:v>
      </x:c>
      <x:c r="I108" s="68" t="str">
        <x:v>Xã Phước Long</x:v>
      </x:c>
      <x:c r="J108" s="124" t="n">
        <x:v>35.4</x:v>
      </x:c>
      <x:c r="K108" s="130" t="n">
        <x:v>40</x:v>
      </x:c>
      <x:c r="L108" s="124"/>
      <x:c r="M108" s="124"/>
      <x:c r="N108" s="124" t="n">
        <x:v>75.4</x:v>
      </x:c>
      <x:c r="O108" s="69" t="str"/>
    </x:row>
    <x:row r="109" ht="21" customHeight="1">
      <x:c r="A109" s="100" t="n">
        <x:v>105</x:v>
      </x:c>
      <x:c r="B109" s="172" t="n">
        <x:v>95311001208</x:v>
      </x:c>
      <x:c r="C109" s="68" t="str">
        <x:v>NGŨ TÚ NGHI</x:v>
      </x:c>
      <x:c r="D109" s="106" t="str">
        <x:v>X</x:v>
      </x:c>
      <x:c r="E109" s="118" t="n">
        <x:v>40816</x:v>
      </x:c>
      <x:c r="F109" s="106" t="str">
        <x:v>Kinh</x:v>
      </x:c>
      <x:c r="G109" s="68" t="str">
        <x:v>Xã Phước Long</x:v>
      </x:c>
      <x:c r="H109" s="68" t="str">
        <x:v>THCS Phước Long</x:v>
      </x:c>
      <x:c r="I109" s="68" t="str">
        <x:v>Xã Phước Long</x:v>
      </x:c>
      <x:c r="J109" s="124" t="n">
        <x:v>35.4</x:v>
      </x:c>
      <x:c r="K109" s="130" t="n">
        <x:v>40</x:v>
      </x:c>
      <x:c r="L109" s="124"/>
      <x:c r="M109" s="124"/>
      <x:c r="N109" s="124" t="n">
        <x:v>75.4</x:v>
      </x:c>
      <x:c r="O109" s="69" t="str"/>
    </x:row>
    <x:row r="110" ht="21" customHeight="1">
      <x:c r="A110" s="100" t="n">
        <x:v>106</x:v>
      </x:c>
      <x:c r="B110" s="172" t="n">
        <x:v>95211007717</x:v>
      </x:c>
      <x:c r="C110" s="68" t="str">
        <x:v>TRẦN NHẬT HÀO</x:v>
      </x:c>
      <x:c r="D110" s="106" t="str"/>
      <x:c r="E110" s="118" t="n">
        <x:v>40576</x:v>
      </x:c>
      <x:c r="F110" s="106" t="str">
        <x:v>Kinh</x:v>
      </x:c>
      <x:c r="G110" s="68" t="str">
        <x:v>Xã Vĩnh Thanh</x:v>
      </x:c>
      <x:c r="H110" s="68" t="str">
        <x:v>THCS Hưng Phú</x:v>
      </x:c>
      <x:c r="I110" s="68" t="str">
        <x:v>Xã Vĩnh Thanh</x:v>
      </x:c>
      <x:c r="J110" s="124" t="n">
        <x:v>35.4</x:v>
      </x:c>
      <x:c r="K110" s="130" t="n">
        <x:v>40</x:v>
      </x:c>
      <x:c r="L110" s="124"/>
      <x:c r="M110" s="124"/>
      <x:c r="N110" s="124" t="n">
        <x:v>75.4</x:v>
      </x:c>
      <x:c r="O110" s="69" t="str"/>
    </x:row>
    <x:row r="111" ht="21" customHeight="1">
      <x:c r="A111" s="100" t="n">
        <x:v>107</x:v>
      </x:c>
      <x:c r="B111" s="172" t="n">
        <x:v>95211001466</x:v>
      </x:c>
      <x:c r="C111" s="68" t="str">
        <x:v>PHẠM TẤN QUÍ</x:v>
      </x:c>
      <x:c r="D111" s="106" t="str"/>
      <x:c r="E111" s="118" t="n">
        <x:v>40688</x:v>
      </x:c>
      <x:c r="F111" s="106" t="str">
        <x:v>Kinh</x:v>
      </x:c>
      <x:c r="G111" s="68" t="str">
        <x:v>Xã Vĩnh Thanh</x:v>
      </x:c>
      <x:c r="H111" s="68" t="str">
        <x:v>THCS Hưng Phú</x:v>
      </x:c>
      <x:c r="I111" s="68" t="str">
        <x:v>Xã Vĩnh Thanh</x:v>
      </x:c>
      <x:c r="J111" s="124" t="n">
        <x:v>35.4</x:v>
      </x:c>
      <x:c r="K111" s="130" t="n">
        <x:v>40</x:v>
      </x:c>
      <x:c r="L111" s="124"/>
      <x:c r="M111" s="124"/>
      <x:c r="N111" s="124" t="n">
        <x:v>75.4</x:v>
      </x:c>
      <x:c r="O111" s="69" t="str"/>
    </x:row>
    <x:row r="112" ht="21" customHeight="1">
      <x:c r="A112" s="100" t="n">
        <x:v>108</x:v>
      </x:c>
      <x:c r="B112" s="172" t="n">
        <x:v>95211011076</x:v>
      </x:c>
      <x:c r="C112" s="68" t="str">
        <x:v>TRƯƠNG NHẬT TÂN</x:v>
      </x:c>
      <x:c r="D112" s="106" t="str"/>
      <x:c r="E112" s="118" t="n">
        <x:v>40669</x:v>
      </x:c>
      <x:c r="F112" s="106" t="str">
        <x:v>Kinh</x:v>
      </x:c>
      <x:c r="G112" s="68" t="str">
        <x:v>Xã Vĩnh Phước</x:v>
      </x:c>
      <x:c r="H112" s="68" t="str">
        <x:v>THCS Vĩnh Phú Tây</x:v>
      </x:c>
      <x:c r="I112" s="68" t="str">
        <x:v>Xã Vĩnh Phước</x:v>
      </x:c>
      <x:c r="J112" s="124" t="n">
        <x:v>35.3</x:v>
      </x:c>
      <x:c r="K112" s="130" t="n">
        <x:v>40</x:v>
      </x:c>
      <x:c r="L112" s="124"/>
      <x:c r="M112" s="124"/>
      <x:c r="N112" s="124" t="n">
        <x:v>75.3</x:v>
      </x:c>
      <x:c r="O112" s="69" t="str"/>
    </x:row>
    <x:row r="113" ht="21" customHeight="1">
      <x:c r="A113" s="100" t="n">
        <x:v>109</x:v>
      </x:c>
      <x:c r="B113" s="172" t="n">
        <x:v>95211003094</x:v>
      </x:c>
      <x:c r="C113" s="68" t="str">
        <x:v>NGUYỄN THANH NHÀN</x:v>
      </x:c>
      <x:c r="D113" s="106" t="str"/>
      <x:c r="E113" s="118" t="n">
        <x:v>40583</x:v>
      </x:c>
      <x:c r="F113" s="106" t="str">
        <x:v>Kinh</x:v>
      </x:c>
      <x:c r="G113" s="68" t="str">
        <x:v>Xã Vĩnh Thanh</x:v>
      </x:c>
      <x:c r="H113" s="68" t="str">
        <x:v>THCS Hưng Phú</x:v>
      </x:c>
      <x:c r="I113" s="68" t="str">
        <x:v>Xã Vĩnh Thanh</x:v>
      </x:c>
      <x:c r="J113" s="124" t="n">
        <x:v>35.3</x:v>
      </x:c>
      <x:c r="K113" s="130" t="n">
        <x:v>40</x:v>
      </x:c>
      <x:c r="L113" s="124"/>
      <x:c r="M113" s="124"/>
      <x:c r="N113" s="124" t="n">
        <x:v>75.3</x:v>
      </x:c>
      <x:c r="O113" s="69" t="str"/>
    </x:row>
    <x:row r="114" ht="21" customHeight="1">
      <x:c r="A114" s="100" t="n">
        <x:v>110</x:v>
      </x:c>
      <x:c r="B114" s="172" t="n">
        <x:v>95311005710</x:v>
      </x:c>
      <x:c r="C114" s="68" t="str">
        <x:v>DƯƠNG THỊ CÁT</x:v>
      </x:c>
      <x:c r="D114" s="106" t="str">
        <x:v>X</x:v>
      </x:c>
      <x:c r="E114" s="118" t="n">
        <x:v>40727</x:v>
      </x:c>
      <x:c r="F114" s="106" t="str">
        <x:v>Kinh</x:v>
      </x:c>
      <x:c r="G114" s="68" t="str">
        <x:v>Xã Vĩnh Thanh</x:v>
      </x:c>
      <x:c r="H114" s="68" t="str">
        <x:v>THCS Hưng Phú</x:v>
      </x:c>
      <x:c r="I114" s="68" t="str">
        <x:v>Xã Vĩnh Thanh</x:v>
      </x:c>
      <x:c r="J114" s="124" t="n">
        <x:v>35.3</x:v>
      </x:c>
      <x:c r="K114" s="130" t="n">
        <x:v>40</x:v>
      </x:c>
      <x:c r="L114" s="124"/>
      <x:c r="M114" s="124"/>
      <x:c r="N114" s="124" t="n">
        <x:v>75.3</x:v>
      </x:c>
      <x:c r="O114" s="69" t="str"/>
    </x:row>
    <x:row r="115" ht="21" customHeight="1">
      <x:c r="A115" s="100" t="n">
        <x:v>111</x:v>
      </x:c>
      <x:c r="B115" s="172" t="n">
        <x:v>95309003780</x:v>
      </x:c>
      <x:c r="C115" s="68" t="str">
        <x:v>MAI THỊ THU THẢO</x:v>
      </x:c>
      <x:c r="D115" s="106" t="str">
        <x:v>X</x:v>
      </x:c>
      <x:c r="E115" s="118" t="n">
        <x:v>40113</x:v>
      </x:c>
      <x:c r="F115" s="106" t="str">
        <x:v>Kinh</x:v>
      </x:c>
      <x:c r="G115" s="68" t="str">
        <x:v>Xã Vĩnh Thanh</x:v>
      </x:c>
      <x:c r="H115" s="68" t="str">
        <x:v>THCS Hưng Phú</x:v>
      </x:c>
      <x:c r="I115" s="68" t="str">
        <x:v>Xã Vĩnh Thanh</x:v>
      </x:c>
      <x:c r="J115" s="124" t="n">
        <x:v>35.3</x:v>
      </x:c>
      <x:c r="K115" s="130" t="n">
        <x:v>40</x:v>
      </x:c>
      <x:c r="L115" s="124"/>
      <x:c r="M115" s="124"/>
      <x:c r="N115" s="124" t="n">
        <x:v>75.3</x:v>
      </x:c>
      <x:c r="O115" s="69" t="str"/>
    </x:row>
    <x:row r="116" ht="21" customHeight="1">
      <x:c r="A116" s="100" t="n">
        <x:v>112</x:v>
      </x:c>
      <x:c r="B116" s="172" t="n">
        <x:v>95311001074</x:v>
      </x:c>
      <x:c r="C116" s="68" t="str">
        <x:v>LÊ BÙI TRIỆU VY</x:v>
      </x:c>
      <x:c r="D116" s="106" t="str">
        <x:v>X</x:v>
      </x:c>
      <x:c r="E116" s="118" t="n">
        <x:v>40684</x:v>
      </x:c>
      <x:c r="F116" s="106" t="str">
        <x:v>Kinh</x:v>
      </x:c>
      <x:c r="G116" s="68" t="str">
        <x:v>Xã Phước Long</x:v>
      </x:c>
      <x:c r="H116" s="68" t="str">
        <x:v>THCS Phước Long</x:v>
      </x:c>
      <x:c r="I116" s="68" t="str">
        <x:v>Xã Phước Long</x:v>
      </x:c>
      <x:c r="J116" s="124" t="n">
        <x:v>35.2</x:v>
      </x:c>
      <x:c r="K116" s="130" t="n">
        <x:v>40</x:v>
      </x:c>
      <x:c r="L116" s="124"/>
      <x:c r="M116" s="124"/>
      <x:c r="N116" s="124" t="n">
        <x:v>75.2</x:v>
      </x:c>
      <x:c r="O116" s="69" t="str"/>
    </x:row>
    <x:row r="117" ht="21" customHeight="1">
      <x:c r="A117" s="100" t="n">
        <x:v>113</x:v>
      </x:c>
      <x:c r="B117" s="172" t="n">
        <x:v>95311002996</x:v>
      </x:c>
      <x:c r="C117" s="68" t="str">
        <x:v>NGUYỄN THỊ NHƯ Ý</x:v>
      </x:c>
      <x:c r="D117" s="106" t="str">
        <x:v>X</x:v>
      </x:c>
      <x:c r="E117" s="118" t="n">
        <x:v>40549</x:v>
      </x:c>
      <x:c r="F117" s="106" t="str">
        <x:v>Kinh</x:v>
      </x:c>
      <x:c r="G117" s="68" t="str">
        <x:v>Xã Phước Long</x:v>
      </x:c>
      <x:c r="H117" s="68" t="str">
        <x:v>THCS Hưng Phú</x:v>
      </x:c>
      <x:c r="I117" s="68" t="str">
        <x:v>Xã Vĩnh Thanh</x:v>
      </x:c>
      <x:c r="J117" s="124" t="n">
        <x:v>35.2</x:v>
      </x:c>
      <x:c r="K117" s="130" t="n">
        <x:v>40</x:v>
      </x:c>
      <x:c r="L117" s="124"/>
      <x:c r="M117" s="124"/>
      <x:c r="N117" s="124" t="n">
        <x:v>75.2</x:v>
      </x:c>
      <x:c r="O117" s="69" t="str"/>
    </x:row>
    <x:row r="118" ht="21" customHeight="1">
      <x:c r="A118" s="100" t="n">
        <x:v>114</x:v>
      </x:c>
      <x:c r="B118" s="172" t="n">
        <x:v>95311007239</x:v>
      </x:c>
      <x:c r="C118" s="68" t="str">
        <x:v>TRẦN THỊ KIM NGÂN</x:v>
      </x:c>
      <x:c r="D118" s="106" t="str">
        <x:v>X</x:v>
      </x:c>
      <x:c r="E118" s="118" t="n">
        <x:v>40850</x:v>
      </x:c>
      <x:c r="F118" s="106" t="str">
        <x:v>Kinh</x:v>
      </x:c>
      <x:c r="G118" s="68" t="str">
        <x:v>Xã Vĩnh Thanh</x:v>
      </x:c>
      <x:c r="H118" s="68" t="str">
        <x:v>THCS Hưng Phú</x:v>
      </x:c>
      <x:c r="I118" s="68" t="str">
        <x:v>Xã Vĩnh Thanh</x:v>
      </x:c>
      <x:c r="J118" s="124" t="n">
        <x:v>35.2</x:v>
      </x:c>
      <x:c r="K118" s="130" t="n">
        <x:v>40</x:v>
      </x:c>
      <x:c r="L118" s="124"/>
      <x:c r="M118" s="124"/>
      <x:c r="N118" s="124" t="n">
        <x:v>75.2</x:v>
      </x:c>
      <x:c r="O118" s="69" t="str"/>
    </x:row>
    <x:row r="119" ht="21" customHeight="1">
      <x:c r="A119" s="100" t="n">
        <x:v>115</x:v>
      </x:c>
      <x:c r="B119" s="172" t="n">
        <x:v>95311003333</x:v>
      </x:c>
      <x:c r="C119" s="68" t="str">
        <x:v>SƠN THỊ SÓC KHA</x:v>
      </x:c>
      <x:c r="D119" s="106" t="str">
        <x:v>X</x:v>
      </x:c>
      <x:c r="E119" s="118" t="n">
        <x:v>40708</x:v>
      </x:c>
      <x:c r="F119" s="106" t="str">
        <x:v>Khmer</x:v>
      </x:c>
      <x:c r="G119" s="68" t="str">
        <x:v>Xã Vĩnh Phước</x:v>
      </x:c>
      <x:c r="H119" s="68" t="str">
        <x:v>THCS Vĩnh Thanh</x:v>
      </x:c>
      <x:c r="I119" s="68" t="str">
        <x:v>Xã Vĩnh Thanh</x:v>
      </x:c>
      <x:c r="J119" s="124" t="n">
        <x:v>35.2</x:v>
      </x:c>
      <x:c r="K119" s="130" t="n">
        <x:v>39</x:v>
      </x:c>
      <x:c r="L119" s="124" t="n">
        <x:v>1</x:v>
      </x:c>
      <x:c r="M119" s="124"/>
      <x:c r="N119" s="124" t="n">
        <x:v>75.2</x:v>
      </x:c>
      <x:c r="O119" s="69" t="str"/>
    </x:row>
    <x:row r="120" ht="21" customHeight="1">
      <x:c r="A120" s="100" t="n">
        <x:v>116</x:v>
      </x:c>
      <x:c r="B120" s="172" t="n">
        <x:v>96211001551</x:v>
      </x:c>
      <x:c r="C120" s="68" t="str">
        <x:v>BÙI HOÀNG DIỄN</x:v>
      </x:c>
      <x:c r="D120" s="106" t="str"/>
      <x:c r="E120" s="118" t="n">
        <x:v>40908</x:v>
      </x:c>
      <x:c r="F120" s="106" t="str">
        <x:v>Kinh</x:v>
      </x:c>
      <x:c r="G120" s="68" t="str">
        <x:v>Xã Vĩnh Thanh</x:v>
      </x:c>
      <x:c r="H120" s="68" t="str">
        <x:v>THCS Vĩnh Thanh</x:v>
      </x:c>
      <x:c r="I120" s="68" t="str">
        <x:v>Xã Vĩnh Thanh</x:v>
      </x:c>
      <x:c r="J120" s="124" t="n">
        <x:v>35.2</x:v>
      </x:c>
      <x:c r="K120" s="130" t="n">
        <x:v>40</x:v>
      </x:c>
      <x:c r="L120" s="124"/>
      <x:c r="M120" s="124"/>
      <x:c r="N120" s="124" t="n">
        <x:v>75.2</x:v>
      </x:c>
      <x:c r="O120" s="69" t="str"/>
    </x:row>
    <x:row r="121" ht="21" customHeight="1">
      <x:c r="A121" s="100" t="n">
        <x:v>117</x:v>
      </x:c>
      <x:c r="B121" s="172" t="n">
        <x:v>95311000454</x:v>
      </x:c>
      <x:c r="C121" s="68" t="str">
        <x:v>VÕ HUỲNH GIA HÂN</x:v>
      </x:c>
      <x:c r="D121" s="106" t="str">
        <x:v>X</x:v>
      </x:c>
      <x:c r="E121" s="118" t="n">
        <x:v>40765</x:v>
      </x:c>
      <x:c r="F121" s="106" t="str">
        <x:v>Kinh</x:v>
      </x:c>
      <x:c r="G121" s="68" t="str">
        <x:v>Xã Vĩnh Phước</x:v>
      </x:c>
      <x:c r="H121" s="68" t="str">
        <x:v>THCS Phước Long</x:v>
      </x:c>
      <x:c r="I121" s="68" t="str">
        <x:v>Xã Phước Long</x:v>
      </x:c>
      <x:c r="J121" s="124" t="n">
        <x:v>35.1</x:v>
      </x:c>
      <x:c r="K121" s="130" t="n">
        <x:v>40</x:v>
      </x:c>
      <x:c r="L121" s="124"/>
      <x:c r="M121" s="124"/>
      <x:c r="N121" s="124" t="n">
        <x:v>75.1</x:v>
      </x:c>
      <x:c r="O121" s="69" t="str"/>
    </x:row>
    <x:row r="122" ht="21" customHeight="1">
      <x:c r="A122" s="100" t="n">
        <x:v>118</x:v>
      </x:c>
      <x:c r="B122" s="172" t="n">
        <x:v>95211010074</x:v>
      </x:c>
      <x:c r="C122" s="68" t="str">
        <x:v>TRẦN PHÁT ĐẠT</x:v>
      </x:c>
      <x:c r="D122" s="106" t="str"/>
      <x:c r="E122" s="118" t="n">
        <x:v>40607</x:v>
      </x:c>
      <x:c r="F122" s="106" t="str">
        <x:v>Kinh</x:v>
      </x:c>
      <x:c r="G122" s="68" t="str">
        <x:v>Xã Vĩnh Thanh</x:v>
      </x:c>
      <x:c r="H122" s="68" t="str">
        <x:v>THCS Hưng Phú</x:v>
      </x:c>
      <x:c r="I122" s="68" t="str">
        <x:v>Xã Vĩnh Thanh</x:v>
      </x:c>
      <x:c r="J122" s="124" t="n">
        <x:v>35.1</x:v>
      </x:c>
      <x:c r="K122" s="130" t="n">
        <x:v>40</x:v>
      </x:c>
      <x:c r="L122" s="124"/>
      <x:c r="M122" s="124"/>
      <x:c r="N122" s="124" t="n">
        <x:v>75.1</x:v>
      </x:c>
      <x:c r="O122" s="69" t="str"/>
    </x:row>
    <x:row r="123" ht="21" customHeight="1">
      <x:c r="A123" s="100" t="n">
        <x:v>119</x:v>
      </x:c>
      <x:c r="B123" s="172" t="n">
        <x:v>95211007234</x:v>
      </x:c>
      <x:c r="C123" s="68" t="str">
        <x:v>KIM HOÀNG TRỌNG NHÂN</x:v>
      </x:c>
      <x:c r="D123" s="106" t="str"/>
      <x:c r="E123" s="118" t="n">
        <x:v>40813</x:v>
      </x:c>
      <x:c r="F123" s="106" t="str">
        <x:v>Kinh</x:v>
      </x:c>
      <x:c r="G123" s="68" t="str">
        <x:v>Xã Vĩnh Thanh</x:v>
      </x:c>
      <x:c r="H123" s="68" t="str">
        <x:v>THCS Hưng Phú</x:v>
      </x:c>
      <x:c r="I123" s="68" t="str">
        <x:v>Xã Vĩnh Thanh</x:v>
      </x:c>
      <x:c r="J123" s="124" t="n">
        <x:v>35.1</x:v>
      </x:c>
      <x:c r="K123" s="130" t="n">
        <x:v>40</x:v>
      </x:c>
      <x:c r="L123" s="124"/>
      <x:c r="M123" s="124"/>
      <x:c r="N123" s="124" t="n">
        <x:v>75.1</x:v>
      </x:c>
      <x:c r="O123" s="69" t="str"/>
    </x:row>
    <x:row r="124" ht="21" customHeight="1">
      <x:c r="A124" s="100" t="n">
        <x:v>120</x:v>
      </x:c>
      <x:c r="B124" s="172" t="n">
        <x:v>95211009057</x:v>
      </x:c>
      <x:c r="C124" s="68" t="str">
        <x:v>DUY GIA KHIÊM</x:v>
      </x:c>
      <x:c r="D124" s="106" t="str"/>
      <x:c r="E124" s="118" t="n">
        <x:v>40731</x:v>
      </x:c>
      <x:c r="F124" s="106" t="str">
        <x:v>Kinh</x:v>
      </x:c>
      <x:c r="G124" s="68" t="str">
        <x:v>Xã Phước Long</x:v>
      </x:c>
      <x:c r="H124" s="68" t="str">
        <x:v>THCS Vương Hữu Nhơn</x:v>
      </x:c>
      <x:c r="I124" s="68" t="str">
        <x:v>Xã Phước Long</x:v>
      </x:c>
      <x:c r="J124" s="124" t="n">
        <x:v>35.1</x:v>
      </x:c>
      <x:c r="K124" s="130" t="n">
        <x:v>40</x:v>
      </x:c>
      <x:c r="L124" s="124"/>
      <x:c r="M124" s="124"/>
      <x:c r="N124" s="124" t="n">
        <x:v>75.1</x:v>
      </x:c>
      <x:c r="O124" s="69" t="str"/>
    </x:row>
    <x:row r="125" ht="21" customHeight="1">
      <x:c r="A125" s="100" t="n">
        <x:v>121</x:v>
      </x:c>
      <x:c r="B125" s="172" t="n">
        <x:v>95311001107</x:v>
      </x:c>
      <x:c r="C125" s="68" t="str">
        <x:v>LÊ KHÃ ÁI</x:v>
      </x:c>
      <x:c r="D125" s="106" t="str">
        <x:v>X</x:v>
      </x:c>
      <x:c r="E125" s="118" t="n">
        <x:v>40731</x:v>
      </x:c>
      <x:c r="F125" s="106" t="str">
        <x:v>Kinh</x:v>
      </x:c>
      <x:c r="G125" s="68" t="str">
        <x:v>Xã Phước Long</x:v>
      </x:c>
      <x:c r="H125" s="68" t="str">
        <x:v>THCS Phước Long</x:v>
      </x:c>
      <x:c r="I125" s="68" t="str">
        <x:v>Xã Phước Long</x:v>
      </x:c>
      <x:c r="J125" s="124" t="n">
        <x:v>35</x:v>
      </x:c>
      <x:c r="K125" s="130" t="n">
        <x:v>40</x:v>
      </x:c>
      <x:c r="L125" s="124"/>
      <x:c r="M125" s="124"/>
      <x:c r="N125" s="124" t="n">
        <x:v>75</x:v>
      </x:c>
      <x:c r="O125" s="69" t="str"/>
    </x:row>
    <x:row r="126" ht="21" customHeight="1">
      <x:c r="A126" s="100" t="n">
        <x:v>122</x:v>
      </x:c>
      <x:c r="B126" s="172" t="n">
        <x:v>95311002378</x:v>
      </x:c>
      <x:c r="C126" s="68" t="str">
        <x:v>LÊ THỊ NGỌC BÍCH</x:v>
      </x:c>
      <x:c r="D126" s="106" t="str">
        <x:v>X</x:v>
      </x:c>
      <x:c r="E126" s="118" t="n">
        <x:v>40642</x:v>
      </x:c>
      <x:c r="F126" s="106" t="str">
        <x:v>Kinh</x:v>
      </x:c>
      <x:c r="G126" s="68" t="str">
        <x:v>Xã Vĩnh Thanh</x:v>
      </x:c>
      <x:c r="H126" s="68" t="str">
        <x:v>THCS Hưng Phú</x:v>
      </x:c>
      <x:c r="I126" s="68" t="str">
        <x:v>Xã Vĩnh Thanh</x:v>
      </x:c>
      <x:c r="J126" s="124" t="n">
        <x:v>35.5</x:v>
      </x:c>
      <x:c r="K126" s="130" t="n">
        <x:v>39</x:v>
      </x:c>
      <x:c r="L126" s="124"/>
      <x:c r="M126" s="124" t="n">
        <x:v>0.5</x:v>
      </x:c>
      <x:c r="N126" s="124" t="n">
        <x:v>75</x:v>
      </x:c>
      <x:c r="O126" s="69" t="str"/>
    </x:row>
    <x:row r="127" ht="21" customHeight="1">
      <x:c r="A127" s="100" t="n">
        <x:v>123</x:v>
      </x:c>
      <x:c r="B127" s="172" t="n">
        <x:v>95206008755</x:v>
      </x:c>
      <x:c r="C127" s="68" t="str">
        <x:v>NGUYỄN VIỆT TRƯỜNG</x:v>
      </x:c>
      <x:c r="D127" s="106" t="str"/>
      <x:c r="E127" s="118" t="n">
        <x:v>39060</x:v>
      </x:c>
      <x:c r="F127" s="106" t="str">
        <x:v>Kinh</x:v>
      </x:c>
      <x:c r="G127" s="68" t="str">
        <x:v>Xã Vĩnh Thanh</x:v>
      </x:c>
      <x:c r="H127" s="68" t="str">
        <x:v>THCS Hưng Phú</x:v>
      </x:c>
      <x:c r="I127" s="68" t="str">
        <x:v>Xã Vĩnh Thanh</x:v>
      </x:c>
      <x:c r="J127" s="124" t="n">
        <x:v>35</x:v>
      </x:c>
      <x:c r="K127" s="130" t="n">
        <x:v>40</x:v>
      </x:c>
      <x:c r="L127" s="124"/>
      <x:c r="M127" s="124"/>
      <x:c r="N127" s="124" t="n">
        <x:v>75</x:v>
      </x:c>
      <x:c r="O127" s="69" t="str"/>
    </x:row>
    <x:row r="128" ht="21" customHeight="1">
      <x:c r="A128" s="100" t="n">
        <x:v>124</x:v>
      </x:c>
      <x:c r="B128" s="172" t="n">
        <x:v>95211004011</x:v>
      </x:c>
      <x:c r="C128" s="68" t="str">
        <x:v>TRẦN HOÀI NAM</x:v>
      </x:c>
      <x:c r="D128" s="106" t="str"/>
      <x:c r="E128" s="118" t="n">
        <x:v>40718</x:v>
      </x:c>
      <x:c r="F128" s="106" t="str">
        <x:v>Kinh</x:v>
      </x:c>
      <x:c r="G128" s="68" t="str">
        <x:v>Xã Phước Long</x:v>
      </x:c>
      <x:c r="H128" s="68" t="str">
        <x:v>THCS Vương Hữu Nhơn</x:v>
      </x:c>
      <x:c r="I128" s="68" t="str">
        <x:v>Xã Phước Long</x:v>
      </x:c>
      <x:c r="J128" s="124" t="n">
        <x:v>34</x:v>
      </x:c>
      <x:c r="K128" s="130" t="n">
        <x:v>40</x:v>
      </x:c>
      <x:c r="L128" s="124"/>
      <x:c r="M128" s="124" t="n">
        <x:v>1</x:v>
      </x:c>
      <x:c r="N128" s="124" t="n">
        <x:v>75</x:v>
      </x:c>
      <x:c r="O128" s="69" t="str"/>
    </x:row>
    <x:row r="129" ht="21" customHeight="1">
      <x:c r="A129" s="100" t="n">
        <x:v>125</x:v>
      </x:c>
      <x:c r="B129" s="172" t="n">
        <x:v>95311005382</x:v>
      </x:c>
      <x:c r="C129" s="68" t="str">
        <x:v>LÊ MINH THƯ</x:v>
      </x:c>
      <x:c r="D129" s="106" t="str">
        <x:v>X</x:v>
      </x:c>
      <x:c r="E129" s="118" t="n">
        <x:v>40661</x:v>
      </x:c>
      <x:c r="F129" s="106" t="str">
        <x:v>Kinh</x:v>
      </x:c>
      <x:c r="G129" s="68" t="str">
        <x:v>Xã Ninh Quới</x:v>
      </x:c>
      <x:c r="H129" s="68" t="str">
        <x:v>THCS Phước Long</x:v>
      </x:c>
      <x:c r="I129" s="68" t="str">
        <x:v>Xã Phước Long</x:v>
      </x:c>
      <x:c r="J129" s="124" t="n">
        <x:v>34.9</x:v>
      </x:c>
      <x:c r="K129" s="130" t="n">
        <x:v>40</x:v>
      </x:c>
      <x:c r="L129" s="124"/>
      <x:c r="M129" s="124"/>
      <x:c r="N129" s="124" t="n">
        <x:v>74.9</x:v>
      </x:c>
      <x:c r="O129" s="69" t="str"/>
    </x:row>
    <x:row r="130" ht="21" customHeight="1">
      <x:c r="A130" s="100" t="n">
        <x:v>126</x:v>
      </x:c>
      <x:c r="B130" s="172" t="n">
        <x:v>95211002748</x:v>
      </x:c>
      <x:c r="C130" s="68" t="str">
        <x:v>TRẦN GIA HUY</x:v>
      </x:c>
      <x:c r="D130" s="106" t="str"/>
      <x:c r="E130" s="118" t="n">
        <x:v>40759</x:v>
      </x:c>
      <x:c r="F130" s="106" t="str">
        <x:v>Kinh</x:v>
      </x:c>
      <x:c r="G130" s="68" t="str">
        <x:v>Xã Vĩnh Thanh</x:v>
      </x:c>
      <x:c r="H130" s="68" t="str">
        <x:v>THCS Hưng Phú</x:v>
      </x:c>
      <x:c r="I130" s="68" t="str">
        <x:v>Xã Vĩnh Thanh</x:v>
      </x:c>
      <x:c r="J130" s="124" t="n">
        <x:v>34.9</x:v>
      </x:c>
      <x:c r="K130" s="130" t="n">
        <x:v>40</x:v>
      </x:c>
      <x:c r="L130" s="124"/>
      <x:c r="M130" s="124"/>
      <x:c r="N130" s="124" t="n">
        <x:v>74.9</x:v>
      </x:c>
      <x:c r="O130" s="69" t="str"/>
    </x:row>
    <x:row r="131" ht="21" customHeight="1">
      <x:c r="A131" s="100" t="n">
        <x:v>127</x:v>
      </x:c>
      <x:c r="B131" s="172" t="n">
        <x:v>95311003101</x:v>
      </x:c>
      <x:c r="C131" s="68" t="str">
        <x:v>MAI THỊ NHƯ Ý</x:v>
      </x:c>
      <x:c r="D131" s="106" t="str">
        <x:v>X</x:v>
      </x:c>
      <x:c r="E131" s="118" t="n">
        <x:v>40607</x:v>
      </x:c>
      <x:c r="F131" s="106" t="str">
        <x:v>Kinh</x:v>
      </x:c>
      <x:c r="G131" s="68" t="str">
        <x:v>Xã Vĩnh Thanh</x:v>
      </x:c>
      <x:c r="H131" s="68" t="str">
        <x:v>THCS Hưng Phú</x:v>
      </x:c>
      <x:c r="I131" s="68" t="str">
        <x:v>Xã Vĩnh Thanh</x:v>
      </x:c>
      <x:c r="J131" s="124" t="n">
        <x:v>34.9</x:v>
      </x:c>
      <x:c r="K131" s="130" t="n">
        <x:v>40</x:v>
      </x:c>
      <x:c r="L131" s="124"/>
      <x:c r="M131" s="124"/>
      <x:c r="N131" s="124" t="n">
        <x:v>74.9</x:v>
      </x:c>
      <x:c r="O131" s="69" t="str"/>
    </x:row>
    <x:row r="132" ht="21" customHeight="1">
      <x:c r="A132" s="100" t="n">
        <x:v>128</x:v>
      </x:c>
      <x:c r="B132" s="172" t="n">
        <x:v>95311008821</x:v>
      </x:c>
      <x:c r="C132" s="68" t="str">
        <x:v>PHẠM KIM LANH</x:v>
      </x:c>
      <x:c r="D132" s="106" t="str">
        <x:v>X</x:v>
      </x:c>
      <x:c r="E132" s="118" t="n">
        <x:v>40809</x:v>
      </x:c>
      <x:c r="F132" s="106" t="str">
        <x:v>Kinh</x:v>
      </x:c>
      <x:c r="G132" s="68" t="str">
        <x:v>Xã Phước Long</x:v>
      </x:c>
      <x:c r="H132" s="68" t="str">
        <x:v>THCS Phước Long</x:v>
      </x:c>
      <x:c r="I132" s="68" t="str">
        <x:v>Xã Phước Long</x:v>
      </x:c>
      <x:c r="J132" s="124" t="n">
        <x:v>34.8</x:v>
      </x:c>
      <x:c r="K132" s="130" t="n">
        <x:v>40</x:v>
      </x:c>
      <x:c r="L132" s="124"/>
      <x:c r="M132" s="124"/>
      <x:c r="N132" s="124" t="n">
        <x:v>74.8</x:v>
      </x:c>
      <x:c r="O132" s="69" t="str"/>
    </x:row>
    <x:row r="133" ht="21" customHeight="1">
      <x:c r="A133" s="100" t="n">
        <x:v>129</x:v>
      </x:c>
      <x:c r="B133" s="172" t="n">
        <x:v>95311007159</x:v>
      </x:c>
      <x:c r="C133" s="68" t="str">
        <x:v>NGÔ THỊ KIM NGÂN</x:v>
      </x:c>
      <x:c r="D133" s="106" t="str">
        <x:v>X</x:v>
      </x:c>
      <x:c r="E133" s="118" t="n">
        <x:v>40675</x:v>
      </x:c>
      <x:c r="F133" s="106" t="str">
        <x:v>Kinh</x:v>
      </x:c>
      <x:c r="G133" s="68" t="str">
        <x:v>Xã Vĩnh Thanh</x:v>
      </x:c>
      <x:c r="H133" s="68" t="str">
        <x:v>THCS Hưng Phú</x:v>
      </x:c>
      <x:c r="I133" s="68" t="str">
        <x:v>Xã Vĩnh Thanh</x:v>
      </x:c>
      <x:c r="J133" s="124" t="n">
        <x:v>34.8</x:v>
      </x:c>
      <x:c r="K133" s="130" t="n">
        <x:v>40</x:v>
      </x:c>
      <x:c r="L133" s="124"/>
      <x:c r="M133" s="124"/>
      <x:c r="N133" s="124" t="n">
        <x:v>74.8</x:v>
      </x:c>
      <x:c r="O133" s="69" t="str"/>
    </x:row>
    <x:row r="134" ht="21" customHeight="1">
      <x:c r="A134" s="100" t="n">
        <x:v>130</x:v>
      </x:c>
      <x:c r="B134" s="172" t="n">
        <x:v>95311009608</x:v>
      </x:c>
      <x:c r="C134" s="68" t="str">
        <x:v>NGÔ NHÃ THY</x:v>
      </x:c>
      <x:c r="D134" s="106" t="str">
        <x:v>X</x:v>
      </x:c>
      <x:c r="E134" s="118" t="n">
        <x:v>40602</x:v>
      </x:c>
      <x:c r="F134" s="106" t="str">
        <x:v>Kinh</x:v>
      </x:c>
      <x:c r="G134" s="68" t="str">
        <x:v>Xã Phước Long</x:v>
      </x:c>
      <x:c r="H134" s="68" t="str">
        <x:v>THCS Phước Long</x:v>
      </x:c>
      <x:c r="I134" s="68" t="str">
        <x:v>Xã Phước Long</x:v>
      </x:c>
      <x:c r="J134" s="124" t="n">
        <x:v>34.7</x:v>
      </x:c>
      <x:c r="K134" s="130" t="n">
        <x:v>40</x:v>
      </x:c>
      <x:c r="L134" s="124"/>
      <x:c r="M134" s="124"/>
      <x:c r="N134" s="124" t="n">
        <x:v>74.7</x:v>
      </x:c>
      <x:c r="O134" s="69" t="str"/>
    </x:row>
    <x:row r="135" ht="21" customHeight="1">
      <x:c r="A135" s="100" t="n">
        <x:v>131</x:v>
      </x:c>
      <x:c r="B135" s="172" t="n">
        <x:v>95211009560</x:v>
      </x:c>
      <x:c r="C135" s="68" t="str">
        <x:v>HUỲNH GIA BẢO</x:v>
      </x:c>
      <x:c r="D135" s="106" t="str"/>
      <x:c r="E135" s="118" t="n">
        <x:v>40605</x:v>
      </x:c>
      <x:c r="F135" s="106" t="str">
        <x:v>Kinh</x:v>
      </x:c>
      <x:c r="G135" s="68" t="str">
        <x:v>Xã Phước Long</x:v>
      </x:c>
      <x:c r="H135" s="68" t="str">
        <x:v>THCS Hưng Phú</x:v>
      </x:c>
      <x:c r="I135" s="68" t="str">
        <x:v>Xã Vĩnh Thanh</x:v>
      </x:c>
      <x:c r="J135" s="124" t="n">
        <x:v>34.7</x:v>
      </x:c>
      <x:c r="K135" s="130" t="n">
        <x:v>40</x:v>
      </x:c>
      <x:c r="L135" s="124"/>
      <x:c r="M135" s="124"/>
      <x:c r="N135" s="124" t="n">
        <x:v>74.7</x:v>
      </x:c>
      <x:c r="O135" s="69" t="str"/>
    </x:row>
    <x:row r="136" ht="21" customHeight="1">
      <x:c r="A136" s="100" t="n">
        <x:v>132</x:v>
      </x:c>
      <x:c r="B136" s="172" t="n">
        <x:v>95311009299</x:v>
      </x:c>
      <x:c r="C136" s="68" t="str">
        <x:v>NGUYỄN HỒNG GẤM</x:v>
      </x:c>
      <x:c r="D136" s="106" t="str">
        <x:v>X</x:v>
      </x:c>
      <x:c r="E136" s="118" t="n">
        <x:v>40796</x:v>
      </x:c>
      <x:c r="F136" s="106" t="str">
        <x:v>Kinh</x:v>
      </x:c>
      <x:c r="G136" s="68" t="str">
        <x:v>Xã Hồng Dân</x:v>
      </x:c>
      <x:c r="H136" s="68" t="str">
        <x:v>THCS Trương Vĩnh Ký</x:v>
      </x:c>
      <x:c r="I136" s="68" t="str">
        <x:v>Xã Hồng Dân</x:v>
      </x:c>
      <x:c r="J136" s="124" t="n">
        <x:v>34.7</x:v>
      </x:c>
      <x:c r="K136" s="130" t="n">
        <x:v>40</x:v>
      </x:c>
      <x:c r="L136" s="124"/>
      <x:c r="M136" s="124"/>
      <x:c r="N136" s="124" t="n">
        <x:v>74.7</x:v>
      </x:c>
      <x:c r="O136" s="69" t="str"/>
    </x:row>
    <x:row r="137" ht="21" customHeight="1">
      <x:c r="A137" s="100" t="n">
        <x:v>133</x:v>
      </x:c>
      <x:c r="B137" s="172" t="n">
        <x:v>95311007873</x:v>
      </x:c>
      <x:c r="C137" s="68" t="str">
        <x:v>BÙI NGỌC HẠNH</x:v>
      </x:c>
      <x:c r="D137" s="106" t="str">
        <x:v>X</x:v>
      </x:c>
      <x:c r="E137" s="118" t="n">
        <x:v>40853</x:v>
      </x:c>
      <x:c r="F137" s="106" t="str">
        <x:v>Kinh</x:v>
      </x:c>
      <x:c r="G137" s="68" t="str">
        <x:v>Xã Phước Long</x:v>
      </x:c>
      <x:c r="H137" s="68" t="str">
        <x:v>THCS Vương Hữu Nhơn</x:v>
      </x:c>
      <x:c r="I137" s="68" t="str">
        <x:v>Xã Phước Long</x:v>
      </x:c>
      <x:c r="J137" s="124" t="n">
        <x:v>34.7</x:v>
      </x:c>
      <x:c r="K137" s="130" t="n">
        <x:v>40</x:v>
      </x:c>
      <x:c r="L137" s="124"/>
      <x:c r="M137" s="124"/>
      <x:c r="N137" s="124" t="n">
        <x:v>74.7</x:v>
      </x:c>
      <x:c r="O137" s="69" t="str"/>
    </x:row>
    <x:row r="138" ht="21" customHeight="1">
      <x:c r="A138" s="100" t="n">
        <x:v>134</x:v>
      </x:c>
      <x:c r="B138" s="172" t="n">
        <x:v>95311003664</x:v>
      </x:c>
      <x:c r="C138" s="68" t="str">
        <x:v>NGUYỄN PHƯƠNG Ý</x:v>
      </x:c>
      <x:c r="D138" s="106" t="str">
        <x:v>X</x:v>
      </x:c>
      <x:c r="E138" s="118" t="n">
        <x:v>40659</x:v>
      </x:c>
      <x:c r="F138" s="106" t="str">
        <x:v>Kinh</x:v>
      </x:c>
      <x:c r="G138" s="68" t="str">
        <x:v>Xã Phước Long</x:v>
      </x:c>
      <x:c r="H138" s="68" t="str">
        <x:v>THCS Phước Long</x:v>
      </x:c>
      <x:c r="I138" s="68" t="str">
        <x:v>Xã Phước Long</x:v>
      </x:c>
      <x:c r="J138" s="124" t="n">
        <x:v>35.7</x:v>
      </x:c>
      <x:c r="K138" s="130" t="n">
        <x:v>39</x:v>
      </x:c>
      <x:c r="L138" s="124"/>
      <x:c r="M138" s="124"/>
      <x:c r="N138" s="124" t="n">
        <x:v>74.7</x:v>
      </x:c>
      <x:c r="O138" s="69" t="str"/>
    </x:row>
    <x:row r="139" ht="21" customHeight="1">
      <x:c r="A139" s="100" t="n">
        <x:v>135</x:v>
      </x:c>
      <x:c r="B139" s="172" t="n">
        <x:v>95311001892</x:v>
      </x:c>
      <x:c r="C139" s="68" t="str">
        <x:v>NGUYỄN ĐINH NHÃ MY</x:v>
      </x:c>
      <x:c r="D139" s="106" t="str">
        <x:v>X</x:v>
      </x:c>
      <x:c r="E139" s="118" t="n">
        <x:v>40877</x:v>
      </x:c>
      <x:c r="F139" s="106" t="str">
        <x:v>Kinh</x:v>
      </x:c>
      <x:c r="G139" s="68" t="str">
        <x:v>Xã Phước Long</x:v>
      </x:c>
      <x:c r="H139" s="68" t="str">
        <x:v>THCS Phước Long</x:v>
      </x:c>
      <x:c r="I139" s="68" t="str">
        <x:v>Xã Phước Long</x:v>
      </x:c>
      <x:c r="J139" s="124" t="n">
        <x:v>34.6</x:v>
      </x:c>
      <x:c r="K139" s="130" t="n">
        <x:v>40</x:v>
      </x:c>
      <x:c r="L139" s="124"/>
      <x:c r="M139" s="124"/>
      <x:c r="N139" s="124" t="n">
        <x:v>74.6</x:v>
      </x:c>
      <x:c r="O139" s="69" t="str"/>
    </x:row>
    <x:row r="140" ht="21" customHeight="1">
      <x:c r="A140" s="100" t="n">
        <x:v>136</x:v>
      </x:c>
      <x:c r="B140" s="172" t="n">
        <x:v>95311005484</x:v>
      </x:c>
      <x:c r="C140" s="68" t="str">
        <x:v>NGUYỄN THỊ DIỄM TRANG</x:v>
      </x:c>
      <x:c r="D140" s="106" t="str">
        <x:v>X</x:v>
      </x:c>
      <x:c r="E140" s="118" t="n">
        <x:v>40798</x:v>
      </x:c>
      <x:c r="F140" s="106" t="str">
        <x:v>Kinh</x:v>
      </x:c>
      <x:c r="G140" s="68" t="str">
        <x:v>Xã Phước Long</x:v>
      </x:c>
      <x:c r="H140" s="68" t="str">
        <x:v>THCS Phước Long</x:v>
      </x:c>
      <x:c r="I140" s="68" t="str">
        <x:v>Xã Phước Long</x:v>
      </x:c>
      <x:c r="J140" s="124" t="n">
        <x:v>34.6</x:v>
      </x:c>
      <x:c r="K140" s="130" t="n">
        <x:v>40</x:v>
      </x:c>
      <x:c r="L140" s="124"/>
      <x:c r="M140" s="124"/>
      <x:c r="N140" s="124" t="n">
        <x:v>74.6</x:v>
      </x:c>
      <x:c r="O140" s="69" t="str"/>
    </x:row>
    <x:row r="141" ht="21" customHeight="1">
      <x:c r="A141" s="100" t="n">
        <x:v>137</x:v>
      </x:c>
      <x:c r="B141" s="172" t="n">
        <x:v>95311009947</x:v>
      </x:c>
      <x:c r="C141" s="68" t="str">
        <x:v>TRẦN GIA HÂN</x:v>
      </x:c>
      <x:c r="D141" s="106" t="str">
        <x:v>X</x:v>
      </x:c>
      <x:c r="E141" s="118" t="n">
        <x:v>40637</x:v>
      </x:c>
      <x:c r="F141" s="106" t="str">
        <x:v>Kinh</x:v>
      </x:c>
      <x:c r="G141" s="68" t="str">
        <x:v>Xã Vĩnh Phước</x:v>
      </x:c>
      <x:c r="H141" s="68" t="str">
        <x:v>THCS Vĩnh Phú Tây</x:v>
      </x:c>
      <x:c r="I141" s="68" t="str">
        <x:v>Xã Vĩnh Phước</x:v>
      </x:c>
      <x:c r="J141" s="124" t="n">
        <x:v>34.6</x:v>
      </x:c>
      <x:c r="K141" s="130" t="n">
        <x:v>40</x:v>
      </x:c>
      <x:c r="L141" s="124"/>
      <x:c r="M141" s="124"/>
      <x:c r="N141" s="124" t="n">
        <x:v>74.6</x:v>
      </x:c>
      <x:c r="O141" s="69" t="str"/>
    </x:row>
    <x:row r="142" ht="21" customHeight="1">
      <x:c r="A142" s="100" t="n">
        <x:v>138</x:v>
      </x:c>
      <x:c r="B142" s="172" t="n">
        <x:v>95311009279</x:v>
      </x:c>
      <x:c r="C142" s="68" t="str">
        <x:v>TRẦN HUỲNH TRÚC THỤY</x:v>
      </x:c>
      <x:c r="D142" s="106" t="str">
        <x:v>X</x:v>
      </x:c>
      <x:c r="E142" s="118" t="n">
        <x:v>40786</x:v>
      </x:c>
      <x:c r="F142" s="106" t="str">
        <x:v>Kinh</x:v>
      </x:c>
      <x:c r="G142" s="68" t="str">
        <x:v>Xã Phước Long</x:v>
      </x:c>
      <x:c r="H142" s="68" t="str">
        <x:v>THCS Phước Long</x:v>
      </x:c>
      <x:c r="I142" s="68" t="str">
        <x:v>Xã Phước Long</x:v>
      </x:c>
      <x:c r="J142" s="124" t="n">
        <x:v>34.5</x:v>
      </x:c>
      <x:c r="K142" s="130" t="n">
        <x:v>40</x:v>
      </x:c>
      <x:c r="L142" s="124"/>
      <x:c r="M142" s="124"/>
      <x:c r="N142" s="124" t="n">
        <x:v>74.5</x:v>
      </x:c>
      <x:c r="O142" s="69" t="str"/>
    </x:row>
    <x:row r="143" ht="21" customHeight="1">
      <x:c r="A143" s="100" t="n">
        <x:v>139</x:v>
      </x:c>
      <x:c r="B143" s="172" t="n">
        <x:v>95311000457</x:v>
      </x:c>
      <x:c r="C143" s="68" t="str">
        <x:v>NGUYỄN NGỌC MAI</x:v>
      </x:c>
      <x:c r="D143" s="106" t="str">
        <x:v>X</x:v>
      </x:c>
      <x:c r="E143" s="118" t="n">
        <x:v>40874</x:v>
      </x:c>
      <x:c r="F143" s="106" t="str">
        <x:v>Kinh</x:v>
      </x:c>
      <x:c r="G143" s="68" t="str">
        <x:v>Xã Phước Long</x:v>
      </x:c>
      <x:c r="H143" s="68" t="str">
        <x:v>THCS Phước Long</x:v>
      </x:c>
      <x:c r="I143" s="68" t="str">
        <x:v>Xã Phước Long</x:v>
      </x:c>
      <x:c r="J143" s="124" t="n">
        <x:v>34.5</x:v>
      </x:c>
      <x:c r="K143" s="130" t="n">
        <x:v>40</x:v>
      </x:c>
      <x:c r="L143" s="124"/>
      <x:c r="M143" s="124"/>
      <x:c r="N143" s="124" t="n">
        <x:v>74.5</x:v>
      </x:c>
      <x:c r="O143" s="69" t="str"/>
    </x:row>
    <x:row r="144" ht="21" customHeight="1">
      <x:c r="A144" s="100" t="n">
        <x:v>140</x:v>
      </x:c>
      <x:c r="B144" s="172" t="n">
        <x:v>95311000935</x:v>
      </x:c>
      <x:c r="C144" s="68" t="str">
        <x:v>TRANG HUỲNH NHƯ Ý</x:v>
      </x:c>
      <x:c r="D144" s="106" t="str">
        <x:v>X</x:v>
      </x:c>
      <x:c r="E144" s="118" t="n">
        <x:v>40796</x:v>
      </x:c>
      <x:c r="F144" s="106" t="str">
        <x:v>Kinh</x:v>
      </x:c>
      <x:c r="G144" s="68" t="str">
        <x:v>Xã Phước Long</x:v>
      </x:c>
      <x:c r="H144" s="68" t="str">
        <x:v>THCS Phước Long</x:v>
      </x:c>
      <x:c r="I144" s="68" t="str">
        <x:v>Xã Phước Long</x:v>
      </x:c>
      <x:c r="J144" s="124" t="n">
        <x:v>34.5</x:v>
      </x:c>
      <x:c r="K144" s="130" t="n">
        <x:v>40</x:v>
      </x:c>
      <x:c r="L144" s="124"/>
      <x:c r="M144" s="124"/>
      <x:c r="N144" s="124" t="n">
        <x:v>74.5</x:v>
      </x:c>
      <x:c r="O144" s="69" t="str"/>
    </x:row>
    <x:row r="145" ht="21" customHeight="1">
      <x:c r="A145" s="100" t="n">
        <x:v>141</x:v>
      </x:c>
      <x:c r="B145" s="172" t="n">
        <x:v>95311005787</x:v>
      </x:c>
      <x:c r="C145" s="68" t="str">
        <x:v>LÊ THỊ KIM NGÂN</x:v>
      </x:c>
      <x:c r="D145" s="106" t="str">
        <x:v>X</x:v>
      </x:c>
      <x:c r="E145" s="118" t="n">
        <x:v>40819</x:v>
      </x:c>
      <x:c r="F145" s="106" t="str">
        <x:v>Kinh</x:v>
      </x:c>
      <x:c r="G145" s="68" t="str">
        <x:v>Xã Phước Long</x:v>
      </x:c>
      <x:c r="H145" s="68" t="str">
        <x:v>THCS Phước Long</x:v>
      </x:c>
      <x:c r="I145" s="68" t="str">
        <x:v>Xã Phước Long</x:v>
      </x:c>
      <x:c r="J145" s="124" t="n">
        <x:v>34.5</x:v>
      </x:c>
      <x:c r="K145" s="130" t="n">
        <x:v>40</x:v>
      </x:c>
      <x:c r="L145" s="124"/>
      <x:c r="M145" s="124"/>
      <x:c r="N145" s="124" t="n">
        <x:v>74.5</x:v>
      </x:c>
      <x:c r="O145" s="69" t="str"/>
    </x:row>
    <x:row r="146" ht="21" customHeight="1">
      <x:c r="A146" s="100" t="n">
        <x:v>142</x:v>
      </x:c>
      <x:c r="B146" s="172" t="n">
        <x:v>95211000484</x:v>
      </x:c>
      <x:c r="C146" s="68" t="str">
        <x:v>LÊ HẢI LONG</x:v>
      </x:c>
      <x:c r="D146" s="106" t="str"/>
      <x:c r="E146" s="118" t="n">
        <x:v>40645</x:v>
      </x:c>
      <x:c r="F146" s="106" t="str">
        <x:v>Kinh</x:v>
      </x:c>
      <x:c r="G146" s="68" t="str">
        <x:v>Xã Vĩnh Thanh</x:v>
      </x:c>
      <x:c r="H146" s="68" t="str">
        <x:v>THCS Hưng Phú</x:v>
      </x:c>
      <x:c r="I146" s="68" t="str">
        <x:v>Xã Vĩnh Thanh</x:v>
      </x:c>
      <x:c r="J146" s="124" t="n">
        <x:v>34.5</x:v>
      </x:c>
      <x:c r="K146" s="130" t="n">
        <x:v>40</x:v>
      </x:c>
      <x:c r="L146" s="124"/>
      <x:c r="M146" s="124"/>
      <x:c r="N146" s="124" t="n">
        <x:v>74.5</x:v>
      </x:c>
      <x:c r="O146" s="69" t="str"/>
    </x:row>
    <x:row r="147" ht="21" customHeight="1">
      <x:c r="A147" s="100" t="n">
        <x:v>143</x:v>
      </x:c>
      <x:c r="B147" s="172" t="n">
        <x:v>95311005976</x:v>
      </x:c>
      <x:c r="C147" s="68" t="str">
        <x:v>HỒ PHƯƠNG THI</x:v>
      </x:c>
      <x:c r="D147" s="106" t="str">
        <x:v>X</x:v>
      </x:c>
      <x:c r="E147" s="118" t="n">
        <x:v>40784</x:v>
      </x:c>
      <x:c r="F147" s="106" t="str">
        <x:v>Kinh</x:v>
      </x:c>
      <x:c r="G147" s="68" t="str">
        <x:v>Xã Phước Long</x:v>
      </x:c>
      <x:c r="H147" s="68" t="str">
        <x:v>THCS Phước Long</x:v>
      </x:c>
      <x:c r="I147" s="68" t="str">
        <x:v>Xã Phước Long</x:v>
      </x:c>
      <x:c r="J147" s="124" t="n">
        <x:v>34.4</x:v>
      </x:c>
      <x:c r="K147" s="130" t="n">
        <x:v>40</x:v>
      </x:c>
      <x:c r="L147" s="124"/>
      <x:c r="M147" s="124"/>
      <x:c r="N147" s="124" t="n">
        <x:v>74.4</x:v>
      </x:c>
      <x:c r="O147" s="69" t="str"/>
    </x:row>
    <x:row r="148" ht="21" customHeight="1">
      <x:c r="A148" s="100" t="n">
        <x:v>144</x:v>
      </x:c>
      <x:c r="B148" s="172" t="n">
        <x:v>95211009506</x:v>
      </x:c>
      <x:c r="C148" s="68" t="str">
        <x:v>TÔ CHÍ HƯNG</x:v>
      </x:c>
      <x:c r="D148" s="106" t="str"/>
      <x:c r="E148" s="118" t="n">
        <x:v>40554</x:v>
      </x:c>
      <x:c r="F148" s="106" t="str">
        <x:v>Kinh</x:v>
      </x:c>
      <x:c r="G148" s="68" t="str">
        <x:v>Xã Phước Long</x:v>
      </x:c>
      <x:c r="H148" s="68" t="str">
        <x:v>THCS Phước Long</x:v>
      </x:c>
      <x:c r="I148" s="68" t="str">
        <x:v>Xã Phước Long</x:v>
      </x:c>
      <x:c r="J148" s="124" t="n">
        <x:v>34.4</x:v>
      </x:c>
      <x:c r="K148" s="130" t="n">
        <x:v>40</x:v>
      </x:c>
      <x:c r="L148" s="124"/>
      <x:c r="M148" s="124"/>
      <x:c r="N148" s="124" t="n">
        <x:v>74.4</x:v>
      </x:c>
      <x:c r="O148" s="69" t="str"/>
    </x:row>
    <x:row r="149" ht="21" customHeight="1">
      <x:c r="A149" s="100" t="n">
        <x:v>145</x:v>
      </x:c>
      <x:c r="B149" s="172" t="n">
        <x:v>95311008701</x:v>
      </x:c>
      <x:c r="C149" s="68" t="str">
        <x:v>NGUYỄN VÂN ANH</x:v>
      </x:c>
      <x:c r="D149" s="106" t="str">
        <x:v>X</x:v>
      </x:c>
      <x:c r="E149" s="118" t="n">
        <x:v>40840</x:v>
      </x:c>
      <x:c r="F149" s="106" t="str">
        <x:v>Khmer</x:v>
      </x:c>
      <x:c r="G149" s="68" t="str">
        <x:v>Xã Phước Long</x:v>
      </x:c>
      <x:c r="H149" s="68" t="str">
        <x:v>THCS Phước Long</x:v>
      </x:c>
      <x:c r="I149" s="68" t="str">
        <x:v>Xã Phước Long</x:v>
      </x:c>
      <x:c r="J149" s="124" t="n">
        <x:v>34.4</x:v>
      </x:c>
      <x:c r="K149" s="130" t="n">
        <x:v>39</x:v>
      </x:c>
      <x:c r="L149" s="124" t="n">
        <x:v>1</x:v>
      </x:c>
      <x:c r="M149" s="124"/>
      <x:c r="N149" s="124" t="n">
        <x:v>74.4</x:v>
      </x:c>
      <x:c r="O149" s="69" t="str"/>
    </x:row>
    <x:row r="150" ht="21" customHeight="1">
      <x:c r="A150" s="100" t="n">
        <x:v>146</x:v>
      </x:c>
      <x:c r="B150" s="172" t="n">
        <x:v>95211004170</x:v>
      </x:c>
      <x:c r="C150" s="68" t="str">
        <x:v>TRẦN TRỌNG NHÂN</x:v>
      </x:c>
      <x:c r="D150" s="106" t="str"/>
      <x:c r="E150" s="118" t="n">
        <x:v>40734</x:v>
      </x:c>
      <x:c r="F150" s="106" t="str">
        <x:v>Kinh</x:v>
      </x:c>
      <x:c r="G150" s="68" t="str">
        <x:v>Xã Vĩnh Thanh</x:v>
      </x:c>
      <x:c r="H150" s="68" t="str">
        <x:v>THCS Vĩnh Thanh</x:v>
      </x:c>
      <x:c r="I150" s="68" t="str">
        <x:v>Xã Vĩnh Thanh</x:v>
      </x:c>
      <x:c r="J150" s="124" t="n">
        <x:v>34.4</x:v>
      </x:c>
      <x:c r="K150" s="130" t="n">
        <x:v>39</x:v>
      </x:c>
      <x:c r="L150" s="124"/>
      <x:c r="M150" s="124" t="n">
        <x:v>1</x:v>
      </x:c>
      <x:c r="N150" s="124" t="n">
        <x:v>74.4</x:v>
      </x:c>
      <x:c r="O150" s="69" t="str"/>
    </x:row>
    <x:row r="151" ht="21" customHeight="1">
      <x:c r="A151" s="100" t="n">
        <x:v>147</x:v>
      </x:c>
      <x:c r="B151" s="172" t="n">
        <x:v>95211001643</x:v>
      </x:c>
      <x:c r="C151" s="68" t="str">
        <x:v>NGUYỄN HOÀNG ANH TUẦN</x:v>
      </x:c>
      <x:c r="D151" s="106" t="str"/>
      <x:c r="E151" s="118" t="n">
        <x:v>40750</x:v>
      </x:c>
      <x:c r="F151" s="106" t="str">
        <x:v>Kinh</x:v>
      </x:c>
      <x:c r="G151" s="68" t="str">
        <x:v>Xã Phước Long</x:v>
      </x:c>
      <x:c r="H151" s="68" t="str">
        <x:v>THCS Phước Long</x:v>
      </x:c>
      <x:c r="I151" s="68" t="str">
        <x:v>Xã Phước Long</x:v>
      </x:c>
      <x:c r="J151" s="124" t="n">
        <x:v>35.3</x:v>
      </x:c>
      <x:c r="K151" s="130" t="n">
        <x:v>39</x:v>
      </x:c>
      <x:c r="L151" s="124"/>
      <x:c r="M151" s="124"/>
      <x:c r="N151" s="124" t="n">
        <x:v>74.3</x:v>
      </x:c>
      <x:c r="O151" s="69" t="str"/>
    </x:row>
    <x:row r="152" ht="21" customHeight="1">
      <x:c r="A152" s="100" t="n">
        <x:v>148</x:v>
      </x:c>
      <x:c r="B152" s="172" t="n">
        <x:v>95311009120</x:v>
      </x:c>
      <x:c r="C152" s="68" t="str">
        <x:v>DƯƠNG YẾN NHI</x:v>
      </x:c>
      <x:c r="D152" s="106" t="str">
        <x:v>X</x:v>
      </x:c>
      <x:c r="E152" s="118" t="n">
        <x:v>40646</x:v>
      </x:c>
      <x:c r="F152" s="106" t="str">
        <x:v>Kinh</x:v>
      </x:c>
      <x:c r="G152" s="68" t="str">
        <x:v>Xã Hồng Dân</x:v>
      </x:c>
      <x:c r="H152" s="68" t="str">
        <x:v>THCS Nguyễn Du</x:v>
      </x:c>
      <x:c r="I152" s="68" t="str">
        <x:v>Xã Hồng Dân</x:v>
      </x:c>
      <x:c r="J152" s="124" t="n">
        <x:v>34.3</x:v>
      </x:c>
      <x:c r="K152" s="130" t="n">
        <x:v>40</x:v>
      </x:c>
      <x:c r="L152" s="124"/>
      <x:c r="M152" s="124"/>
      <x:c r="N152" s="124" t="n">
        <x:v>74.3</x:v>
      </x:c>
      <x:c r="O152" s="69" t="str"/>
    </x:row>
    <x:row r="153" ht="21" customHeight="1">
      <x:c r="A153" s="100" t="n">
        <x:v>149</x:v>
      </x:c>
      <x:c r="B153" s="172" t="n">
        <x:v>95211003747</x:v>
      </x:c>
      <x:c r="C153" s="68" t="str">
        <x:v>HUỲNH KHÔI NGUYỄN</x:v>
      </x:c>
      <x:c r="D153" s="106" t="str"/>
      <x:c r="E153" s="118" t="n">
        <x:v>40611</x:v>
      </x:c>
      <x:c r="F153" s="106" t="str">
        <x:v>Kinh</x:v>
      </x:c>
      <x:c r="G153" s="68" t="str">
        <x:v>Xã Phước Long</x:v>
      </x:c>
      <x:c r="H153" s="68" t="str">
        <x:v>THCS Phước Long</x:v>
      </x:c>
      <x:c r="I153" s="68" t="str">
        <x:v>Xã Phước Long</x:v>
      </x:c>
      <x:c r="J153" s="124" t="n">
        <x:v>34.2</x:v>
      </x:c>
      <x:c r="K153" s="130" t="n">
        <x:v>40</x:v>
      </x:c>
      <x:c r="L153" s="124"/>
      <x:c r="M153" s="124"/>
      <x:c r="N153" s="124" t="n">
        <x:v>74.2</x:v>
      </x:c>
      <x:c r="O153" s="69" t="str"/>
    </x:row>
    <x:row r="154" ht="21" customHeight="1">
      <x:c r="A154" s="100" t="n">
        <x:v>150</x:v>
      </x:c>
      <x:c r="B154" s="172" t="n">
        <x:v>95311003341</x:v>
      </x:c>
      <x:c r="C154" s="68" t="str">
        <x:v>ĐẶNG THỊ HUYỀN TRÂN</x:v>
      </x:c>
      <x:c r="D154" s="106" t="str">
        <x:v>X</x:v>
      </x:c>
      <x:c r="E154" s="118" t="n">
        <x:v>40652</x:v>
      </x:c>
      <x:c r="F154" s="106" t="str">
        <x:v>Kinh</x:v>
      </x:c>
      <x:c r="G154" s="68" t="str">
        <x:v>Xã Vĩnh Thanh</x:v>
      </x:c>
      <x:c r="H154" s="68" t="str">
        <x:v>THCS Hưng Phú</x:v>
      </x:c>
      <x:c r="I154" s="68" t="str">
        <x:v>Xã Vĩnh Thanh</x:v>
      </x:c>
      <x:c r="J154" s="124" t="n">
        <x:v>35.2</x:v>
      </x:c>
      <x:c r="K154" s="130" t="n">
        <x:v>39</x:v>
      </x:c>
      <x:c r="L154" s="124"/>
      <x:c r="M154" s="124"/>
      <x:c r="N154" s="124" t="n">
        <x:v>74.2</x:v>
      </x:c>
      <x:c r="O154" s="69" t="str"/>
    </x:row>
    <x:row r="155" ht="21" customHeight="1">
      <x:c r="A155" s="100" t="n">
        <x:v>151</x:v>
      </x:c>
      <x:c r="B155" s="172" t="n">
        <x:v>95311007559</x:v>
      </x:c>
      <x:c r="C155" s="68" t="str">
        <x:v>VÕ THỊ NHƯ QUỲNH</x:v>
      </x:c>
      <x:c r="D155" s="106" t="str">
        <x:v>X</x:v>
      </x:c>
      <x:c r="E155" s="118" t="n">
        <x:v>40824</x:v>
      </x:c>
      <x:c r="F155" s="106" t="str">
        <x:v>Kinh</x:v>
      </x:c>
      <x:c r="G155" s="68" t="str">
        <x:v>Xã Vĩnh Thanh</x:v>
      </x:c>
      <x:c r="H155" s="68" t="str">
        <x:v>THCS Hưng Phú</x:v>
      </x:c>
      <x:c r="I155" s="68" t="str">
        <x:v>Xã Vĩnh Thanh</x:v>
      </x:c>
      <x:c r="J155" s="124" t="n">
        <x:v>34.7</x:v>
      </x:c>
      <x:c r="K155" s="130" t="n">
        <x:v>39</x:v>
      </x:c>
      <x:c r="L155" s="124"/>
      <x:c r="M155" s="124" t="n">
        <x:v>0.5</x:v>
      </x:c>
      <x:c r="N155" s="124" t="n">
        <x:v>74.2</x:v>
      </x:c>
      <x:c r="O155" s="69" t="str"/>
    </x:row>
    <x:row r="156" ht="21" customHeight="1">
      <x:c r="A156" s="100" t="n">
        <x:v>152</x:v>
      </x:c>
      <x:c r="B156" s="172" t="n">
        <x:v>95211002953</x:v>
      </x:c>
      <x:c r="C156" s="68" t="str">
        <x:v>TRẦN QUỐC HUY</x:v>
      </x:c>
      <x:c r="D156" s="106" t="str"/>
      <x:c r="E156" s="118" t="n">
        <x:v>40879</x:v>
      </x:c>
      <x:c r="F156" s="106" t="str">
        <x:v>Kinh</x:v>
      </x:c>
      <x:c r="G156" s="68" t="str">
        <x:v>Xã Phước Long</x:v>
      </x:c>
      <x:c r="H156" s="68" t="str">
        <x:v>THCS Vương Hữu Nhơn</x:v>
      </x:c>
      <x:c r="I156" s="68" t="str">
        <x:v>Xã Phước Long</x:v>
      </x:c>
      <x:c r="J156" s="124" t="n">
        <x:v>34.2</x:v>
      </x:c>
      <x:c r="K156" s="130" t="n">
        <x:v>40</x:v>
      </x:c>
      <x:c r="L156" s="124"/>
      <x:c r="M156" s="124"/>
      <x:c r="N156" s="124" t="n">
        <x:v>74.2</x:v>
      </x:c>
      <x:c r="O156" s="69" t="str"/>
    </x:row>
    <x:row r="157" ht="21" customHeight="1">
      <x:c r="A157" s="100" t="n">
        <x:v>153</x:v>
      </x:c>
      <x:c r="B157" s="172" t="n">
        <x:v>95211009587</x:v>
      </x:c>
      <x:c r="C157" s="68" t="str">
        <x:v>NGUYỄN HOÀNG PHÚC</x:v>
      </x:c>
      <x:c r="D157" s="106" t="str"/>
      <x:c r="E157" s="118" t="n">
        <x:v>40701</x:v>
      </x:c>
      <x:c r="F157" s="106" t="str">
        <x:v>Kinh</x:v>
      </x:c>
      <x:c r="G157" s="68" t="str">
        <x:v>Xã Phước Long</x:v>
      </x:c>
      <x:c r="H157" s="68" t="str">
        <x:v>THCS Phước Long</x:v>
      </x:c>
      <x:c r="I157" s="68" t="str">
        <x:v>Xã Phước Long</x:v>
      </x:c>
      <x:c r="J157" s="124" t="n">
        <x:v>34.2</x:v>
      </x:c>
      <x:c r="K157" s="130" t="n">
        <x:v>40</x:v>
      </x:c>
      <x:c r="L157" s="124"/>
      <x:c r="M157" s="124"/>
      <x:c r="N157" s="124" t="n">
        <x:v>74.2</x:v>
      </x:c>
      <x:c r="O157" s="69" t="str"/>
    </x:row>
    <x:row r="158" ht="21" customHeight="1">
      <x:c r="A158" s="100" t="n">
        <x:v>154</x:v>
      </x:c>
      <x:c r="B158" s="172" t="n">
        <x:v>95311002883</x:v>
      </x:c>
      <x:c r="C158" s="68" t="str">
        <x:v>NGUYỄN PHA LÊ</x:v>
      </x:c>
      <x:c r="D158" s="106" t="str">
        <x:v>X</x:v>
      </x:c>
      <x:c r="E158" s="118" t="n">
        <x:v>40610</x:v>
      </x:c>
      <x:c r="F158" s="106" t="str">
        <x:v>Kinh</x:v>
      </x:c>
      <x:c r="G158" s="68" t="str">
        <x:v>Xã Phước Long</x:v>
      </x:c>
      <x:c r="H158" s="68" t="str">
        <x:v>THCS Phước Long</x:v>
      </x:c>
      <x:c r="I158" s="68" t="str">
        <x:v>Xã Phước Long</x:v>
      </x:c>
      <x:c r="J158" s="124" t="n">
        <x:v>35.1</x:v>
      </x:c>
      <x:c r="K158" s="130" t="n">
        <x:v>39</x:v>
      </x:c>
      <x:c r="L158" s="124"/>
      <x:c r="M158" s="124"/>
      <x:c r="N158" s="124" t="n">
        <x:v>74.1</x:v>
      </x:c>
      <x:c r="O158" s="69" t="str"/>
    </x:row>
    <x:row r="159" ht="21" customHeight="1">
      <x:c r="A159" s="100" t="n">
        <x:v>155</x:v>
      </x:c>
      <x:c r="B159" s="172" t="n">
        <x:v>75210007968</x:v>
      </x:c>
      <x:c r="C159" s="68" t="str">
        <x:v>LÊ THANH TRƯỜNG</x:v>
      </x:c>
      <x:c r="D159" s="106" t="str"/>
      <x:c r="E159" s="118" t="n">
        <x:v>40285</x:v>
      </x:c>
      <x:c r="F159" s="106" t="str">
        <x:v>Kinh</x:v>
      </x:c>
      <x:c r="G159" s="68" t="str">
        <x:v>Xã Vĩnh Phước</x:v>
      </x:c>
      <x:c r="H159" s="68" t="str">
        <x:v>THCS Vĩnh Phú Tây</x:v>
      </x:c>
      <x:c r="I159" s="68" t="str">
        <x:v>Xã Vĩnh Phước</x:v>
      </x:c>
      <x:c r="J159" s="124" t="n">
        <x:v>34</x:v>
      </x:c>
      <x:c r="K159" s="130" t="n">
        <x:v>40</x:v>
      </x:c>
      <x:c r="L159" s="124"/>
      <x:c r="M159" s="124"/>
      <x:c r="N159" s="124" t="n">
        <x:v>74</x:v>
      </x:c>
      <x:c r="O159" s="69" t="str"/>
    </x:row>
    <x:row r="160" ht="21" customHeight="1">
      <x:c r="A160" s="100" t="n">
        <x:v>156</x:v>
      </x:c>
      <x:c r="B160" s="172" t="n">
        <x:v>95311008820</x:v>
      </x:c>
      <x:c r="C160" s="68" t="str">
        <x:v>NGUYỄN ANH TRÚC</x:v>
      </x:c>
      <x:c r="D160" s="106" t="str">
        <x:v>X</x:v>
      </x:c>
      <x:c r="E160" s="118" t="n">
        <x:v>40858</x:v>
      </x:c>
      <x:c r="F160" s="106" t="str">
        <x:v>Kinh</x:v>
      </x:c>
      <x:c r="G160" s="68" t="str">
        <x:v>Xã Vĩnh Thanh</x:v>
      </x:c>
      <x:c r="H160" s="68" t="str">
        <x:v>THCS Hưng Phú</x:v>
      </x:c>
      <x:c r="I160" s="68" t="str">
        <x:v>Xã Vĩnh Thanh</x:v>
      </x:c>
      <x:c r="J160" s="124" t="n">
        <x:v>35</x:v>
      </x:c>
      <x:c r="K160" s="130" t="n">
        <x:v>39</x:v>
      </x:c>
      <x:c r="L160" s="124"/>
      <x:c r="M160" s="124"/>
      <x:c r="N160" s="124" t="n">
        <x:v>74</x:v>
      </x:c>
      <x:c r="O160" s="69" t="str"/>
    </x:row>
    <x:row r="161" ht="21" customHeight="1">
      <x:c r="A161" s="100" t="n">
        <x:v>157</x:v>
      </x:c>
      <x:c r="B161" s="172" t="n">
        <x:v>95311009053</x:v>
      </x:c>
      <x:c r="C161" s="68" t="str">
        <x:v>NGUYỄN THỊ KIỀU NY</x:v>
      </x:c>
      <x:c r="D161" s="106" t="str">
        <x:v>X</x:v>
      </x:c>
      <x:c r="E161" s="118" t="n">
        <x:v>40840</x:v>
      </x:c>
      <x:c r="F161" s="106" t="str">
        <x:v>Kinh</x:v>
      </x:c>
      <x:c r="G161" s="68" t="str">
        <x:v>Xã Phước Long</x:v>
      </x:c>
      <x:c r="H161" s="68" t="str">
        <x:v>THCS Vĩnh Thanh</x:v>
      </x:c>
      <x:c r="I161" s="68" t="str">
        <x:v>Xã Vĩnh Thanh</x:v>
      </x:c>
      <x:c r="J161" s="124" t="n">
        <x:v>35</x:v>
      </x:c>
      <x:c r="K161" s="130" t="n">
        <x:v>39</x:v>
      </x:c>
      <x:c r="L161" s="124"/>
      <x:c r="M161" s="124"/>
      <x:c r="N161" s="124" t="n">
        <x:v>74</x:v>
      </x:c>
      <x:c r="O161" s="69" t="str"/>
    </x:row>
    <x:row r="162" ht="21" customHeight="1">
      <x:c r="A162" s="100" t="n">
        <x:v>158</x:v>
      </x:c>
      <x:c r="B162" s="172" t="n">
        <x:v>95311002994</x:v>
      </x:c>
      <x:c r="C162" s="68" t="str">
        <x:v>ĐOÀN NGỌC NGHĨ</x:v>
      </x:c>
      <x:c r="D162" s="106" t="str">
        <x:v>X</x:v>
      </x:c>
      <x:c r="E162" s="118" t="n">
        <x:v>40747</x:v>
      </x:c>
      <x:c r="F162" s="106" t="str">
        <x:v>Kinh</x:v>
      </x:c>
      <x:c r="G162" s="68" t="str">
        <x:v>Xã Phước Long</x:v>
      </x:c>
      <x:c r="H162" s="68" t="str">
        <x:v>THCS Vĩnh Thanh</x:v>
      </x:c>
      <x:c r="I162" s="68" t="str">
        <x:v>Xã Vĩnh Thanh</x:v>
      </x:c>
      <x:c r="J162" s="124" t="n">
        <x:v>34</x:v>
      </x:c>
      <x:c r="K162" s="130" t="n">
        <x:v>40</x:v>
      </x:c>
      <x:c r="L162" s="124"/>
      <x:c r="M162" s="124"/>
      <x:c r="N162" s="124" t="n">
        <x:v>74</x:v>
      </x:c>
      <x:c r="O162" s="69" t="str"/>
    </x:row>
    <x:row r="163" ht="21" customHeight="1">
      <x:c r="A163" s="100" t="n">
        <x:v>159</x:v>
      </x:c>
      <x:c r="B163" s="172" t="n">
        <x:v>95311000358</x:v>
      </x:c>
      <x:c r="C163" s="68" t="str">
        <x:v>PHẠM THỊ NHƯ Ý</x:v>
      </x:c>
      <x:c r="D163" s="106" t="str">
        <x:v>X</x:v>
      </x:c>
      <x:c r="E163" s="118" t="n">
        <x:v>40705</x:v>
      </x:c>
      <x:c r="F163" s="106" t="str">
        <x:v>Kinh</x:v>
      </x:c>
      <x:c r="G163" s="68" t="str">
        <x:v>Xã Hồng Dân</x:v>
      </x:c>
      <x:c r="H163" s="68" t="str">
        <x:v>THCS Trương Vĩnh Ký</x:v>
      </x:c>
      <x:c r="I163" s="68" t="str">
        <x:v>Xã Hồng Dân</x:v>
      </x:c>
      <x:c r="J163" s="124" t="n">
        <x:v>34</x:v>
      </x:c>
      <x:c r="K163" s="130" t="n">
        <x:v>40</x:v>
      </x:c>
      <x:c r="L163" s="124"/>
      <x:c r="M163" s="124"/>
      <x:c r="N163" s="124" t="n">
        <x:v>74</x:v>
      </x:c>
      <x:c r="O163" s="69" t="str"/>
    </x:row>
    <x:row r="164" ht="21" customHeight="1">
      <x:c r="A164" s="100" t="n">
        <x:v>160</x:v>
      </x:c>
      <x:c r="B164" s="172" t="n">
        <x:v>95311009684</x:v>
      </x:c>
      <x:c r="C164" s="68" t="str">
        <x:v>TRƯƠNG THỊ MỸ LÝ</x:v>
      </x:c>
      <x:c r="D164" s="106" t="str">
        <x:v>X</x:v>
      </x:c>
      <x:c r="E164" s="118" t="n">
        <x:v>40875</x:v>
      </x:c>
      <x:c r="F164" s="106" t="str">
        <x:v>Kinh</x:v>
      </x:c>
      <x:c r="G164" s="68" t="str">
        <x:v>Xã Phước Long</x:v>
      </x:c>
      <x:c r="H164" s="68" t="str">
        <x:v>THCS Trương Vĩnh Ký</x:v>
      </x:c>
      <x:c r="I164" s="68" t="str">
        <x:v>Xã Hồng Dân</x:v>
      </x:c>
      <x:c r="J164" s="124" t="n">
        <x:v>34</x:v>
      </x:c>
      <x:c r="K164" s="130" t="n">
        <x:v>40</x:v>
      </x:c>
      <x:c r="L164" s="124"/>
      <x:c r="M164" s="124"/>
      <x:c r="N164" s="124" t="n">
        <x:v>74</x:v>
      </x:c>
      <x:c r="O164" s="69" t="str"/>
    </x:row>
    <x:row r="165" ht="21" customHeight="1">
      <x:c r="A165" s="100" t="n">
        <x:v>161</x:v>
      </x:c>
      <x:c r="B165" s="172" t="n">
        <x:v>95211008150</x:v>
      </x:c>
      <x:c r="C165" s="68" t="str">
        <x:v>TRIỆU TÙNG LÂM</x:v>
      </x:c>
      <x:c r="D165" s="106" t="str"/>
      <x:c r="E165" s="118" t="n">
        <x:v>40706</x:v>
      </x:c>
      <x:c r="F165" s="106" t="str">
        <x:v>Kinh</x:v>
      </x:c>
      <x:c r="G165" s="68" t="str">
        <x:v>Xã Phước Long</x:v>
      </x:c>
      <x:c r="H165" s="68" t="str">
        <x:v>THCS Phước Long</x:v>
      </x:c>
      <x:c r="I165" s="68" t="str">
        <x:v>Xã Phước Long</x:v>
      </x:c>
      <x:c r="J165" s="124" t="n">
        <x:v>34.9</x:v>
      </x:c>
      <x:c r="K165" s="130" t="n">
        <x:v>39</x:v>
      </x:c>
      <x:c r="L165" s="124"/>
      <x:c r="M165" s="124"/>
      <x:c r="N165" s="124" t="n">
        <x:v>73.9</x:v>
      </x:c>
      <x:c r="O165" s="69" t="str"/>
    </x:row>
    <x:row r="166" ht="21" customHeight="1">
      <x:c r="A166" s="100" t="n">
        <x:v>162</x:v>
      </x:c>
      <x:c r="B166" s="172" t="n">
        <x:v>95311001854</x:v>
      </x:c>
      <x:c r="C166" s="68" t="str">
        <x:v>TRƯƠNG PHƯỚC ANH THƯ</x:v>
      </x:c>
      <x:c r="D166" s="106" t="str">
        <x:v>X</x:v>
      </x:c>
      <x:c r="E166" s="118" t="n">
        <x:v>40771</x:v>
      </x:c>
      <x:c r="F166" s="106" t="str">
        <x:v>Kinh</x:v>
      </x:c>
      <x:c r="G166" s="68" t="str">
        <x:v>Xã Vĩnh Thanh</x:v>
      </x:c>
      <x:c r="H166" s="68" t="str">
        <x:v>THCS Vĩnh Thanh</x:v>
      </x:c>
      <x:c r="I166" s="68" t="str">
        <x:v>Xã Vĩnh Thanh</x:v>
      </x:c>
      <x:c r="J166" s="124" t="n">
        <x:v>34.9</x:v>
      </x:c>
      <x:c r="K166" s="130" t="n">
        <x:v>39</x:v>
      </x:c>
      <x:c r="L166" s="124"/>
      <x:c r="M166" s="124"/>
      <x:c r="N166" s="124" t="n">
        <x:v>73.9</x:v>
      </x:c>
      <x:c r="O166" s="69" t="str"/>
    </x:row>
    <x:row r="167" ht="21" customHeight="1">
      <x:c r="A167" s="100" t="n">
        <x:v>163</x:v>
      </x:c>
      <x:c r="B167" s="172" t="n">
        <x:v>95311006287</x:v>
      </x:c>
      <x:c r="C167" s="68" t="str">
        <x:v>LÝ THUYỀN KIM</x:v>
      </x:c>
      <x:c r="D167" s="106" t="str">
        <x:v>X</x:v>
      </x:c>
      <x:c r="E167" s="118" t="n">
        <x:v>40672</x:v>
      </x:c>
      <x:c r="F167" s="106" t="str">
        <x:v>Kinh</x:v>
      </x:c>
      <x:c r="G167" s="68" t="str">
        <x:v>Xã Phước Long</x:v>
      </x:c>
      <x:c r="H167" s="68" t="str">
        <x:v>THCS Vương Hữu Nhơn</x:v>
      </x:c>
      <x:c r="I167" s="68" t="str">
        <x:v>Xã Phước Long</x:v>
      </x:c>
      <x:c r="J167" s="124" t="n">
        <x:v>33.9</x:v>
      </x:c>
      <x:c r="K167" s="130" t="n">
        <x:v>40</x:v>
      </x:c>
      <x:c r="L167" s="124"/>
      <x:c r="M167" s="124"/>
      <x:c r="N167" s="124" t="n">
        <x:v>73.9</x:v>
      </x:c>
      <x:c r="O167" s="69" t="str"/>
    </x:row>
    <x:row r="168" ht="21" customHeight="1">
      <x:c r="A168" s="100" t="n">
        <x:v>164</x:v>
      </x:c>
      <x:c r="B168" s="172" t="n">
        <x:v>95311002680</x:v>
      </x:c>
      <x:c r="C168" s="68" t="str">
        <x:v>NGUYỄN THỊ THẢO NGUYỄN</x:v>
      </x:c>
      <x:c r="D168" s="106" t="str">
        <x:v>X</x:v>
      </x:c>
      <x:c r="E168" s="118" t="n">
        <x:v>40635</x:v>
      </x:c>
      <x:c r="F168" s="106" t="str">
        <x:v>Kinh</x:v>
      </x:c>
      <x:c r="G168" s="68" t="str">
        <x:v>Xã Vĩnh Thanh</x:v>
      </x:c>
      <x:c r="H168" s="68" t="str">
        <x:v>THCS Phước Long</x:v>
      </x:c>
      <x:c r="I168" s="68" t="str">
        <x:v>Xã Phước Long</x:v>
      </x:c>
      <x:c r="J168" s="124" t="n">
        <x:v>34.8</x:v>
      </x:c>
      <x:c r="K168" s="130" t="n">
        <x:v>39</x:v>
      </x:c>
      <x:c r="L168" s="124"/>
      <x:c r="M168" s="124"/>
      <x:c r="N168" s="124" t="n">
        <x:v>73.8</x:v>
      </x:c>
      <x:c r="O168" s="69" t="str"/>
    </x:row>
    <x:row r="169" ht="21" customHeight="1">
      <x:c r="A169" s="100" t="n">
        <x:v>165</x:v>
      </x:c>
      <x:c r="B169" s="172" t="n">
        <x:v>95311006739</x:v>
      </x:c>
      <x:c r="C169" s="68" t="str">
        <x:v>MÃ KHÁNH LINH</x:v>
      </x:c>
      <x:c r="D169" s="106" t="str">
        <x:v>X</x:v>
      </x:c>
      <x:c r="E169" s="118" t="n">
        <x:v>40685</x:v>
      </x:c>
      <x:c r="F169" s="106" t="str">
        <x:v>Kinh</x:v>
      </x:c>
      <x:c r="G169" s="68" t="str">
        <x:v>Xã Ninh Thạnh Lợi</x:v>
      </x:c>
      <x:c r="H169" s="68" t="str">
        <x:v>THCS Phước Long</x:v>
      </x:c>
      <x:c r="I169" s="68" t="str">
        <x:v>Xã Phước Long</x:v>
      </x:c>
      <x:c r="J169" s="124" t="n">
        <x:v>33.8</x:v>
      </x:c>
      <x:c r="K169" s="130" t="n">
        <x:v>39</x:v>
      </x:c>
      <x:c r="L169" s="124" t="n">
        <x:v>1</x:v>
      </x:c>
      <x:c r="M169" s="124"/>
      <x:c r="N169" s="124" t="n">
        <x:v>73.8</x:v>
      </x:c>
      <x:c r="O169" s="69" t="str"/>
    </x:row>
    <x:row r="170" ht="21" customHeight="1">
      <x:c r="A170" s="100" t="n">
        <x:v>166</x:v>
      </x:c>
      <x:c r="B170" s="172" t="n">
        <x:v>95211004259</x:v>
      </x:c>
      <x:c r="C170" s="68" t="str">
        <x:v>PHƯƠNG TIÊN PHÁT</x:v>
      </x:c>
      <x:c r="D170" s="106" t="str"/>
      <x:c r="E170" s="118" t="n">
        <x:v>40673</x:v>
      </x:c>
      <x:c r="F170" s="106" t="str">
        <x:v>Kinh</x:v>
      </x:c>
      <x:c r="G170" s="68" t="str">
        <x:v>Xã Phước Long</x:v>
      </x:c>
      <x:c r="H170" s="68" t="str">
        <x:v>THCS Phước Long</x:v>
      </x:c>
      <x:c r="I170" s="68" t="str">
        <x:v>Xã Phước Long</x:v>
      </x:c>
      <x:c r="J170" s="124" t="n">
        <x:v>34.8</x:v>
      </x:c>
      <x:c r="K170" s="130" t="n">
        <x:v>39</x:v>
      </x:c>
      <x:c r="L170" s="124"/>
      <x:c r="M170" s="124"/>
      <x:c r="N170" s="124" t="n">
        <x:v>73.8</x:v>
      </x:c>
      <x:c r="O170" s="69" t="str"/>
    </x:row>
    <x:row r="171" ht="21" customHeight="1">
      <x:c r="A171" s="100" t="n">
        <x:v>167</x:v>
      </x:c>
      <x:c r="B171" s="172" t="n">
        <x:v>95211001823</x:v>
      </x:c>
      <x:c r="C171" s="68" t="str">
        <x:v>DƯƠNG VĂN CHÍ NGUYÊN</x:v>
      </x:c>
      <x:c r="D171" s="106" t="str"/>
      <x:c r="E171" s="118" t="n">
        <x:v>40845</x:v>
      </x:c>
      <x:c r="F171" s="106" t="str">
        <x:v>Kinh</x:v>
      </x:c>
      <x:c r="G171" s="68" t="str">
        <x:v>Xã Vĩnh Thanh</x:v>
      </x:c>
      <x:c r="H171" s="68" t="str">
        <x:v>THCS Hưng Phú</x:v>
      </x:c>
      <x:c r="I171" s="68" t="str">
        <x:v>Xã Vĩnh Thanh</x:v>
      </x:c>
      <x:c r="J171" s="124" t="n">
        <x:v>33.8</x:v>
      </x:c>
      <x:c r="K171" s="130" t="n">
        <x:v>40</x:v>
      </x:c>
      <x:c r="L171" s="124"/>
      <x:c r="M171" s="124"/>
      <x:c r="N171" s="124" t="n">
        <x:v>73.8</x:v>
      </x:c>
      <x:c r="O171" s="69" t="str"/>
    </x:row>
    <x:row r="172" ht="21" customHeight="1">
      <x:c r="A172" s="100" t="n">
        <x:v>168</x:v>
      </x:c>
      <x:c r="B172" s="172" t="n">
        <x:v>95311008625</x:v>
      </x:c>
      <x:c r="C172" s="68" t="str">
        <x:v>DANH THỊ THẢO LINH</x:v>
      </x:c>
      <x:c r="D172" s="106" t="str">
        <x:v>X</x:v>
      </x:c>
      <x:c r="E172" s="118" t="n">
        <x:v>40546</x:v>
      </x:c>
      <x:c r="F172" s="106" t="str">
        <x:v>Khmer</x:v>
      </x:c>
      <x:c r="G172" s="68" t="str">
        <x:v>Xã Vĩnh Phước</x:v>
      </x:c>
      <x:c r="H172" s="68" t="str">
        <x:v>THCS Vĩnh Thanh</x:v>
      </x:c>
      <x:c r="I172" s="68" t="str">
        <x:v>Xã Vĩnh Thanh</x:v>
      </x:c>
      <x:c r="J172" s="124" t="n">
        <x:v>33.8</x:v>
      </x:c>
      <x:c r="K172" s="130" t="n">
        <x:v>39</x:v>
      </x:c>
      <x:c r="L172" s="124" t="n">
        <x:v>1</x:v>
      </x:c>
      <x:c r="M172" s="124"/>
      <x:c r="N172" s="124" t="n">
        <x:v>73.8</x:v>
      </x:c>
      <x:c r="O172" s="69" t="str"/>
    </x:row>
    <x:row r="173" ht="21" customHeight="1">
      <x:c r="A173" s="100" t="n">
        <x:v>169</x:v>
      </x:c>
      <x:c r="B173" s="172" t="n">
        <x:v>95311001383</x:v>
      </x:c>
      <x:c r="C173" s="68" t="str">
        <x:v>QUÁCH QUỲNH HƯƠNG</x:v>
      </x:c>
      <x:c r="D173" s="106" t="str">
        <x:v>X</x:v>
      </x:c>
      <x:c r="E173" s="118" t="n">
        <x:v>40548</x:v>
      </x:c>
      <x:c r="F173" s="106" t="str">
        <x:v>Kinh</x:v>
      </x:c>
      <x:c r="G173" s="68" t="str">
        <x:v>Xã Phước Long</x:v>
      </x:c>
      <x:c r="H173" s="68" t="str">
        <x:v>THCS Vĩnh Thanh</x:v>
      </x:c>
      <x:c r="I173" s="68" t="str">
        <x:v>Xã Vĩnh Thanh</x:v>
      </x:c>
      <x:c r="J173" s="124" t="n">
        <x:v>34.8</x:v>
      </x:c>
      <x:c r="K173" s="130" t="n">
        <x:v>39</x:v>
      </x:c>
      <x:c r="L173" s="124"/>
      <x:c r="M173" s="124"/>
      <x:c r="N173" s="124" t="n">
        <x:v>73.8</x:v>
      </x:c>
      <x:c r="O173" s="69" t="str"/>
    </x:row>
    <x:row r="174" ht="21" customHeight="1">
      <x:c r="A174" s="100" t="n">
        <x:v>170</x:v>
      </x:c>
      <x:c r="B174" s="172" t="n">
        <x:v>95311000403</x:v>
      </x:c>
      <x:c r="C174" s="68" t="str">
        <x:v>NGUYỄN NHƯ HUỲNH</x:v>
      </x:c>
      <x:c r="D174" s="106" t="str">
        <x:v>X</x:v>
      </x:c>
      <x:c r="E174" s="118" t="n">
        <x:v>40859</x:v>
      </x:c>
      <x:c r="F174" s="106" t="str">
        <x:v>Kinh</x:v>
      </x:c>
      <x:c r="G174" s="68" t="str">
        <x:v>Xã Hồng Dân</x:v>
      </x:c>
      <x:c r="H174" s="68" t="str">
        <x:v>THCS Trương Vĩnh Ký</x:v>
      </x:c>
      <x:c r="I174" s="68" t="str">
        <x:v>Xã Hồng Dân</x:v>
      </x:c>
      <x:c r="J174" s="124" t="n">
        <x:v>33.8</x:v>
      </x:c>
      <x:c r="K174" s="130" t="n">
        <x:v>40</x:v>
      </x:c>
      <x:c r="L174" s="124"/>
      <x:c r="M174" s="124"/>
      <x:c r="N174" s="124" t="n">
        <x:v>73.8</x:v>
      </x:c>
      <x:c r="O174" s="69" t="str"/>
    </x:row>
    <x:row r="175" ht="21" customHeight="1">
      <x:c r="A175" s="100" t="n">
        <x:v>171</x:v>
      </x:c>
      <x:c r="B175" s="172" t="n">
        <x:v>95211005510</x:v>
      </x:c>
      <x:c r="C175" s="68" t="str">
        <x:v>HUỲNH VĂN NỮA</x:v>
      </x:c>
      <x:c r="D175" s="106" t="str"/>
      <x:c r="E175" s="118" t="n">
        <x:v>40638</x:v>
      </x:c>
      <x:c r="F175" s="106" t="str">
        <x:v>Kinh</x:v>
      </x:c>
      <x:c r="G175" s="68" t="str">
        <x:v>Xã Phước Long</x:v>
      </x:c>
      <x:c r="H175" s="68" t="str">
        <x:v>THCS Vương Hữu Nhơn</x:v>
      </x:c>
      <x:c r="I175" s="68" t="str">
        <x:v>Xã Phước Long</x:v>
      </x:c>
      <x:c r="J175" s="124" t="n">
        <x:v>33.8</x:v>
      </x:c>
      <x:c r="K175" s="130" t="n">
        <x:v>40</x:v>
      </x:c>
      <x:c r="L175" s="124"/>
      <x:c r="M175" s="124"/>
      <x:c r="N175" s="124" t="n">
        <x:v>73.8</x:v>
      </x:c>
      <x:c r="O175" s="69" t="str"/>
    </x:row>
    <x:row r="176" ht="21" customHeight="1">
      <x:c r="A176" s="100" t="n">
        <x:v>172</x:v>
      </x:c>
      <x:c r="B176" s="172" t="n">
        <x:v>95211001080</x:v>
      </x:c>
      <x:c r="C176" s="68" t="str">
        <x:v>TRƯƠNG TẤN KHÁ</x:v>
      </x:c>
      <x:c r="D176" s="106" t="str"/>
      <x:c r="E176" s="118" t="n">
        <x:v>40574</x:v>
      </x:c>
      <x:c r="F176" s="106" t="str">
        <x:v>Kinh</x:v>
      </x:c>
      <x:c r="G176" s="68" t="str">
        <x:v>Xã Phước Long</x:v>
      </x:c>
      <x:c r="H176" s="68" t="str">
        <x:v>THCS Vương Hữu Nhơn</x:v>
      </x:c>
      <x:c r="I176" s="68" t="str">
        <x:v>Xã Phước Long</x:v>
      </x:c>
      <x:c r="J176" s="124" t="n">
        <x:v>33.8</x:v>
      </x:c>
      <x:c r="K176" s="130" t="n">
        <x:v>40</x:v>
      </x:c>
      <x:c r="L176" s="124"/>
      <x:c r="M176" s="124"/>
      <x:c r="N176" s="124" t="n">
        <x:v>73.8</x:v>
      </x:c>
      <x:c r="O176" s="69" t="str"/>
    </x:row>
    <x:row r="177" ht="21" customHeight="1">
      <x:c r="A177" s="100" t="n">
        <x:v>173</x:v>
      </x:c>
      <x:c r="B177" s="172" t="n">
        <x:v>95211001552</x:v>
      </x:c>
      <x:c r="C177" s="68" t="str">
        <x:v>PHẠM ĐÌNH PHÚC</x:v>
      </x:c>
      <x:c r="D177" s="106" t="str"/>
      <x:c r="E177" s="118" t="n">
        <x:v>40627</x:v>
      </x:c>
      <x:c r="F177" s="106" t="str">
        <x:v>Kinh</x:v>
      </x:c>
      <x:c r="G177" s="68" t="str">
        <x:v>Xã Phước Long</x:v>
      </x:c>
      <x:c r="H177" s="68" t="str">
        <x:v>THCS Phước Long</x:v>
      </x:c>
      <x:c r="I177" s="68" t="str">
        <x:v>Xã Phước Long</x:v>
      </x:c>
      <x:c r="J177" s="124" t="n">
        <x:v>34.7</x:v>
      </x:c>
      <x:c r="K177" s="130" t="n">
        <x:v>39</x:v>
      </x:c>
      <x:c r="L177" s="124"/>
      <x:c r="M177" s="124"/>
      <x:c r="N177" s="124" t="n">
        <x:v>73.7</x:v>
      </x:c>
      <x:c r="O177" s="69" t="str"/>
    </x:row>
    <x:row r="178" ht="21" customHeight="1">
      <x:c r="A178" s="100" t="n">
        <x:v>174</x:v>
      </x:c>
      <x:c r="B178" s="172" t="n">
        <x:v>95211005483</x:v>
      </x:c>
      <x:c r="C178" s="68" t="str">
        <x:v>LÊ HIẾU KỲ</x:v>
      </x:c>
      <x:c r="D178" s="106" t="str"/>
      <x:c r="E178" s="118" t="n">
        <x:v>40695</x:v>
      </x:c>
      <x:c r="F178" s="106" t="str">
        <x:v>Kinh</x:v>
      </x:c>
      <x:c r="G178" s="68" t="str">
        <x:v>Xã Vĩnh Thanh</x:v>
      </x:c>
      <x:c r="H178" s="68" t="str">
        <x:v>THCS Hưng Phú</x:v>
      </x:c>
      <x:c r="I178" s="68" t="str">
        <x:v>Xã Vĩnh Thanh</x:v>
      </x:c>
      <x:c r="J178" s="124" t="n">
        <x:v>34.7</x:v>
      </x:c>
      <x:c r="K178" s="130" t="n">
        <x:v>39</x:v>
      </x:c>
      <x:c r="L178" s="124"/>
      <x:c r="M178" s="124"/>
      <x:c r="N178" s="124" t="n">
        <x:v>73.7</x:v>
      </x:c>
      <x:c r="O178" s="69" t="str"/>
    </x:row>
    <x:row r="179" ht="21" customHeight="1">
      <x:c r="A179" s="100" t="n">
        <x:v>175</x:v>
      </x:c>
      <x:c r="B179" s="172" t="n">
        <x:v>95311007926</x:v>
      </x:c>
      <x:c r="C179" s="68" t="str">
        <x:v>CHÂU NHÃ THƯ</x:v>
      </x:c>
      <x:c r="D179" s="106" t="str">
        <x:v>X</x:v>
      </x:c>
      <x:c r="E179" s="118" t="n">
        <x:v>40878</x:v>
      </x:c>
      <x:c r="F179" s="106" t="str">
        <x:v>Kinh</x:v>
      </x:c>
      <x:c r="G179" s="68" t="str">
        <x:v>Xã Vĩnh Phước</x:v>
      </x:c>
      <x:c r="H179" s="68" t="str">
        <x:v>THCS Vĩnh Phú Tây</x:v>
      </x:c>
      <x:c r="I179" s="68" t="str">
        <x:v>Xã Vĩnh Phước</x:v>
      </x:c>
      <x:c r="J179" s="124" t="n">
        <x:v>34.5</x:v>
      </x:c>
      <x:c r="K179" s="130" t="n">
        <x:v>39</x:v>
      </x:c>
      <x:c r="L179" s="124"/>
      <x:c r="M179" s="124"/>
      <x:c r="N179" s="124" t="n">
        <x:v>73.5</x:v>
      </x:c>
      <x:c r="O179" s="69" t="str"/>
    </x:row>
    <x:row r="180" ht="21" customHeight="1">
      <x:c r="A180" s="100" t="n">
        <x:v>176</x:v>
      </x:c>
      <x:c r="B180" s="172" t="n">
        <x:v>95211002114</x:v>
      </x:c>
      <x:c r="C180" s="68" t="str">
        <x:v>TRẦN TRUNG HIẾU</x:v>
      </x:c>
      <x:c r="D180" s="106" t="str"/>
      <x:c r="E180" s="118" t="n">
        <x:v>40566</x:v>
      </x:c>
      <x:c r="F180" s="106" t="str">
        <x:v>Khmer</x:v>
      </x:c>
      <x:c r="G180" s="68" t="str">
        <x:v>Xã Vĩnh Phước</x:v>
      </x:c>
      <x:c r="H180" s="68" t="str">
        <x:v>THCS Vĩnh Thanh</x:v>
      </x:c>
      <x:c r="I180" s="68" t="str">
        <x:v>Xã Vĩnh Thanh</x:v>
      </x:c>
      <x:c r="J180" s="124" t="n">
        <x:v>33.5</x:v>
      </x:c>
      <x:c r="K180" s="130" t="n">
        <x:v>39</x:v>
      </x:c>
      <x:c r="L180" s="124" t="n">
        <x:v>1</x:v>
      </x:c>
      <x:c r="M180" s="124"/>
      <x:c r="N180" s="124" t="n">
        <x:v>73.5</x:v>
      </x:c>
      <x:c r="O180" s="69" t="str"/>
    </x:row>
    <x:row r="181" ht="21" customHeight="1">
      <x:c r="A181" s="100" t="n">
        <x:v>177</x:v>
      </x:c>
      <x:c r="B181" s="172" t="n">
        <x:v>95311005453</x:v>
      </x:c>
      <x:c r="C181" s="68" t="str">
        <x:v>LÂM NGỌC NHƯ Ý</x:v>
      </x:c>
      <x:c r="D181" s="106" t="str">
        <x:v>X</x:v>
      </x:c>
      <x:c r="E181" s="118" t="n">
        <x:v>40670</x:v>
      </x:c>
      <x:c r="F181" s="106" t="str">
        <x:v>Kinh</x:v>
      </x:c>
      <x:c r="G181" s="68" t="str">
        <x:v>Xã Phước Long</x:v>
      </x:c>
      <x:c r="H181" s="68" t="str">
        <x:v>THCS Vương Hữu Nhơn</x:v>
      </x:c>
      <x:c r="I181" s="68" t="str">
        <x:v>Xã Phước Long</x:v>
      </x:c>
      <x:c r="J181" s="124" t="n">
        <x:v>34.5</x:v>
      </x:c>
      <x:c r="K181" s="130" t="n">
        <x:v>39</x:v>
      </x:c>
      <x:c r="L181" s="124"/>
      <x:c r="M181" s="124"/>
      <x:c r="N181" s="124" t="n">
        <x:v>73.5</x:v>
      </x:c>
      <x:c r="O181" s="69" t="str"/>
    </x:row>
    <x:row r="182" ht="21" customHeight="1">
      <x:c r="A182" s="100" t="n">
        <x:v>178</x:v>
      </x:c>
      <x:c r="B182" s="172" t="n">
        <x:v>95311003123</x:v>
      </x:c>
      <x:c r="C182" s="68" t="str">
        <x:v>NGUYỄN HÀ BẢO HÂN</x:v>
      </x:c>
      <x:c r="D182" s="106" t="str">
        <x:v>X</x:v>
      </x:c>
      <x:c r="E182" s="118" t="n">
        <x:v>40812</x:v>
      </x:c>
      <x:c r="F182" s="106" t="str">
        <x:v>Kinh</x:v>
      </x:c>
      <x:c r="G182" s="68" t="str">
        <x:v>Xã Phước Long</x:v>
      </x:c>
      <x:c r="H182" s="68" t="str">
        <x:v>THCS Phước Long</x:v>
      </x:c>
      <x:c r="I182" s="68" t="str">
        <x:v>Xã Phước Long</x:v>
      </x:c>
      <x:c r="J182" s="124" t="n">
        <x:v>34.4</x:v>
      </x:c>
      <x:c r="K182" s="130" t="n">
        <x:v>39</x:v>
      </x:c>
      <x:c r="L182" s="124"/>
      <x:c r="M182" s="124"/>
      <x:c r="N182" s="124" t="n">
        <x:v>73.4</x:v>
      </x:c>
      <x:c r="O182" s="69" t="str"/>
    </x:row>
    <x:row r="183" ht="21" customHeight="1">
      <x:c r="A183" s="100" t="n">
        <x:v>179</x:v>
      </x:c>
      <x:c r="B183" s="172" t="n">
        <x:v>95311001641</x:v>
      </x:c>
      <x:c r="C183" s="68" t="str">
        <x:v>TRẦN THỊ ANH THỊ</x:v>
      </x:c>
      <x:c r="D183" s="106" t="str">
        <x:v>X</x:v>
      </x:c>
      <x:c r="E183" s="118" t="n">
        <x:v>40639</x:v>
      </x:c>
      <x:c r="F183" s="106" t="str">
        <x:v>Kinh</x:v>
      </x:c>
      <x:c r="G183" s="68" t="str">
        <x:v>Xã Vĩnh Thanh</x:v>
      </x:c>
      <x:c r="H183" s="68" t="str">
        <x:v>THCS Hưng Phú</x:v>
      </x:c>
      <x:c r="I183" s="68" t="str">
        <x:v>Xã Vĩnh Thanh</x:v>
      </x:c>
      <x:c r="J183" s="124" t="n">
        <x:v>34.4</x:v>
      </x:c>
      <x:c r="K183" s="130" t="n">
        <x:v>39</x:v>
      </x:c>
      <x:c r="L183" s="124"/>
      <x:c r="M183" s="124"/>
      <x:c r="N183" s="124" t="n">
        <x:v>73.4</x:v>
      </x:c>
      <x:c r="O183" s="69" t="str"/>
    </x:row>
    <x:row r="184" ht="21" customHeight="1">
      <x:c r="A184" s="100" t="n">
        <x:v>180</x:v>
      </x:c>
      <x:c r="B184" s="172" t="n">
        <x:v>95311005277</x:v>
      </x:c>
      <x:c r="C184" s="68" t="str">
        <x:v>TRƯƠNG THỊ THẢO NGUYỄN</x:v>
      </x:c>
      <x:c r="D184" s="106" t="str">
        <x:v>X</x:v>
      </x:c>
      <x:c r="E184" s="118" t="n">
        <x:v>40811</x:v>
      </x:c>
      <x:c r="F184" s="106" t="str">
        <x:v>Kinh</x:v>
      </x:c>
      <x:c r="G184" s="68" t="str">
        <x:v>Xã Phước Long</x:v>
      </x:c>
      <x:c r="H184" s="68" t="str">
        <x:v>THCS Vương Hữu Nhơn</x:v>
      </x:c>
      <x:c r="I184" s="68" t="str">
        <x:v>Xã Phước Long</x:v>
      </x:c>
      <x:c r="J184" s="124" t="n">
        <x:v>34.4</x:v>
      </x:c>
      <x:c r="K184" s="130" t="n">
        <x:v>39</x:v>
      </x:c>
      <x:c r="L184" s="124"/>
      <x:c r="M184" s="124"/>
      <x:c r="N184" s="124" t="n">
        <x:v>73.4</x:v>
      </x:c>
      <x:c r="O184" s="69" t="str"/>
    </x:row>
    <x:row r="185" ht="21" customHeight="1">
      <x:c r="A185" s="100" t="n">
        <x:v>181</x:v>
      </x:c>
      <x:c r="B185" s="172" t="n">
        <x:v>95311006025</x:v>
      </x:c>
      <x:c r="C185" s="68" t="str">
        <x:v>VÕ NGỌC HÂN</x:v>
      </x:c>
      <x:c r="D185" s="106" t="str">
        <x:v>X</x:v>
      </x:c>
      <x:c r="E185" s="118" t="n">
        <x:v>40778</x:v>
      </x:c>
      <x:c r="F185" s="106" t="str">
        <x:v>Kinh</x:v>
      </x:c>
      <x:c r="G185" s="68" t="str">
        <x:v>Xã Vĩnh Phước</x:v>
      </x:c>
      <x:c r="H185" s="68" t="str">
        <x:v>THCS Phước Long</x:v>
      </x:c>
      <x:c r="I185" s="68" t="str">
        <x:v>Xã Phước Long</x:v>
      </x:c>
      <x:c r="J185" s="124" t="n">
        <x:v>34.4</x:v>
      </x:c>
      <x:c r="K185" s="130" t="n">
        <x:v>39</x:v>
      </x:c>
      <x:c r="L185" s="124"/>
      <x:c r="M185" s="124"/>
      <x:c r="N185" s="124" t="n">
        <x:v>73.4</x:v>
      </x:c>
      <x:c r="O185" s="69" t="str"/>
    </x:row>
    <x:row r="186" ht="21" customHeight="1">
      <x:c r="A186" s="100" t="n">
        <x:v>182</x:v>
      </x:c>
      <x:c r="B186" s="172" t="n">
        <x:v>95211002329</x:v>
      </x:c>
      <x:c r="C186" s="68" t="str">
        <x:v>TRẦN QUỐC ĐẠO</x:v>
      </x:c>
      <x:c r="D186" s="106" t="str"/>
      <x:c r="E186" s="118" t="n">
        <x:v>40818</x:v>
      </x:c>
      <x:c r="F186" s="106" t="str">
        <x:v>Kinh</x:v>
      </x:c>
      <x:c r="G186" s="68" t="str">
        <x:v>Xã Vĩnh Thanh</x:v>
      </x:c>
      <x:c r="H186" s="68" t="str">
        <x:v>THCS Hưng Phú</x:v>
      </x:c>
      <x:c r="I186" s="68" t="str">
        <x:v>Xã Vĩnh Thanh</x:v>
      </x:c>
      <x:c r="J186" s="124" t="n">
        <x:v>34.3</x:v>
      </x:c>
      <x:c r="K186" s="130" t="n">
        <x:v>39</x:v>
      </x:c>
      <x:c r="L186" s="124"/>
      <x:c r="M186" s="124"/>
      <x:c r="N186" s="124" t="n">
        <x:v>73.3</x:v>
      </x:c>
      <x:c r="O186" s="69" t="str"/>
    </x:row>
    <x:row r="187" ht="21" customHeight="1">
      <x:c r="A187" s="100" t="n">
        <x:v>183</x:v>
      </x:c>
      <x:c r="B187" s="172" t="n">
        <x:v>95311004358</x:v>
      </x:c>
      <x:c r="C187" s="68" t="str">
        <x:v>TRƯƠNG THỊ NHƯ Ý</x:v>
      </x:c>
      <x:c r="D187" s="106" t="str">
        <x:v>X</x:v>
      </x:c>
      <x:c r="E187" s="118" t="n">
        <x:v>40652</x:v>
      </x:c>
      <x:c r="F187" s="106" t="str">
        <x:v>Kinh</x:v>
      </x:c>
      <x:c r="G187" s="68" t="str">
        <x:v>Xã Phước Long</x:v>
      </x:c>
      <x:c r="H187" s="68" t="str">
        <x:v>THCS Phước Long</x:v>
      </x:c>
      <x:c r="I187" s="68" t="str">
        <x:v>Xã Phước Long</x:v>
      </x:c>
      <x:c r="J187" s="124" t="n">
        <x:v>34.2</x:v>
      </x:c>
      <x:c r="K187" s="130" t="n">
        <x:v>39</x:v>
      </x:c>
      <x:c r="L187" s="124"/>
      <x:c r="M187" s="124"/>
      <x:c r="N187" s="124" t="n">
        <x:v>73.2</x:v>
      </x:c>
      <x:c r="O187" s="69" t="str"/>
    </x:row>
    <x:row r="188" ht="21" customHeight="1">
      <x:c r="A188" s="100" t="n">
        <x:v>184</x:v>
      </x:c>
      <x:c r="B188" s="172" t="n">
        <x:v>95311002413</x:v>
      </x:c>
      <x:c r="C188" s="68" t="str">
        <x:v>LÊ KIM Ý</x:v>
      </x:c>
      <x:c r="D188" s="106" t="str">
        <x:v>X</x:v>
      </x:c>
      <x:c r="E188" s="118" t="n">
        <x:v>40664</x:v>
      </x:c>
      <x:c r="F188" s="106" t="str">
        <x:v>Kinh</x:v>
      </x:c>
      <x:c r="G188" s="68" t="str">
        <x:v>Xã Phước Long</x:v>
      </x:c>
      <x:c r="H188" s="68" t="str">
        <x:v>THCS Vĩnh Thanh</x:v>
      </x:c>
      <x:c r="I188" s="68" t="str">
        <x:v>Xã Vĩnh Thanh</x:v>
      </x:c>
      <x:c r="J188" s="124" t="n">
        <x:v>34.2</x:v>
      </x:c>
      <x:c r="K188" s="130" t="n">
        <x:v>39</x:v>
      </x:c>
      <x:c r="L188" s="124"/>
      <x:c r="M188" s="124"/>
      <x:c r="N188" s="124" t="n">
        <x:v>73.2</x:v>
      </x:c>
      <x:c r="O188" s="69" t="str"/>
    </x:row>
    <x:row r="189" ht="21" customHeight="1">
      <x:c r="A189" s="100" t="n">
        <x:v>185</x:v>
      </x:c>
      <x:c r="B189" s="172" t="n">
        <x:v>95211005872</x:v>
      </x:c>
      <x:c r="C189" s="68" t="str">
        <x:v>NGUYỄN HOÀNG THẮNG</x:v>
      </x:c>
      <x:c r="D189" s="106" t="str"/>
      <x:c r="E189" s="118" t="n">
        <x:v>40578</x:v>
      </x:c>
      <x:c r="F189" s="106" t="str">
        <x:v>Khmer</x:v>
      </x:c>
      <x:c r="G189" s="68" t="str">
        <x:v>Xã Phước Long</x:v>
      </x:c>
      <x:c r="H189" s="68" t="str">
        <x:v>THCS Vĩnh Thanh</x:v>
      </x:c>
      <x:c r="I189" s="68" t="str">
        <x:v>Xã Vĩnh Thanh</x:v>
      </x:c>
      <x:c r="J189" s="124" t="n">
        <x:v>33.2</x:v>
      </x:c>
      <x:c r="K189" s="130" t="n">
        <x:v>39</x:v>
      </x:c>
      <x:c r="L189" s="124" t="n">
        <x:v>1</x:v>
      </x:c>
      <x:c r="M189" s="124"/>
      <x:c r="N189" s="124" t="n">
        <x:v>73.2</x:v>
      </x:c>
      <x:c r="O189" s="69" t="str"/>
    </x:row>
    <x:row r="190" ht="21" customHeight="1">
      <x:c r="A190" s="100" t="n">
        <x:v>186</x:v>
      </x:c>
      <x:c r="B190" s="172" t="n">
        <x:v>95211001974</x:v>
      </x:c>
      <x:c r="C190" s="68" t="str">
        <x:v>HUỲNH TẤN ĐẠT</x:v>
      </x:c>
      <x:c r="D190" s="106" t="str"/>
      <x:c r="E190" s="118" t="n">
        <x:v>40609</x:v>
      </x:c>
      <x:c r="F190" s="106" t="str">
        <x:v>Kinh</x:v>
      </x:c>
      <x:c r="G190" s="68" t="str">
        <x:v>Xã Vĩnh Phước</x:v>
      </x:c>
      <x:c r="H190" s="68" t="str">
        <x:v>THCS Phước Long</x:v>
      </x:c>
      <x:c r="I190" s="68" t="str">
        <x:v>Xã Phước Long</x:v>
      </x:c>
      <x:c r="J190" s="124" t="n">
        <x:v>34.2</x:v>
      </x:c>
      <x:c r="K190" s="130" t="n">
        <x:v>39</x:v>
      </x:c>
      <x:c r="L190" s="124"/>
      <x:c r="M190" s="124"/>
      <x:c r="N190" s="124" t="n">
        <x:v>73.2</x:v>
      </x:c>
      <x:c r="O190" s="69" t="str"/>
    </x:row>
    <x:row r="191" ht="21" customHeight="1">
      <x:c r="A191" s="100" t="n">
        <x:v>187</x:v>
      </x:c>
      <x:c r="B191" s="172" t="n">
        <x:v>95211009351</x:v>
      </x:c>
      <x:c r="C191" s="68" t="str">
        <x:v>NGUYỄN HÀO NAM</x:v>
      </x:c>
      <x:c r="D191" s="106" t="str"/>
      <x:c r="E191" s="118" t="n">
        <x:v>40671</x:v>
      </x:c>
      <x:c r="F191" s="106" t="str">
        <x:v>Kinh</x:v>
      </x:c>
      <x:c r="G191" s="68" t="str">
        <x:v>Xã Phước Long</x:v>
      </x:c>
      <x:c r="H191" s="68" t="str">
        <x:v>THCS Phước Long</x:v>
      </x:c>
      <x:c r="I191" s="68" t="str">
        <x:v>Xã Phước Long</x:v>
      </x:c>
      <x:c r="J191" s="124" t="n">
        <x:v>34.1</x:v>
      </x:c>
      <x:c r="K191" s="130" t="n">
        <x:v>39</x:v>
      </x:c>
      <x:c r="L191" s="124"/>
      <x:c r="M191" s="124"/>
      <x:c r="N191" s="124" t="n">
        <x:v>73.1</x:v>
      </x:c>
      <x:c r="O191" s="69" t="str"/>
    </x:row>
    <x:row r="192" ht="21" customHeight="1">
      <x:c r="A192" s="100" t="n">
        <x:v>188</x:v>
      </x:c>
      <x:c r="B192" s="172" t="n">
        <x:v>95311007619</x:v>
      </x:c>
      <x:c r="C192" s="68" t="str">
        <x:v>TRIỆU HỒ TRÚC ANH</x:v>
      </x:c>
      <x:c r="D192" s="106" t="str">
        <x:v>X</x:v>
      </x:c>
      <x:c r="E192" s="118" t="n">
        <x:v>40888</x:v>
      </x:c>
      <x:c r="F192" s="106" t="str">
        <x:v>Kinh</x:v>
      </x:c>
      <x:c r="G192" s="68" t="str">
        <x:v>Xã Vĩnh Phước</x:v>
      </x:c>
      <x:c r="H192" s="68" t="str">
        <x:v>THCS Vĩnh Phú Tây</x:v>
      </x:c>
      <x:c r="I192" s="68" t="str">
        <x:v>Xã Vĩnh Phước</x:v>
      </x:c>
      <x:c r="J192" s="124" t="n">
        <x:v>34.1</x:v>
      </x:c>
      <x:c r="K192" s="130" t="n">
        <x:v>39</x:v>
      </x:c>
      <x:c r="L192" s="124"/>
      <x:c r="M192" s="124"/>
      <x:c r="N192" s="124" t="n">
        <x:v>73.1</x:v>
      </x:c>
      <x:c r="O192" s="69" t="str"/>
    </x:row>
    <x:row r="193" ht="21" customHeight="1">
      <x:c r="A193" s="100" t="n">
        <x:v>189</x:v>
      </x:c>
      <x:c r="B193" s="172" t="n">
        <x:v>95311008907</x:v>
      </x:c>
      <x:c r="C193" s="68" t="str">
        <x:v>VÕ THỊ NHƯ BÌNH</x:v>
      </x:c>
      <x:c r="D193" s="106" t="str">
        <x:v>X</x:v>
      </x:c>
      <x:c r="E193" s="118" t="n">
        <x:v>40799</x:v>
      </x:c>
      <x:c r="F193" s="106" t="str">
        <x:v>Kinh</x:v>
      </x:c>
      <x:c r="G193" s="68" t="str">
        <x:v>Xã Vĩnh Thanh</x:v>
      </x:c>
      <x:c r="H193" s="68" t="str">
        <x:v>THCS Vĩnh Thanh</x:v>
      </x:c>
      <x:c r="I193" s="68" t="str">
        <x:v>Xã Vĩnh Thanh</x:v>
      </x:c>
      <x:c r="J193" s="124" t="n">
        <x:v>34.1</x:v>
      </x:c>
      <x:c r="K193" s="130" t="n">
        <x:v>39</x:v>
      </x:c>
      <x:c r="L193" s="124"/>
      <x:c r="M193" s="124"/>
      <x:c r="N193" s="124" t="n">
        <x:v>73.1</x:v>
      </x:c>
      <x:c r="O193" s="69" t="str"/>
    </x:row>
    <x:row r="194" ht="21" customHeight="1">
      <x:c r="A194" s="100" t="n">
        <x:v>190</x:v>
      </x:c>
      <x:c r="B194" s="172" t="n">
        <x:v>95311001916</x:v>
      </x:c>
      <x:c r="C194" s="68" t="str">
        <x:v>LÊ UYÊN NHI</x:v>
      </x:c>
      <x:c r="D194" s="106" t="str">
        <x:v>X</x:v>
      </x:c>
      <x:c r="E194" s="118" t="n">
        <x:v>40764</x:v>
      </x:c>
      <x:c r="F194" s="106" t="str">
        <x:v>Kinh</x:v>
      </x:c>
      <x:c r="G194" s="68" t="str">
        <x:v>Xã Phước Long</x:v>
      </x:c>
      <x:c r="H194" s="68" t="str">
        <x:v>THCS Phước Long</x:v>
      </x:c>
      <x:c r="I194" s="68" t="str">
        <x:v>Xã Phước Long</x:v>
      </x:c>
      <x:c r="J194" s="124" t="n">
        <x:v>34</x:v>
      </x:c>
      <x:c r="K194" s="130" t="n">
        <x:v>39</x:v>
      </x:c>
      <x:c r="L194" s="124"/>
      <x:c r="M194" s="124"/>
      <x:c r="N194" s="124" t="n">
        <x:v>73</x:v>
      </x:c>
      <x:c r="O194" s="69" t="str"/>
    </x:row>
    <x:row r="195" ht="21" customHeight="1">
      <x:c r="A195" s="100" t="n">
        <x:v>191</x:v>
      </x:c>
      <x:c r="B195" s="172" t="n">
        <x:v>95311001570</x:v>
      </x:c>
      <x:c r="C195" s="68" t="str">
        <x:v>VÕ NGỌC DIỆP</x:v>
      </x:c>
      <x:c r="D195" s="106" t="str">
        <x:v>X</x:v>
      </x:c>
      <x:c r="E195" s="118" t="n">
        <x:v>40873</x:v>
      </x:c>
      <x:c r="F195" s="106" t="str">
        <x:v>Kinh</x:v>
      </x:c>
      <x:c r="G195" s="68" t="str">
        <x:v>Xã Phước Long</x:v>
      </x:c>
      <x:c r="H195" s="68" t="str">
        <x:v>THCS Phước Long</x:v>
      </x:c>
      <x:c r="I195" s="68" t="str">
        <x:v>Xã Phước Long</x:v>
      </x:c>
      <x:c r="J195" s="124" t="n">
        <x:v>34</x:v>
      </x:c>
      <x:c r="K195" s="130" t="n">
        <x:v>39</x:v>
      </x:c>
      <x:c r="L195" s="124"/>
      <x:c r="M195" s="124"/>
      <x:c r="N195" s="124" t="n">
        <x:v>73</x:v>
      </x:c>
      <x:c r="O195" s="69" t="str"/>
    </x:row>
    <x:row r="196" ht="21" customHeight="1">
      <x:c r="A196" s="100" t="n">
        <x:v>192</x:v>
      </x:c>
      <x:c r="B196" s="172" t="n">
        <x:v>95211003592</x:v>
      </x:c>
      <x:c r="C196" s="68" t="str">
        <x:v>ĐẶNG THÁI BẢO</x:v>
      </x:c>
      <x:c r="D196" s="106" t="str"/>
      <x:c r="E196" s="118" t="n">
        <x:v>40649</x:v>
      </x:c>
      <x:c r="F196" s="106" t="str">
        <x:v>Kinh</x:v>
      </x:c>
      <x:c r="G196" s="68" t="str">
        <x:v>Xã Phước Long</x:v>
      </x:c>
      <x:c r="H196" s="68" t="str">
        <x:v>THCS Phước Long</x:v>
      </x:c>
      <x:c r="I196" s="68" t="str">
        <x:v>Xã Phước Long</x:v>
      </x:c>
      <x:c r="J196" s="124" t="n">
        <x:v>34</x:v>
      </x:c>
      <x:c r="K196" s="130" t="n">
        <x:v>39</x:v>
      </x:c>
      <x:c r="L196" s="124"/>
      <x:c r="M196" s="124"/>
      <x:c r="N196" s="124" t="n">
        <x:v>73</x:v>
      </x:c>
      <x:c r="O196" s="69" t="str"/>
    </x:row>
    <x:row r="197" ht="21" customHeight="1">
      <x:c r="A197" s="100" t="n">
        <x:v>193</x:v>
      </x:c>
      <x:c r="B197" s="172" t="n">
        <x:v>95311002202</x:v>
      </x:c>
      <x:c r="C197" s="68" t="str">
        <x:v>NGUYỄN NGỌC QUỲNH</x:v>
      </x:c>
      <x:c r="D197" s="106" t="str">
        <x:v>X</x:v>
      </x:c>
      <x:c r="E197" s="118" t="n">
        <x:v>40634</x:v>
      </x:c>
      <x:c r="F197" s="106" t="str">
        <x:v>Kinh</x:v>
      </x:c>
      <x:c r="G197" s="68" t="str">
        <x:v>Xã Vĩnh Phước</x:v>
      </x:c>
      <x:c r="H197" s="68" t="str">
        <x:v>THCS Phước Long</x:v>
      </x:c>
      <x:c r="I197" s="68" t="str">
        <x:v>Xã Phước Long</x:v>
      </x:c>
      <x:c r="J197" s="124" t="n">
        <x:v>34</x:v>
      </x:c>
      <x:c r="K197" s="130" t="n">
        <x:v>39</x:v>
      </x:c>
      <x:c r="L197" s="124"/>
      <x:c r="M197" s="124"/>
      <x:c r="N197" s="124" t="n">
        <x:v>73</x:v>
      </x:c>
      <x:c r="O197" s="69" t="str"/>
    </x:row>
    <x:row r="198" ht="21" customHeight="1">
      <x:c r="A198" s="100" t="n">
        <x:v>194</x:v>
      </x:c>
      <x:c r="B198" s="172" t="n">
        <x:v>95311002907</x:v>
      </x:c>
      <x:c r="C198" s="68" t="str">
        <x:v>NGÔ YẾN KHOA</x:v>
      </x:c>
      <x:c r="D198" s="106" t="str">
        <x:v>X</x:v>
      </x:c>
      <x:c r="E198" s="118" t="n">
        <x:v>40849</x:v>
      </x:c>
      <x:c r="F198" s="106" t="str">
        <x:v>Kinh</x:v>
      </x:c>
      <x:c r="G198" s="68" t="str">
        <x:v>Xã Vĩnh Thanh</x:v>
      </x:c>
      <x:c r="H198" s="68" t="str">
        <x:v>THCS Hưng Phú</x:v>
      </x:c>
      <x:c r="I198" s="68" t="str">
        <x:v>Xã Vĩnh Thanh</x:v>
      </x:c>
      <x:c r="J198" s="124" t="n">
        <x:v>34</x:v>
      </x:c>
      <x:c r="K198" s="130" t="n">
        <x:v>39</x:v>
      </x:c>
      <x:c r="L198" s="124"/>
      <x:c r="M198" s="124"/>
      <x:c r="N198" s="124" t="n">
        <x:v>73</x:v>
      </x:c>
      <x:c r="O198" s="69" t="str"/>
    </x:row>
    <x:row r="199" ht="21" customHeight="1">
      <x:c r="A199" s="100" t="n">
        <x:v>195</x:v>
      </x:c>
      <x:c r="B199" s="172" t="n">
        <x:v>95211002706</x:v>
      </x:c>
      <x:c r="C199" s="68" t="str">
        <x:v>TRẦN NHẬT THIÊN</x:v>
      </x:c>
      <x:c r="D199" s="106" t="str"/>
      <x:c r="E199" s="118" t="n">
        <x:v>40821</x:v>
      </x:c>
      <x:c r="F199" s="106" t="str">
        <x:v>Kinh</x:v>
      </x:c>
      <x:c r="G199" s="68" t="str">
        <x:v>Xã Phước Long</x:v>
      </x:c>
      <x:c r="H199" s="68" t="str">
        <x:v>THCS Vĩnh Thanh</x:v>
      </x:c>
      <x:c r="I199" s="68" t="str">
        <x:v>Xã Vĩnh Thanh</x:v>
      </x:c>
      <x:c r="J199" s="124" t="n">
        <x:v>34</x:v>
      </x:c>
      <x:c r="K199" s="130" t="n">
        <x:v>39</x:v>
      </x:c>
      <x:c r="L199" s="124"/>
      <x:c r="M199" s="124"/>
      <x:c r="N199" s="124" t="n">
        <x:v>73</x:v>
      </x:c>
      <x:c r="O199" s="69" t="str"/>
    </x:row>
    <x:row r="200" ht="21" customHeight="1">
      <x:c r="A200" s="100" t="n">
        <x:v>196</x:v>
      </x:c>
      <x:c r="B200" s="172" t="n">
        <x:v>95211004058</x:v>
      </x:c>
      <x:c r="C200" s="68" t="str">
        <x:v>HUỲNH KHÁNH DUY</x:v>
      </x:c>
      <x:c r="D200" s="106" t="str"/>
      <x:c r="E200" s="118" t="n">
        <x:v>40730</x:v>
      </x:c>
      <x:c r="F200" s="106" t="str">
        <x:v>Kinh</x:v>
      </x:c>
      <x:c r="G200" s="68" t="str">
        <x:v>Xã Vĩnh Thanh</x:v>
      </x:c>
      <x:c r="H200" s="68" t="str">
        <x:v>THCS Vĩnh Thanh</x:v>
      </x:c>
      <x:c r="I200" s="68" t="str">
        <x:v>Xã Vĩnh Thanh</x:v>
      </x:c>
      <x:c r="J200" s="124" t="n">
        <x:v>33.5</x:v>
      </x:c>
      <x:c r="K200" s="130" t="n">
        <x:v>39</x:v>
      </x:c>
      <x:c r="L200" s="124"/>
      <x:c r="M200" s="124" t="n">
        <x:v>0.5</x:v>
      </x:c>
      <x:c r="N200" s="124" t="n">
        <x:v>73</x:v>
      </x:c>
      <x:c r="O200" s="69" t="str"/>
    </x:row>
    <x:row r="201" ht="21" customHeight="1">
      <x:c r="A201" s="100" t="n">
        <x:v>197</x:v>
      </x:c>
      <x:c r="B201" s="172" t="n">
        <x:v>95311005780</x:v>
      </x:c>
      <x:c r="C201" s="68" t="str">
        <x:v>NGUYỄN NGỌC TƯỜNG LAM</x:v>
      </x:c>
      <x:c r="D201" s="106" t="str">
        <x:v>X</x:v>
      </x:c>
      <x:c r="E201" s="118" t="n">
        <x:v>40659</x:v>
      </x:c>
      <x:c r="F201" s="106" t="str">
        <x:v>Kinh</x:v>
      </x:c>
      <x:c r="G201" s="68" t="str">
        <x:v>Xã Ninh Thạnh Lợi</x:v>
      </x:c>
      <x:c r="H201" s="68" t="str">
        <x:v>THCS Phước Long</x:v>
      </x:c>
      <x:c r="I201" s="68" t="str">
        <x:v>Xã Vĩnh Phước</x:v>
      </x:c>
      <x:c r="J201" s="124" t="n">
        <x:v>33</x:v>
      </x:c>
      <x:c r="K201" s="130" t="n">
        <x:v>39</x:v>
      </x:c>
      <x:c r="L201" s="124" t="n">
        <x:v>1</x:v>
      </x:c>
      <x:c r="M201" s="124"/>
      <x:c r="N201" s="124" t="n">
        <x:v>73</x:v>
      </x:c>
      <x:c r="O201" s="69" t="str"/>
    </x:row>
    <x:row r="202" ht="21" customHeight="1">
      <x:c r="A202" s="100" t="n">
        <x:v>198</x:v>
      </x:c>
      <x:c r="B202" s="172" t="n">
        <x:v>95311002041</x:v>
      </x:c>
      <x:c r="C202" s="68" t="str">
        <x:v>NGUYỄN THỊ NGỌC ĐOAN</x:v>
      </x:c>
      <x:c r="D202" s="106" t="str">
        <x:v>X</x:v>
      </x:c>
      <x:c r="E202" s="118" t="n">
        <x:v>40570</x:v>
      </x:c>
      <x:c r="F202" s="106" t="str">
        <x:v>Kinh</x:v>
      </x:c>
      <x:c r="G202" s="68" t="str">
        <x:v>Xã Vĩnh Phước</x:v>
      </x:c>
      <x:c r="H202" s="68" t="str">
        <x:v>THCS Phước Long</x:v>
      </x:c>
      <x:c r="I202" s="68" t="str">
        <x:v>Xã Vĩnh Phước</x:v>
      </x:c>
      <x:c r="J202" s="124" t="n">
        <x:v>34</x:v>
      </x:c>
      <x:c r="K202" s="130" t="n">
        <x:v>38</x:v>
      </x:c>
      <x:c r="L202" s="124" t="n">
        <x:v>1</x:v>
      </x:c>
      <x:c r="M202" s="124"/>
      <x:c r="N202" s="124" t="n">
        <x:v>73</x:v>
      </x:c>
      <x:c r="O202" s="69" t="str"/>
    </x:row>
    <x:row r="203" ht="21" customHeight="1">
      <x:c r="A203" s="100" t="n">
        <x:v>199</x:v>
      </x:c>
      <x:c r="B203" s="172" t="n">
        <x:v>95211008995</x:v>
      </x:c>
      <x:c r="C203" s="68" t="str">
        <x:v>NGUYỄN VĂN TIẾN</x:v>
      </x:c>
      <x:c r="D203" s="106" t="str"/>
      <x:c r="E203" s="118" t="n">
        <x:v>40895</x:v>
      </x:c>
      <x:c r="F203" s="106" t="str">
        <x:v>Kinh</x:v>
      </x:c>
      <x:c r="G203" s="68" t="str">
        <x:v>Xã Hồng Dân</x:v>
      </x:c>
      <x:c r="H203" s="68" t="str">
        <x:v>THCS Trương Vĩnh Ký</x:v>
      </x:c>
      <x:c r="I203" s="68" t="str">
        <x:v>Xã Hồng Dân</x:v>
      </x:c>
      <x:c r="J203" s="124" t="n">
        <x:v>34</x:v>
      </x:c>
      <x:c r="K203" s="130" t="n">
        <x:v>39</x:v>
      </x:c>
      <x:c r="L203" s="124"/>
      <x:c r="M203" s="124"/>
      <x:c r="N203" s="124" t="n">
        <x:v>73</x:v>
      </x:c>
      <x:c r="O203" s="69" t="str"/>
    </x:row>
    <x:row r="204" ht="21" customHeight="1">
      <x:c r="A204" s="100" t="n">
        <x:v>200</x:v>
      </x:c>
      <x:c r="B204" s="172" t="n">
        <x:v>95311006139</x:v>
      </x:c>
      <x:c r="C204" s="68" t="str">
        <x:v>NGUYỄN THUÝ NGÂN</x:v>
      </x:c>
      <x:c r="D204" s="106" t="str">
        <x:v>X</x:v>
      </x:c>
      <x:c r="E204" s="118" t="n">
        <x:v>40759</x:v>
      </x:c>
      <x:c r="F204" s="106" t="str">
        <x:v>Kinh</x:v>
      </x:c>
      <x:c r="G204" s="68" t="str">
        <x:v>Xã Vĩnh Phước</x:v>
      </x:c>
      <x:c r="H204" s="68" t="str">
        <x:v>THCS Phước Long</x:v>
      </x:c>
      <x:c r="I204" s="68" t="str">
        <x:v>Xã Phước Long</x:v>
      </x:c>
      <x:c r="J204" s="124" t="n">
        <x:v>33.9</x:v>
      </x:c>
      <x:c r="K204" s="130" t="n">
        <x:v>39</x:v>
      </x:c>
      <x:c r="L204" s="124"/>
      <x:c r="M204" s="124"/>
      <x:c r="N204" s="124" t="n">
        <x:v>72.9</x:v>
      </x:c>
      <x:c r="O204" s="69" t="str"/>
    </x:row>
    <x:row r="205" ht="21" customHeight="1">
      <x:c r="A205" s="100" t="n">
        <x:v>201</x:v>
      </x:c>
      <x:c r="B205" s="172" t="n">
        <x:v>95311004874</x:v>
      </x:c>
      <x:c r="C205" s="68" t="str">
        <x:v>NGUYỄN LA LAM</x:v>
      </x:c>
      <x:c r="D205" s="106" t="str">
        <x:v>X</x:v>
      </x:c>
      <x:c r="E205" s="118" t="n">
        <x:v>40706</x:v>
      </x:c>
      <x:c r="F205" s="106" t="str">
        <x:v>Kinh</x:v>
      </x:c>
      <x:c r="G205" s="68" t="str">
        <x:v>Xã Vĩnh Phước</x:v>
      </x:c>
      <x:c r="H205" s="68" t="str">
        <x:v>THCS Phước Long</x:v>
      </x:c>
      <x:c r="I205" s="68" t="str">
        <x:v>Xã Phước Long</x:v>
      </x:c>
      <x:c r="J205" s="124" t="n">
        <x:v>33.9</x:v>
      </x:c>
      <x:c r="K205" s="130" t="n">
        <x:v>39</x:v>
      </x:c>
      <x:c r="L205" s="124"/>
      <x:c r="M205" s="124"/>
      <x:c r="N205" s="124" t="n">
        <x:v>72.9</x:v>
      </x:c>
      <x:c r="O205" s="69" t="str"/>
    </x:row>
    <x:row r="206" ht="21" customHeight="1">
      <x:c r="A206" s="100" t="n">
        <x:v>202</x:v>
      </x:c>
      <x:c r="B206" s="172" t="n">
        <x:v>95311007355</x:v>
      </x:c>
      <x:c r="C206" s="68" t="str">
        <x:v>VÕ VÂN LAM</x:v>
      </x:c>
      <x:c r="D206" s="106" t="str">
        <x:v>X</x:v>
      </x:c>
      <x:c r="E206" s="118" t="n">
        <x:v>40852</x:v>
      </x:c>
      <x:c r="F206" s="106" t="str">
        <x:v>Kinh</x:v>
      </x:c>
      <x:c r="G206" s="68" t="str">
        <x:v>Xã Phước Long</x:v>
      </x:c>
      <x:c r="H206" s="68" t="str">
        <x:v>THCS Phước Long</x:v>
      </x:c>
      <x:c r="I206" s="68" t="str">
        <x:v>Xã Phước Long</x:v>
      </x:c>
      <x:c r="J206" s="124" t="n">
        <x:v>33.9</x:v>
      </x:c>
      <x:c r="K206" s="130" t="n">
        <x:v>39</x:v>
      </x:c>
      <x:c r="L206" s="124"/>
      <x:c r="M206" s="124"/>
      <x:c r="N206" s="124" t="n">
        <x:v>72.9</x:v>
      </x:c>
      <x:c r="O206" s="69" t="str"/>
    </x:row>
    <x:row r="207" ht="21" customHeight="1">
      <x:c r="A207" s="100" t="n">
        <x:v>203</x:v>
      </x:c>
      <x:c r="B207" s="172" t="n">
        <x:v>95311002005</x:v>
      </x:c>
      <x:c r="C207" s="68" t="str">
        <x:v>TRƯƠNG THỊ HỒNG MỸ</x:v>
      </x:c>
      <x:c r="D207" s="106" t="str">
        <x:v>X</x:v>
      </x:c>
      <x:c r="E207" s="118" t="n">
        <x:v>40613</x:v>
      </x:c>
      <x:c r="F207" s="106" t="str">
        <x:v>Kinh</x:v>
      </x:c>
      <x:c r="G207" s="68" t="str">
        <x:v>Xã Vĩnh Thanh</x:v>
      </x:c>
      <x:c r="H207" s="68" t="str">
        <x:v>THCS Vĩnh Thanh</x:v>
      </x:c>
      <x:c r="I207" s="68" t="str">
        <x:v>Xã Vĩnh Thanh</x:v>
      </x:c>
      <x:c r="J207" s="124" t="n">
        <x:v>33.9</x:v>
      </x:c>
      <x:c r="K207" s="130" t="n">
        <x:v>39</x:v>
      </x:c>
      <x:c r="L207" s="124"/>
      <x:c r="M207" s="124"/>
      <x:c r="N207" s="124" t="n">
        <x:v>72.9</x:v>
      </x:c>
      <x:c r="O207" s="69" t="str"/>
    </x:row>
    <x:row r="208" ht="21" customHeight="1">
      <x:c r="A208" s="100" t="n">
        <x:v>204</x:v>
      </x:c>
      <x:c r="B208" s="172" t="n">
        <x:v>95311007144</x:v>
      </x:c>
      <x:c r="C208" s="68" t="str">
        <x:v>NGUYỄN TRÚC QUỲNH</x:v>
      </x:c>
      <x:c r="D208" s="106" t="str">
        <x:v>X</x:v>
      </x:c>
      <x:c r="E208" s="118" t="n">
        <x:v>40636</x:v>
      </x:c>
      <x:c r="F208" s="106" t="str">
        <x:v>Kinh</x:v>
      </x:c>
      <x:c r="G208" s="68" t="str">
        <x:v>Xã Phước Long</x:v>
      </x:c>
      <x:c r="H208" s="68" t="str">
        <x:v>THCS Vương Hữu Nhơn</x:v>
      </x:c>
      <x:c r="I208" s="68" t="str">
        <x:v>Xã Phước Long</x:v>
      </x:c>
      <x:c r="J208" s="124" t="n">
        <x:v>33.9</x:v>
      </x:c>
      <x:c r="K208" s="130" t="n">
        <x:v>39</x:v>
      </x:c>
      <x:c r="L208" s="124"/>
      <x:c r="M208" s="124"/>
      <x:c r="N208" s="124" t="n">
        <x:v>72.9</x:v>
      </x:c>
      <x:c r="O208" s="69" t="str"/>
    </x:row>
    <x:row r="209" ht="21" customHeight="1">
      <x:c r="A209" s="100" t="n">
        <x:v>205</x:v>
      </x:c>
      <x:c r="B209" s="172" t="n">
        <x:v>95211003728</x:v>
      </x:c>
      <x:c r="C209" s="68" t="str">
        <x:v>TRẦN MINH PHÚ</x:v>
      </x:c>
      <x:c r="D209" s="106" t="str"/>
      <x:c r="E209" s="118" t="n">
        <x:v>40614</x:v>
      </x:c>
      <x:c r="F209" s="106" t="str">
        <x:v>Kinh</x:v>
      </x:c>
      <x:c r="G209" s="68" t="str">
        <x:v>Xã Phước Long</x:v>
      </x:c>
      <x:c r="H209" s="68" t="str">
        <x:v>THCS Vương Hữu Nhơn</x:v>
      </x:c>
      <x:c r="I209" s="68" t="str">
        <x:v>Xã Phước Long</x:v>
      </x:c>
      <x:c r="J209" s="124" t="n">
        <x:v>32.9</x:v>
      </x:c>
      <x:c r="K209" s="130" t="n">
        <x:v>40</x:v>
      </x:c>
      <x:c r="L209" s="124"/>
      <x:c r="M209" s="124"/>
      <x:c r="N209" s="124" t="n">
        <x:v>72.9</x:v>
      </x:c>
      <x:c r="O209" s="69" t="str"/>
    </x:row>
    <x:row r="210" ht="21" customHeight="1">
      <x:c r="A210" s="100" t="n">
        <x:v>206</x:v>
      </x:c>
      <x:c r="B210" s="172" t="n">
        <x:v>95211010081</x:v>
      </x:c>
      <x:c r="C210" s="68" t="str">
        <x:v>HỒ NHẬT HÀO</x:v>
      </x:c>
      <x:c r="D210" s="106" t="str"/>
      <x:c r="E210" s="118" t="n">
        <x:v>40856</x:v>
      </x:c>
      <x:c r="F210" s="106" t="str">
        <x:v>Kinh</x:v>
      </x:c>
      <x:c r="G210" s="68" t="str">
        <x:v>Xã Vĩnh Thanh</x:v>
      </x:c>
      <x:c r="H210" s="68" t="str">
        <x:v>THCS Hưng Phú</x:v>
      </x:c>
      <x:c r="I210" s="68" t="str">
        <x:v>Xã Vĩnh Thanh</x:v>
      </x:c>
      <x:c r="J210" s="124" t="n">
        <x:v>33.8</x:v>
      </x:c>
      <x:c r="K210" s="130" t="n">
        <x:v>39</x:v>
      </x:c>
      <x:c r="L210" s="124"/>
      <x:c r="M210" s="124"/>
      <x:c r="N210" s="124" t="n">
        <x:v>72.8</x:v>
      </x:c>
      <x:c r="O210" s="69" t="str"/>
    </x:row>
    <x:row r="211" ht="21" customHeight="1">
      <x:c r="A211" s="100" t="n">
        <x:v>207</x:v>
      </x:c>
      <x:c r="B211" s="172" t="n">
        <x:v>95311006724</x:v>
      </x:c>
      <x:c r="C211" s="68" t="str">
        <x:v>NGUYỄN NGỌC HỒNG LAM</x:v>
      </x:c>
      <x:c r="D211" s="106" t="str">
        <x:v>X</x:v>
      </x:c>
      <x:c r="E211" s="118" t="n">
        <x:v>40872</x:v>
      </x:c>
      <x:c r="F211" s="106" t="str">
        <x:v>Kinh</x:v>
      </x:c>
      <x:c r="G211" s="68" t="str">
        <x:v>Xã Vĩnh Phước</x:v>
      </x:c>
      <x:c r="H211" s="68" t="str">
        <x:v>THCS Vĩnh Thanh</x:v>
      </x:c>
      <x:c r="I211" s="68" t="str">
        <x:v>Xã Vĩnh Thanh</x:v>
      </x:c>
      <x:c r="J211" s="124" t="n">
        <x:v>33.8</x:v>
      </x:c>
      <x:c r="K211" s="130" t="n">
        <x:v>38</x:v>
      </x:c>
      <x:c r="L211" s="124" t="n">
        <x:v>1</x:v>
      </x:c>
      <x:c r="M211" s="124"/>
      <x:c r="N211" s="124" t="n">
        <x:v>72.8</x:v>
      </x:c>
      <x:c r="O211" s="69" t="str"/>
    </x:row>
    <x:row r="212" ht="21" customHeight="1">
      <x:c r="A212" s="100" t="n">
        <x:v>208</x:v>
      </x:c>
      <x:c r="B212" s="172" t="n">
        <x:v>95311000421</x:v>
      </x:c>
      <x:c r="C212" s="68" t="str">
        <x:v>LỮ NGUYỄN HUỲNH NHƯ</x:v>
      </x:c>
      <x:c r="D212" s="106" t="str">
        <x:v>X</x:v>
      </x:c>
      <x:c r="E212" s="118" t="n">
        <x:v>40783</x:v>
      </x:c>
      <x:c r="F212" s="106" t="str">
        <x:v>Kinh</x:v>
      </x:c>
      <x:c r="G212" s="68" t="str">
        <x:v>Xã Vĩnh Phước</x:v>
      </x:c>
      <x:c r="H212" s="68" t="str">
        <x:v>THCS Vĩnh Phú Tây</x:v>
      </x:c>
      <x:c r="I212" s="68" t="str">
        <x:v>Xã Vĩnh Phước</x:v>
      </x:c>
      <x:c r="J212" s="124" t="n">
        <x:v>33.7</x:v>
      </x:c>
      <x:c r="K212" s="130" t="n">
        <x:v>39</x:v>
      </x:c>
      <x:c r="L212" s="124"/>
      <x:c r="M212" s="124"/>
      <x:c r="N212" s="124" t="n">
        <x:v>72.7</x:v>
      </x:c>
      <x:c r="O212" s="69" t="str"/>
    </x:row>
    <x:row r="213" ht="21" customHeight="1">
      <x:c r="A213" s="100" t="n">
        <x:v>209</x:v>
      </x:c>
      <x:c r="B213" s="172" t="n">
        <x:v>93311005218</x:v>
      </x:c>
      <x:c r="C213" s="68" t="str">
        <x:v>BÙI THỊ LỆ HUYỀN</x:v>
      </x:c>
      <x:c r="D213" s="106" t="str">
        <x:v>X</x:v>
      </x:c>
      <x:c r="E213" s="118" t="n">
        <x:v>40616</x:v>
      </x:c>
      <x:c r="F213" s="106" t="str">
        <x:v>Kinh</x:v>
      </x:c>
      <x:c r="G213" s="68" t="str">
        <x:v>Xã Phước Long</x:v>
      </x:c>
      <x:c r="H213" s="68" t="str">
        <x:v>THCS Vương Hữu Nhơn</x:v>
      </x:c>
      <x:c r="I213" s="68" t="str">
        <x:v>Xã Phước Long</x:v>
      </x:c>
      <x:c r="J213" s="124" t="n">
        <x:v>32.7</x:v>
      </x:c>
      <x:c r="K213" s="130" t="n">
        <x:v>39</x:v>
      </x:c>
      <x:c r="L213" s="124" t="n">
        <x:v>1</x:v>
      </x:c>
      <x:c r="M213" s="124"/>
      <x:c r="N213" s="124" t="n">
        <x:v>72.7</x:v>
      </x:c>
      <x:c r="O213" s="69" t="str"/>
    </x:row>
    <x:row r="214" ht="21" customHeight="1">
      <x:c r="A214" s="100" t="n">
        <x:v>210</x:v>
      </x:c>
      <x:c r="B214" s="172" t="n">
        <x:v>95211001459</x:v>
      </x:c>
      <x:c r="C214" s="68" t="str">
        <x:v>NGUYỄN PHÚC LỘC</x:v>
      </x:c>
      <x:c r="D214" s="106" t="str"/>
      <x:c r="E214" s="118" t="n">
        <x:v>40580</x:v>
      </x:c>
      <x:c r="F214" s="106" t="str">
        <x:v>Khmer</x:v>
      </x:c>
      <x:c r="G214" s="68" t="str">
        <x:v>Xã Phước Long</x:v>
      </x:c>
      <x:c r="H214" s="68" t="str">
        <x:v>THCS Vương Hữu Nhơn</x:v>
      </x:c>
      <x:c r="I214" s="68" t="str">
        <x:v>Xã Phước Long</x:v>
      </x:c>
      <x:c r="J214" s="124" t="n">
        <x:v>33.2</x:v>
      </x:c>
      <x:c r="K214" s="130" t="n">
        <x:v>38</x:v>
      </x:c>
      <x:c r="L214" s="124" t="n">
        <x:v>1</x:v>
      </x:c>
      <x:c r="M214" s="124" t="n">
        <x:v>0.5</x:v>
      </x:c>
      <x:c r="N214" s="124" t="n">
        <x:v>72.7</x:v>
      </x:c>
      <x:c r="O214" s="69" t="str"/>
    </x:row>
    <x:row r="215" ht="21" customHeight="1">
      <x:c r="A215" s="100" t="n">
        <x:v>211</x:v>
      </x:c>
      <x:c r="B215" s="172" t="n">
        <x:v>95211000967</x:v>
      </x:c>
      <x:c r="C215" s="68" t="str">
        <x:v>HUỲNH THÁI NGUYỄN</x:v>
      </x:c>
      <x:c r="D215" s="106" t="str"/>
      <x:c r="E215" s="118" t="n">
        <x:v>40783</x:v>
      </x:c>
      <x:c r="F215" s="106" t="str">
        <x:v>Kinh</x:v>
      </x:c>
      <x:c r="G215" s="68" t="str">
        <x:v>Xã Vĩnh Phước</x:v>
      </x:c>
      <x:c r="H215" s="68" t="str">
        <x:v>THCS Phước Long</x:v>
      </x:c>
      <x:c r="I215" s="68" t="str">
        <x:v>Xã Phước Long</x:v>
      </x:c>
      <x:c r="J215" s="124" t="n">
        <x:v>33.6</x:v>
      </x:c>
      <x:c r="K215" s="130" t="n">
        <x:v>39</x:v>
      </x:c>
      <x:c r="L215" s="124"/>
      <x:c r="M215" s="124"/>
      <x:c r="N215" s="124" t="n">
        <x:v>72.6</x:v>
      </x:c>
      <x:c r="O215" s="69" t="str"/>
    </x:row>
    <x:row r="216" ht="21" customHeight="1">
      <x:c r="A216" s="100" t="n">
        <x:v>212</x:v>
      </x:c>
      <x:c r="B216" s="172" t="n">
        <x:v>95311009734</x:v>
      </x:c>
      <x:c r="C216" s="68" t="str">
        <x:v>THIỀU ÁNH DƯƠNG</x:v>
      </x:c>
      <x:c r="D216" s="106" t="str">
        <x:v>X</x:v>
      </x:c>
      <x:c r="E216" s="118" t="n">
        <x:v>40772</x:v>
      </x:c>
      <x:c r="F216" s="106" t="str">
        <x:v>Kinh</x:v>
      </x:c>
      <x:c r="G216" s="68" t="str">
        <x:v>Xã Phước Long</x:v>
      </x:c>
      <x:c r="H216" s="68" t="str">
        <x:v>THCS Phước Long</x:v>
      </x:c>
      <x:c r="I216" s="68" t="str">
        <x:v>Xã Phước Long</x:v>
      </x:c>
      <x:c r="J216" s="124" t="n">
        <x:v>34.5</x:v>
      </x:c>
      <x:c r="K216" s="130" t="n">
        <x:v>38</x:v>
      </x:c>
      <x:c r="L216" s="124"/>
      <x:c r="M216" s="124"/>
      <x:c r="N216" s="124" t="n">
        <x:v>72.5</x:v>
      </x:c>
      <x:c r="O216" s="69" t="str"/>
    </x:row>
    <x:row r="217" ht="21" customHeight="1">
      <x:c r="A217" s="100" t="n">
        <x:v>213</x:v>
      </x:c>
      <x:c r="B217" s="172" t="n">
        <x:v>95211003603</x:v>
      </x:c>
      <x:c r="C217" s="68" t="str">
        <x:v>HUỲNH TUẦN KIỆT</x:v>
      </x:c>
      <x:c r="D217" s="106" t="str"/>
      <x:c r="E217" s="118" t="n">
        <x:v>40648</x:v>
      </x:c>
      <x:c r="F217" s="106" t="str">
        <x:v>Khmer</x:v>
      </x:c>
      <x:c r="G217" s="68" t="str">
        <x:v>Xã Phước Long</x:v>
      </x:c>
      <x:c r="H217" s="68" t="str">
        <x:v>THCS Phước Long</x:v>
      </x:c>
      <x:c r="I217" s="68" t="str">
        <x:v>Xã Phước Long</x:v>
      </x:c>
      <x:c r="J217" s="124" t="n">
        <x:v>33.5</x:v>
      </x:c>
      <x:c r="K217" s="130" t="n">
        <x:v>38</x:v>
      </x:c>
      <x:c r="L217" s="124" t="n">
        <x:v>1</x:v>
      </x:c>
      <x:c r="M217" s="124"/>
      <x:c r="N217" s="124" t="n">
        <x:v>72.5</x:v>
      </x:c>
      <x:c r="O217" s="69" t="str"/>
    </x:row>
    <x:row r="218" ht="21" customHeight="1">
      <x:c r="A218" s="100" t="n">
        <x:v>214</x:v>
      </x:c>
      <x:c r="B218" s="172" t="n">
        <x:v>87211002904</x:v>
      </x:c>
      <x:c r="C218" s="68" t="str">
        <x:v>NGUYỄN ĐĂNG KHOA</x:v>
      </x:c>
      <x:c r="D218" s="106" t="str"/>
      <x:c r="E218" s="118" t="n">
        <x:v>40631</x:v>
      </x:c>
      <x:c r="F218" s="106" t="str">
        <x:v>Kinh</x:v>
      </x:c>
      <x:c r="G218" s="68" t="str">
        <x:v>Xã Vĩnh Phước</x:v>
      </x:c>
      <x:c r="H218" s="68" t="str">
        <x:v>THCS Vĩnh Phú Tây</x:v>
      </x:c>
      <x:c r="I218" s="68" t="str">
        <x:v>Xã Vĩnh Phước</x:v>
      </x:c>
      <x:c r="J218" s="124" t="n">
        <x:v>33.5</x:v>
      </x:c>
      <x:c r="K218" s="130" t="n">
        <x:v>39</x:v>
      </x:c>
      <x:c r="L218" s="124"/>
      <x:c r="M218" s="124"/>
      <x:c r="N218" s="124" t="n">
        <x:v>72.5</x:v>
      </x:c>
      <x:c r="O218" s="69" t="str"/>
    </x:row>
    <x:row r="219" ht="21" customHeight="1">
      <x:c r="A219" s="100" t="n">
        <x:v>215</x:v>
      </x:c>
      <x:c r="B219" s="172" t="n">
        <x:v>95311003488</x:v>
      </x:c>
      <x:c r="C219" s="68" t="str">
        <x:v>HUỲNH KIM NGÂN</x:v>
      </x:c>
      <x:c r="D219" s="106" t="str">
        <x:v>X</x:v>
      </x:c>
      <x:c r="E219" s="118" t="n">
        <x:v>40619</x:v>
      </x:c>
      <x:c r="F219" s="106" t="str">
        <x:v>Kinh</x:v>
      </x:c>
      <x:c r="G219" s="68" t="str">
        <x:v>Xã Vĩnh Thanh</x:v>
      </x:c>
      <x:c r="H219" s="68" t="str">
        <x:v>THCS Hưng Phú</x:v>
      </x:c>
      <x:c r="I219" s="68" t="str">
        <x:v>Xã Vĩnh Thanh</x:v>
      </x:c>
      <x:c r="J219" s="124" t="n">
        <x:v>33.5</x:v>
      </x:c>
      <x:c r="K219" s="130" t="n">
        <x:v>39</x:v>
      </x:c>
      <x:c r="L219" s="124"/>
      <x:c r="M219" s="124"/>
      <x:c r="N219" s="124" t="n">
        <x:v>72.5</x:v>
      </x:c>
      <x:c r="O219" s="69" t="str"/>
    </x:row>
    <x:row r="220" ht="21" customHeight="1">
      <x:c r="A220" s="100" t="n">
        <x:v>216</x:v>
      </x:c>
      <x:c r="B220" s="172" t="n">
        <x:v>95311003450</x:v>
      </x:c>
      <x:c r="C220" s="68" t="str">
        <x:v>ĐỖ THỊ MỘNG THƯ</x:v>
      </x:c>
      <x:c r="D220" s="106" t="str">
        <x:v>X</x:v>
      </x:c>
      <x:c r="E220" s="118" t="n">
        <x:v>40792</x:v>
      </x:c>
      <x:c r="F220" s="106" t="str">
        <x:v>Kinh</x:v>
      </x:c>
      <x:c r="G220" s="68" t="str">
        <x:v>Xã Phước Long</x:v>
      </x:c>
      <x:c r="H220" s="68" t="str">
        <x:v>THCS Phước Long</x:v>
      </x:c>
      <x:c r="I220" s="68" t="str">
        <x:v>Xã Phước Long</x:v>
      </x:c>
      <x:c r="J220" s="124" t="n">
        <x:v>33.4</x:v>
      </x:c>
      <x:c r="K220" s="130" t="n">
        <x:v>39</x:v>
      </x:c>
      <x:c r="L220" s="124"/>
      <x:c r="M220" s="124"/>
      <x:c r="N220" s="124" t="n">
        <x:v>72.4</x:v>
      </x:c>
      <x:c r="O220" s="69" t="str"/>
    </x:row>
    <x:row r="221" ht="21" customHeight="1">
      <x:c r="A221" s="100" t="n">
        <x:v>217</x:v>
      </x:c>
      <x:c r="B221" s="172" t="n">
        <x:v>95311001387</x:v>
      </x:c>
      <x:c r="C221" s="68" t="str">
        <x:v>NGUYỄN PHAN THỦY TRANG</x:v>
      </x:c>
      <x:c r="D221" s="106" t="str">
        <x:v>X</x:v>
      </x:c>
      <x:c r="E221" s="118" t="n">
        <x:v>40892</x:v>
      </x:c>
      <x:c r="F221" s="106" t="str">
        <x:v>Kinh</x:v>
      </x:c>
      <x:c r="G221" s="68" t="str">
        <x:v>Xã Vĩnh Phước</x:v>
      </x:c>
      <x:c r="H221" s="68" t="str">
        <x:v>THCS Vĩnh Phú Tây</x:v>
      </x:c>
      <x:c r="I221" s="68" t="str">
        <x:v>Xã Vĩnh Phước</x:v>
      </x:c>
      <x:c r="J221" s="124" t="n">
        <x:v>33.4</x:v>
      </x:c>
      <x:c r="K221" s="130" t="n">
        <x:v>38</x:v>
      </x:c>
      <x:c r="L221" s="124" t="n">
        <x:v>1</x:v>
      </x:c>
      <x:c r="M221" s="124"/>
      <x:c r="N221" s="124" t="n">
        <x:v>72.4</x:v>
      </x:c>
      <x:c r="O221" s="69" t="str"/>
    </x:row>
    <x:row r="222" ht="21" customHeight="1">
      <x:c r="A222" s="100" t="n">
        <x:v>218</x:v>
      </x:c>
      <x:c r="B222" s="172" t="n">
        <x:v>95311007856</x:v>
      </x:c>
      <x:c r="C222" s="68" t="str">
        <x:v>TRẦN THỊ KỲ THƯ</x:v>
      </x:c>
      <x:c r="D222" s="106" t="str">
        <x:v>X</x:v>
      </x:c>
      <x:c r="E222" s="118" t="n">
        <x:v>40824</x:v>
      </x:c>
      <x:c r="F222" s="106" t="str">
        <x:v>Kinh</x:v>
      </x:c>
      <x:c r="G222" s="68" t="str">
        <x:v>Xã Vĩnh Thanh</x:v>
      </x:c>
      <x:c r="H222" s="68" t="str">
        <x:v>THCS Hưng Phú</x:v>
      </x:c>
      <x:c r="I222" s="68" t="str">
        <x:v>Xã Vĩnh Thanh</x:v>
      </x:c>
      <x:c r="J222" s="124" t="n">
        <x:v>34.4</x:v>
      </x:c>
      <x:c r="K222" s="130" t="n">
        <x:v>38</x:v>
      </x:c>
      <x:c r="L222" s="124"/>
      <x:c r="M222" s="124"/>
      <x:c r="N222" s="124" t="n">
        <x:v>72.4</x:v>
      </x:c>
      <x:c r="O222" s="69" t="str"/>
    </x:row>
    <x:row r="223" ht="21" customHeight="1">
      <x:c r="A223" s="100" t="n">
        <x:v>219</x:v>
      </x:c>
      <x:c r="B223" s="172" t="n">
        <x:v>95311009958</x:v>
      </x:c>
      <x:c r="C223" s="68" t="str">
        <x:v>VÕ THỊ NGỌC DUYÊN</x:v>
      </x:c>
      <x:c r="D223" s="106" t="str">
        <x:v>X</x:v>
      </x:c>
      <x:c r="E223" s="118" t="n">
        <x:v>40634</x:v>
      </x:c>
      <x:c r="F223" s="106" t="str">
        <x:v>Kinh</x:v>
      </x:c>
      <x:c r="G223" s="68" t="str">
        <x:v>Xã Phước Long</x:v>
      </x:c>
      <x:c r="H223" s="68" t="str">
        <x:v>THCS Vĩnh Thanh</x:v>
      </x:c>
      <x:c r="I223" s="68" t="str">
        <x:v>Xã Vĩnh Thanh</x:v>
      </x:c>
      <x:c r="J223" s="124" t="n">
        <x:v>34.4</x:v>
      </x:c>
      <x:c r="K223" s="130" t="n">
        <x:v>38</x:v>
      </x:c>
      <x:c r="L223" s="124"/>
      <x:c r="M223" s="124"/>
      <x:c r="N223" s="124" t="n">
        <x:v>72.4</x:v>
      </x:c>
      <x:c r="O223" s="69" t="str"/>
    </x:row>
    <x:row r="224" ht="21" customHeight="1">
      <x:c r="A224" s="100" t="n">
        <x:v>220</x:v>
      </x:c>
      <x:c r="B224" s="172" t="n">
        <x:v>95311005409</x:v>
      </x:c>
      <x:c r="C224" s="68" t="str">
        <x:v>TRẦN THỊ CHÚC</x:v>
      </x:c>
      <x:c r="D224" s="106" t="str">
        <x:v>X</x:v>
      </x:c>
      <x:c r="E224" s="118" t="n">
        <x:v>40554</x:v>
      </x:c>
      <x:c r="F224" s="106" t="str">
        <x:v>Kinh</x:v>
      </x:c>
      <x:c r="G224" s="68" t="str">
        <x:v>Xã Vĩnh Thanh</x:v>
      </x:c>
      <x:c r="H224" s="68" t="str">
        <x:v>THCS Vĩnh Thanh</x:v>
      </x:c>
      <x:c r="I224" s="68" t="str">
        <x:v>Xã Vĩnh Thanh</x:v>
      </x:c>
      <x:c r="J224" s="124" t="n">
        <x:v>33.4</x:v>
      </x:c>
      <x:c r="K224" s="130" t="n">
        <x:v>39</x:v>
      </x:c>
      <x:c r="L224" s="124"/>
      <x:c r="M224" s="124"/>
      <x:c r="N224" s="124" t="n">
        <x:v>72.4</x:v>
      </x:c>
      <x:c r="O224" s="69" t="str"/>
    </x:row>
    <x:row r="225" ht="21" customHeight="1">
      <x:c r="A225" s="100" t="n">
        <x:v>221</x:v>
      </x:c>
      <x:c r="B225" s="172" t="n">
        <x:v>95211008056</x:v>
      </x:c>
      <x:c r="C225" s="68" t="str">
        <x:v>HUỲNH DUY PHƯƠNG</x:v>
      </x:c>
      <x:c r="D225" s="106" t="str"/>
      <x:c r="E225" s="118" t="n">
        <x:v>40671</x:v>
      </x:c>
      <x:c r="F225" s="106" t="str">
        <x:v>Kinh</x:v>
      </x:c>
      <x:c r="G225" s="68" t="str">
        <x:v>Xã Vĩnh Thanh</x:v>
      </x:c>
      <x:c r="H225" s="68" t="str">
        <x:v>THCS Vĩnh Thanh</x:v>
      </x:c>
      <x:c r="I225" s="68" t="str">
        <x:v>Xã Vĩnh Thanh</x:v>
      </x:c>
      <x:c r="J225" s="124" t="n">
        <x:v>33.4</x:v>
      </x:c>
      <x:c r="K225" s="130" t="n">
        <x:v>39</x:v>
      </x:c>
      <x:c r="L225" s="124"/>
      <x:c r="M225" s="124"/>
      <x:c r="N225" s="124" t="n">
        <x:v>72.4</x:v>
      </x:c>
      <x:c r="O225" s="69" t="str"/>
    </x:row>
    <x:row r="226" ht="21" customHeight="1">
      <x:c r="A226" s="100" t="n">
        <x:v>222</x:v>
      </x:c>
      <x:c r="B226" s="172" t="n">
        <x:v>95211006694</x:v>
      </x:c>
      <x:c r="C226" s="68" t="str">
        <x:v>DIỆP LÂM CHÍ VY</x:v>
      </x:c>
      <x:c r="D226" s="106" t="str"/>
      <x:c r="E226" s="118" t="n">
        <x:v>40861</x:v>
      </x:c>
      <x:c r="F226" s="106" t="str">
        <x:v>Kinh</x:v>
      </x:c>
      <x:c r="G226" s="68" t="str">
        <x:v>Xã Phước Long</x:v>
      </x:c>
      <x:c r="H226" s="68" t="str">
        <x:v>THCS Vương Hữu Nhơn</x:v>
      </x:c>
      <x:c r="I226" s="68" t="str">
        <x:v>Xã Phước Long</x:v>
      </x:c>
      <x:c r="J226" s="124" t="n">
        <x:v>33.4</x:v>
      </x:c>
      <x:c r="K226" s="130" t="n">
        <x:v>39</x:v>
      </x:c>
      <x:c r="L226" s="124"/>
      <x:c r="M226" s="124"/>
      <x:c r="N226" s="124" t="n">
        <x:v>72.4</x:v>
      </x:c>
      <x:c r="O226" s="69" t="str"/>
    </x:row>
    <x:row r="227" ht="21" customHeight="1">
      <x:c r="A227" s="100" t="n">
        <x:v>223</x:v>
      </x:c>
      <x:c r="B227" s="172" t="n">
        <x:v>95311002757</x:v>
      </x:c>
      <x:c r="C227" s="68" t="str">
        <x:v>PHẠM HUỲNH NHƯ</x:v>
      </x:c>
      <x:c r="D227" s="106" t="str">
        <x:v>X</x:v>
      </x:c>
      <x:c r="E227" s="118" t="n">
        <x:v>40602</x:v>
      </x:c>
      <x:c r="F227" s="106" t="str">
        <x:v>Kinh</x:v>
      </x:c>
      <x:c r="G227" s="68" t="str">
        <x:v>Xã Phước Long</x:v>
      </x:c>
      <x:c r="H227" s="68" t="str">
        <x:v>THCS Phước Long</x:v>
      </x:c>
      <x:c r="I227" s="68" t="str">
        <x:v>Xã Phước Long</x:v>
      </x:c>
      <x:c r="J227" s="124" t="n">
        <x:v>33.3</x:v>
      </x:c>
      <x:c r="K227" s="130" t="n">
        <x:v>39</x:v>
      </x:c>
      <x:c r="L227" s="124"/>
      <x:c r="M227" s="124"/>
      <x:c r="N227" s="124" t="n">
        <x:v>72.3</x:v>
      </x:c>
      <x:c r="O227" s="69" t="str"/>
    </x:row>
    <x:row r="228" ht="21" customHeight="1">
      <x:c r="A228" s="100" t="n">
        <x:v>224</x:v>
      </x:c>
      <x:c r="B228" s="172" t="n">
        <x:v>95211004591</x:v>
      </x:c>
      <x:c r="C228" s="68" t="str">
        <x:v>NGUYỄN ANH KHOA</x:v>
      </x:c>
      <x:c r="D228" s="106" t="str"/>
      <x:c r="E228" s="118" t="n">
        <x:v>40804</x:v>
      </x:c>
      <x:c r="F228" s="106" t="str">
        <x:v>Kinh</x:v>
      </x:c>
      <x:c r="G228" s="68" t="str">
        <x:v>Xã Phước Long</x:v>
      </x:c>
      <x:c r="H228" s="68" t="str">
        <x:v>THCS Phước Long</x:v>
      </x:c>
      <x:c r="I228" s="68" t="str">
        <x:v>Xã Phước Long</x:v>
      </x:c>
      <x:c r="J228" s="124" t="n">
        <x:v>33.3</x:v>
      </x:c>
      <x:c r="K228" s="130" t="n">
        <x:v>39</x:v>
      </x:c>
      <x:c r="L228" s="124"/>
      <x:c r="M228" s="124"/>
      <x:c r="N228" s="124" t="n">
        <x:v>72.3</x:v>
      </x:c>
      <x:c r="O228" s="69" t="str"/>
    </x:row>
    <x:row r="229" ht="21" customHeight="1">
      <x:c r="A229" s="100" t="n">
        <x:v>225</x:v>
      </x:c>
      <x:c r="B229" s="172" t="n">
        <x:v>95311008254</x:v>
      </x:c>
      <x:c r="C229" s="68" t="str">
        <x:v>VÕ NHƯ QUỲNH</x:v>
      </x:c>
      <x:c r="D229" s="106" t="str">
        <x:v>X</x:v>
      </x:c>
      <x:c r="E229" s="118" t="n">
        <x:v>40730</x:v>
      </x:c>
      <x:c r="F229" s="106" t="str">
        <x:v>Kinh</x:v>
      </x:c>
      <x:c r="G229" s="68" t="str">
        <x:v>Xã Phước Long</x:v>
      </x:c>
      <x:c r="H229" s="68" t="str">
        <x:v>THCS Phước Long</x:v>
      </x:c>
      <x:c r="I229" s="68" t="str">
        <x:v>Xã Phước Long</x:v>
      </x:c>
      <x:c r="J229" s="124" t="n">
        <x:v>33.3</x:v>
      </x:c>
      <x:c r="K229" s="130" t="n">
        <x:v>39</x:v>
      </x:c>
      <x:c r="L229" s="124"/>
      <x:c r="M229" s="124"/>
      <x:c r="N229" s="124" t="n">
        <x:v>72.3</x:v>
      </x:c>
      <x:c r="O229" s="69" t="str"/>
    </x:row>
    <x:row r="230" ht="21" customHeight="1">
      <x:c r="A230" s="100" t="n">
        <x:v>226</x:v>
      </x:c>
      <x:c r="B230" s="172" t="n">
        <x:v>95311007206</x:v>
      </x:c>
      <x:c r="C230" s="68" t="str">
        <x:v>PHAN THỊ TUYẾT NHƯ</x:v>
      </x:c>
      <x:c r="D230" s="106" t="str">
        <x:v>X</x:v>
      </x:c>
      <x:c r="E230" s="118" t="n">
        <x:v>40809</x:v>
      </x:c>
      <x:c r="F230" s="106" t="str">
        <x:v>Kinh</x:v>
      </x:c>
      <x:c r="G230" s="68" t="str">
        <x:v>Xã Vĩnh Thanh</x:v>
      </x:c>
      <x:c r="H230" s="68" t="str">
        <x:v>THCS Hưng Phú</x:v>
      </x:c>
      <x:c r="I230" s="68" t="str">
        <x:v>Xã Vĩnh Thanh</x:v>
      </x:c>
      <x:c r="J230" s="124" t="n">
        <x:v>33.3</x:v>
      </x:c>
      <x:c r="K230" s="130" t="n">
        <x:v>39</x:v>
      </x:c>
      <x:c r="L230" s="124"/>
      <x:c r="M230" s="124"/>
      <x:c r="N230" s="124" t="n">
        <x:v>72.3</x:v>
      </x:c>
      <x:c r="O230" s="69" t="str"/>
    </x:row>
    <x:row r="231" ht="21" customHeight="1">
      <x:c r="A231" s="100" t="n">
        <x:v>227</x:v>
      </x:c>
      <x:c r="B231" s="172" t="n">
        <x:v>95211001449</x:v>
      </x:c>
      <x:c r="C231" s="68" t="str">
        <x:v>VŨ NHẬT TÂN</x:v>
      </x:c>
      <x:c r="D231" s="106" t="str"/>
      <x:c r="E231" s="118" t="n">
        <x:v>40810</x:v>
      </x:c>
      <x:c r="F231" s="106" t="str">
        <x:v>Kinh</x:v>
      </x:c>
      <x:c r="G231" s="68" t="str">
        <x:v>Xã Vĩnh Thanh</x:v>
      </x:c>
      <x:c r="H231" s="68" t="str">
        <x:v>THCS Hưng Phú</x:v>
      </x:c>
      <x:c r="I231" s="68" t="str">
        <x:v>Xã Vĩnh Thanh</x:v>
      </x:c>
      <x:c r="J231" s="124" t="n">
        <x:v>33.2</x:v>
      </x:c>
      <x:c r="K231" s="130" t="n">
        <x:v>39</x:v>
      </x:c>
      <x:c r="L231" s="124"/>
      <x:c r="M231" s="124"/>
      <x:c r="N231" s="124" t="n">
        <x:v>72.2</x:v>
      </x:c>
      <x:c r="O231" s="69" t="str"/>
    </x:row>
    <x:row r="232" ht="21" customHeight="1">
      <x:c r="A232" s="100" t="n">
        <x:v>228</x:v>
      </x:c>
      <x:c r="B232" s="172" t="n">
        <x:v>95311007343</x:v>
      </x:c>
      <x:c r="C232" s="68" t="str">
        <x:v>ĐÀO THỊ MỘNG NGHI</x:v>
      </x:c>
      <x:c r="D232" s="106" t="str">
        <x:v>X</x:v>
      </x:c>
      <x:c r="E232" s="118" t="n">
        <x:v>40793</x:v>
      </x:c>
      <x:c r="F232" s="106" t="str">
        <x:v>Kinh</x:v>
      </x:c>
      <x:c r="G232" s="68" t="str">
        <x:v>Xã Hồng Dân</x:v>
      </x:c>
      <x:c r="H232" s="68" t="str">
        <x:v>THCS Phước Long</x:v>
      </x:c>
      <x:c r="I232" s="68" t="str">
        <x:v>Xã Vĩnh Phước</x:v>
      </x:c>
      <x:c r="J232" s="124" t="n">
        <x:v>34.2</x:v>
      </x:c>
      <x:c r="K232" s="130" t="n">
        <x:v>38</x:v>
      </x:c>
      <x:c r="L232" s="124"/>
      <x:c r="M232" s="124"/>
      <x:c r="N232" s="124" t="n">
        <x:v>72.2</x:v>
      </x:c>
      <x:c r="O232" s="69" t="str"/>
    </x:row>
    <x:row r="233" ht="21" customHeight="1">
      <x:c r="A233" s="100" t="n">
        <x:v>229</x:v>
      </x:c>
      <x:c r="B233" s="172" t="n">
        <x:v>95311006846</x:v>
      </x:c>
      <x:c r="C233" s="68" t="str">
        <x:v>DƯƠNG THỊ CẨM THẢO</x:v>
      </x:c>
      <x:c r="D233" s="106" t="str">
        <x:v>X</x:v>
      </x:c>
      <x:c r="E233" s="118" t="n">
        <x:v>40816</x:v>
      </x:c>
      <x:c r="F233" s="106" t="str">
        <x:v>Kinh</x:v>
      </x:c>
      <x:c r="G233" s="68" t="str">
        <x:v>Xã Ninh Thạnh Lợi</x:v>
      </x:c>
      <x:c r="H233" s="68" t="str">
        <x:v>THCS Phước Long</x:v>
      </x:c>
      <x:c r="I233" s="68" t="str">
        <x:v>Xã Vĩnh Phước</x:v>
      </x:c>
      <x:c r="J233" s="124" t="n">
        <x:v>33.1</x:v>
      </x:c>
      <x:c r="K233" s="130" t="n">
        <x:v>38</x:v>
      </x:c>
      <x:c r="L233" s="124" t="n">
        <x:v>1</x:v>
      </x:c>
      <x:c r="M233" s="124"/>
      <x:c r="N233" s="124" t="n">
        <x:v>72.1</x:v>
      </x:c>
      <x:c r="O233" s="69" t="str"/>
    </x:row>
    <x:row r="234" ht="21" customHeight="1">
      <x:c r="A234" s="100" t="n">
        <x:v>230</x:v>
      </x:c>
      <x:c r="B234" s="172" t="n">
        <x:v>95311003451</x:v>
      </x:c>
      <x:c r="C234" s="68" t="str">
        <x:v>NGUYỄN KHÁNH NGỌC</x:v>
      </x:c>
      <x:c r="D234" s="106" t="str">
        <x:v>X</x:v>
      </x:c>
      <x:c r="E234" s="118" t="n">
        <x:v>40765</x:v>
      </x:c>
      <x:c r="F234" s="106" t="str">
        <x:v>Kinh</x:v>
      </x:c>
      <x:c r="G234" s="68" t="str">
        <x:v>Xã Phước Long</x:v>
      </x:c>
      <x:c r="H234" s="68" t="str">
        <x:v>THCS Trương Vĩnh Ký</x:v>
      </x:c>
      <x:c r="I234" s="68" t="str">
        <x:v>Xã Hồng Dân</x:v>
      </x:c>
      <x:c r="J234" s="124" t="n">
        <x:v>33.1</x:v>
      </x:c>
      <x:c r="K234" s="130" t="n">
        <x:v>39</x:v>
      </x:c>
      <x:c r="L234" s="124"/>
      <x:c r="M234" s="124"/>
      <x:c r="N234" s="124" t="n">
        <x:v>72.1</x:v>
      </x:c>
      <x:c r="O234" s="69" t="str"/>
    </x:row>
    <x:row r="235" ht="21" customHeight="1">
      <x:c r="A235" s="100" t="n">
        <x:v>231</x:v>
      </x:c>
      <x:c r="B235" s="172" t="n">
        <x:v>95211003290</x:v>
      </x:c>
      <x:c r="C235" s="68" t="str">
        <x:v>LÊ ANH KHOA</x:v>
      </x:c>
      <x:c r="D235" s="106" t="str"/>
      <x:c r="E235" s="118" t="n">
        <x:v>40617</x:v>
      </x:c>
      <x:c r="F235" s="106" t="str">
        <x:v>Kinh</x:v>
      </x:c>
      <x:c r="G235" s="68" t="str">
        <x:v>Xã Phước Long</x:v>
      </x:c>
      <x:c r="H235" s="68" t="str">
        <x:v>THCS Phước Long</x:v>
      </x:c>
      <x:c r="I235" s="68" t="str">
        <x:v>Xã Phước Long</x:v>
      </x:c>
      <x:c r="J235" s="124" t="n">
        <x:v>34</x:v>
      </x:c>
      <x:c r="K235" s="130" t="n">
        <x:v>38</x:v>
      </x:c>
      <x:c r="L235" s="124"/>
      <x:c r="M235" s="124"/>
      <x:c r="N235" s="124" t="n">
        <x:v>72</x:v>
      </x:c>
      <x:c r="O235" s="69" t="str"/>
    </x:row>
    <x:row r="236" ht="21" customHeight="1">
      <x:c r="A236" s="100" t="n">
        <x:v>232</x:v>
      </x:c>
      <x:c r="B236" s="172" t="n">
        <x:v>95311010888</x:v>
      </x:c>
      <x:c r="C236" s="68" t="str">
        <x:v>NGUYỄN THỊ ANH THƯ</x:v>
      </x:c>
      <x:c r="D236" s="106" t="str">
        <x:v>X</x:v>
      </x:c>
      <x:c r="E236" s="118" t="n">
        <x:v>40708</x:v>
      </x:c>
      <x:c r="F236" s="106" t="str">
        <x:v>Kinh</x:v>
      </x:c>
      <x:c r="G236" s="68" t="str">
        <x:v>Xã Vĩnh Phước</x:v>
      </x:c>
      <x:c r="H236" s="68" t="str">
        <x:v>THCS Vĩnh Phú Tây</x:v>
      </x:c>
      <x:c r="I236" s="68" t="str">
        <x:v>Xã Vĩnh Phước</x:v>
      </x:c>
      <x:c r="J236" s="124" t="n">
        <x:v>33</x:v>
      </x:c>
      <x:c r="K236" s="130" t="n">
        <x:v>38</x:v>
      </x:c>
      <x:c r="L236" s="124" t="n">
        <x:v>1</x:v>
      </x:c>
      <x:c r="M236" s="124"/>
      <x:c r="N236" s="124" t="n">
        <x:v>72</x:v>
      </x:c>
      <x:c r="O236" s="69" t="str"/>
    </x:row>
    <x:row r="237" ht="21" customHeight="1">
      <x:c r="A237" s="100" t="n">
        <x:v>233</x:v>
      </x:c>
      <x:c r="B237" s="172" t="n">
        <x:v>95311007151</x:v>
      </x:c>
      <x:c r="C237" s="68" t="str">
        <x:v>HUỲNH TRANG</x:v>
      </x:c>
      <x:c r="D237" s="106" t="str">
        <x:v>X</x:v>
      </x:c>
      <x:c r="E237" s="118" t="n">
        <x:v>40675</x:v>
      </x:c>
      <x:c r="F237" s="106" t="str">
        <x:v>Kinh</x:v>
      </x:c>
      <x:c r="G237" s="68" t="str">
        <x:v>Xã Phước Long</x:v>
      </x:c>
      <x:c r="H237" s="68" t="str">
        <x:v>THCS Vương Hữu Nhơn</x:v>
      </x:c>
      <x:c r="I237" s="68" t="str">
        <x:v>Xã Phước Long</x:v>
      </x:c>
      <x:c r="J237" s="124" t="n">
        <x:v>33</x:v>
      </x:c>
      <x:c r="K237" s="130" t="n">
        <x:v>39</x:v>
      </x:c>
      <x:c r="L237" s="124"/>
      <x:c r="M237" s="124"/>
      <x:c r="N237" s="124" t="n">
        <x:v>72</x:v>
      </x:c>
      <x:c r="O237" s="69" t="str"/>
    </x:row>
    <x:row r="238" ht="21" customHeight="1">
      <x:c r="A238" s="100" t="n">
        <x:v>234</x:v>
      </x:c>
      <x:c r="B238" s="172" t="n">
        <x:v>95311002685</x:v>
      </x:c>
      <x:c r="C238" s="68" t="str">
        <x:v>TRƯƠNG THỊ KHÁNH BĂNG</x:v>
      </x:c>
      <x:c r="D238" s="106" t="str">
        <x:v>X</x:v>
      </x:c>
      <x:c r="E238" s="118" t="n">
        <x:v>40725</x:v>
      </x:c>
      <x:c r="F238" s="106" t="str">
        <x:v>Kinh</x:v>
      </x:c>
      <x:c r="G238" s="68" t="str">
        <x:v>Xã Vĩnh Phước</x:v>
      </x:c>
      <x:c r="H238" s="68" t="str">
        <x:v>THCS Vĩnh Phú Tây</x:v>
      </x:c>
      <x:c r="I238" s="68" t="str">
        <x:v>Xã Vĩnh Phước</x:v>
      </x:c>
      <x:c r="J238" s="124" t="n">
        <x:v>32.9</x:v>
      </x:c>
      <x:c r="K238" s="130" t="n">
        <x:v>38</x:v>
      </x:c>
      <x:c r="L238" s="124" t="n">
        <x:v>1</x:v>
      </x:c>
      <x:c r="M238" s="124"/>
      <x:c r="N238" s="124" t="n">
        <x:v>71.9</x:v>
      </x:c>
      <x:c r="O238" s="69" t="str"/>
    </x:row>
    <x:row r="239" ht="21" customHeight="1">
      <x:c r="A239" s="100" t="n">
        <x:v>235</x:v>
      </x:c>
      <x:c r="B239" s="172" t="n">
        <x:v>95311006886</x:v>
      </x:c>
      <x:c r="C239" s="68" t="str">
        <x:v>QUÁCH KHẢ VY</x:v>
      </x:c>
      <x:c r="D239" s="106" t="str">
        <x:v>X</x:v>
      </x:c>
      <x:c r="E239" s="118" t="n">
        <x:v>40549</x:v>
      </x:c>
      <x:c r="F239" s="106" t="str">
        <x:v>Kinh</x:v>
      </x:c>
      <x:c r="G239" s="68" t="str">
        <x:v>Xã Vĩnh Phước</x:v>
      </x:c>
      <x:c r="H239" s="68" t="str">
        <x:v>THCS Vĩnh Phú Tây</x:v>
      </x:c>
      <x:c r="I239" s="68" t="str">
        <x:v>Xã Vĩnh Phước</x:v>
      </x:c>
      <x:c r="J239" s="124" t="n">
        <x:v>33.9</x:v>
      </x:c>
      <x:c r="K239" s="130" t="n">
        <x:v>38</x:v>
      </x:c>
      <x:c r="L239" s="124"/>
      <x:c r="M239" s="124"/>
      <x:c r="N239" s="124" t="n">
        <x:v>71.9</x:v>
      </x:c>
      <x:c r="O239" s="69" t="str"/>
    </x:row>
    <x:row r="240" ht="21" customHeight="1">
      <x:c r="A240" s="100" t="n">
        <x:v>236</x:v>
      </x:c>
      <x:c r="B240" s="172" t="n">
        <x:v>95311006536</x:v>
      </x:c>
      <x:c r="C240" s="68" t="str">
        <x:v>TRẦN THỊ NGỌC YẾN</x:v>
      </x:c>
      <x:c r="D240" s="106" t="str">
        <x:v>X</x:v>
      </x:c>
      <x:c r="E240" s="118" t="n">
        <x:v>40616</x:v>
      </x:c>
      <x:c r="F240" s="106" t="str">
        <x:v>Kinh</x:v>
      </x:c>
      <x:c r="G240" s="68" t="str">
        <x:v>Xã Vĩnh Thanh</x:v>
      </x:c>
      <x:c r="H240" s="68" t="str">
        <x:v>THCS Hưng Phú</x:v>
      </x:c>
      <x:c r="I240" s="68" t="str">
        <x:v>Xã Vĩnh Thanh</x:v>
      </x:c>
      <x:c r="J240" s="124" t="n">
        <x:v>33.9</x:v>
      </x:c>
      <x:c r="K240" s="130" t="n">
        <x:v>38</x:v>
      </x:c>
      <x:c r="L240" s="124"/>
      <x:c r="M240" s="124"/>
      <x:c r="N240" s="124" t="n">
        <x:v>71.9</x:v>
      </x:c>
      <x:c r="O240" s="69" t="str"/>
    </x:row>
    <x:row r="241" ht="21" customHeight="1">
      <x:c r="A241" s="100" t="n">
        <x:v>237</x:v>
      </x:c>
      <x:c r="B241" s="172" t="n">
        <x:v>95311005002</x:v>
      </x:c>
      <x:c r="C241" s="68" t="str">
        <x:v>NGUYỄN THỊ THÚY HẰNG</x:v>
      </x:c>
      <x:c r="D241" s="106" t="str">
        <x:v>X</x:v>
      </x:c>
      <x:c r="E241" s="118" t="n">
        <x:v>40624</x:v>
      </x:c>
      <x:c r="F241" s="106" t="str">
        <x:v>Kinh</x:v>
      </x:c>
      <x:c r="G241" s="68" t="str">
        <x:v>Xã Phước Long</x:v>
      </x:c>
      <x:c r="H241" s="68" t="str">
        <x:v>THCS Phước Long</x:v>
      </x:c>
      <x:c r="I241" s="68" t="str">
        <x:v>Xã Phước Long</x:v>
      </x:c>
      <x:c r="J241" s="124" t="n">
        <x:v>33.9</x:v>
      </x:c>
      <x:c r="K241" s="130" t="n">
        <x:v>38</x:v>
      </x:c>
      <x:c r="L241" s="124"/>
      <x:c r="M241" s="124"/>
      <x:c r="N241" s="124" t="n">
        <x:v>71.9</x:v>
      </x:c>
      <x:c r="O241" s="69" t="str"/>
    </x:row>
    <x:row r="242" ht="21" customHeight="1">
      <x:c r="A242" s="100" t="n">
        <x:v>238</x:v>
      </x:c>
      <x:c r="B242" s="172" t="n">
        <x:v>95311006891</x:v>
      </x:c>
      <x:c r="C242" s="68" t="str">
        <x:v>PHAN UYỂN NHI</x:v>
      </x:c>
      <x:c r="D242" s="106" t="str">
        <x:v>X</x:v>
      </x:c>
      <x:c r="E242" s="118" t="n">
        <x:v>40857</x:v>
      </x:c>
      <x:c r="F242" s="106" t="str">
        <x:v>Kinh</x:v>
      </x:c>
      <x:c r="G242" s="68" t="str">
        <x:v>Xã Phước Long</x:v>
      </x:c>
      <x:c r="H242" s="68" t="str">
        <x:v>THCS Phước Long</x:v>
      </x:c>
      <x:c r="I242" s="68" t="str">
        <x:v>Xã Phước Long</x:v>
      </x:c>
      <x:c r="J242" s="124" t="n">
        <x:v>33.8</x:v>
      </x:c>
      <x:c r="K242" s="130" t="n">
        <x:v>38</x:v>
      </x:c>
      <x:c r="L242" s="124"/>
      <x:c r="M242" s="124"/>
      <x:c r="N242" s="124" t="n">
        <x:v>71.8</x:v>
      </x:c>
      <x:c r="O242" s="69" t="str"/>
    </x:row>
    <x:row r="243" ht="21" customHeight="1">
      <x:c r="A243" s="100" t="n">
        <x:v>239</x:v>
      </x:c>
      <x:c r="B243" s="172" t="n">
        <x:v>95311009997</x:v>
      </x:c>
      <x:c r="C243" s="68" t="str">
        <x:v>TRƯƠNG BẢO NGỌC</x:v>
      </x:c>
      <x:c r="D243" s="106" t="str">
        <x:v>X</x:v>
      </x:c>
      <x:c r="E243" s="118" t="n">
        <x:v>40749</x:v>
      </x:c>
      <x:c r="F243" s="106" t="str">
        <x:v>Kinh</x:v>
      </x:c>
      <x:c r="G243" s="68" t="str">
        <x:v>Xã Hồng Dân</x:v>
      </x:c>
      <x:c r="H243" s="68" t="str">
        <x:v>THCS Phước Long</x:v>
      </x:c>
      <x:c r="I243" s="68" t="str">
        <x:v>Xã Vĩnh Phước</x:v>
      </x:c>
      <x:c r="J243" s="124" t="n">
        <x:v>33.8</x:v>
      </x:c>
      <x:c r="K243" s="130" t="n">
        <x:v>38</x:v>
      </x:c>
      <x:c r="L243" s="124"/>
      <x:c r="M243" s="124"/>
      <x:c r="N243" s="124" t="n">
        <x:v>71.8</x:v>
      </x:c>
      <x:c r="O243" s="69" t="str"/>
    </x:row>
    <x:row r="244" ht="21" customHeight="1">
      <x:c r="A244" s="100" t="n">
        <x:v>240</x:v>
      </x:c>
      <x:c r="B244" s="172" t="n">
        <x:v>95211003439</x:v>
      </x:c>
      <x:c r="C244" s="68" t="str">
        <x:v>NGUYỄN QUANG MINH</x:v>
      </x:c>
      <x:c r="D244" s="106" t="str"/>
      <x:c r="E244" s="118" t="n">
        <x:v>40617</x:v>
      </x:c>
      <x:c r="F244" s="106" t="str">
        <x:v>Kinh</x:v>
      </x:c>
      <x:c r="G244" s="68" t="str">
        <x:v>Xã Phước Long</x:v>
      </x:c>
      <x:c r="H244" s="68" t="str">
        <x:v>THCS Phước Long</x:v>
      </x:c>
      <x:c r="I244" s="68" t="str">
        <x:v>Xã Vĩnh Phước</x:v>
      </x:c>
      <x:c r="J244" s="124" t="n">
        <x:v>33.8</x:v>
      </x:c>
      <x:c r="K244" s="130" t="n">
        <x:v>38</x:v>
      </x:c>
      <x:c r="L244" s="124"/>
      <x:c r="M244" s="124"/>
      <x:c r="N244" s="124" t="n">
        <x:v>71.8</x:v>
      </x:c>
      <x:c r="O244" s="69" t="str"/>
    </x:row>
    <x:row r="245" ht="21" customHeight="1">
      <x:c r="A245" s="100" t="n">
        <x:v>241</x:v>
      </x:c>
      <x:c r="B245" s="172" t="n">
        <x:v>95211005864</x:v>
      </x:c>
      <x:c r="C245" s="68" t="str">
        <x:v>DUY TRẦN TUẦN KHANG</x:v>
      </x:c>
      <x:c r="D245" s="106" t="str"/>
      <x:c r="E245" s="118" t="n">
        <x:v>40780</x:v>
      </x:c>
      <x:c r="F245" s="106" t="str">
        <x:v>Khmer</x:v>
      </x:c>
      <x:c r="G245" s="68" t="str">
        <x:v>Xã Phước Long</x:v>
      </x:c>
      <x:c r="H245" s="68" t="str">
        <x:v>THCS Vương Hữu Nhơn</x:v>
      </x:c>
      <x:c r="I245" s="68" t="str">
        <x:v>Xã Phước Long</x:v>
      </x:c>
      <x:c r="J245" s="124" t="n">
        <x:v>32.8</x:v>
      </x:c>
      <x:c r="K245" s="130" t="n">
        <x:v>38</x:v>
      </x:c>
      <x:c r="L245" s="124" t="n">
        <x:v>1</x:v>
      </x:c>
      <x:c r="M245" s="124"/>
      <x:c r="N245" s="124" t="n">
        <x:v>71.8</x:v>
      </x:c>
      <x:c r="O245" s="69" t="str"/>
    </x:row>
    <x:row r="246" ht="21" customHeight="1">
      <x:c r="A246" s="100" t="n">
        <x:v>242</x:v>
      </x:c>
      <x:c r="B246" s="172" t="n">
        <x:v>95311003691</x:v>
      </x:c>
      <x:c r="C246" s="68" t="str">
        <x:v>PHẠM THỊ YẾN TRANG</x:v>
      </x:c>
      <x:c r="D246" s="106" t="str">
        <x:v>X</x:v>
      </x:c>
      <x:c r="E246" s="118" t="n">
        <x:v>40634</x:v>
      </x:c>
      <x:c r="F246" s="106" t="str">
        <x:v>Kinh</x:v>
      </x:c>
      <x:c r="G246" s="68" t="str">
        <x:v>Xã Phước Long</x:v>
      </x:c>
      <x:c r="H246" s="68" t="str">
        <x:v>THCS Phước Long</x:v>
      </x:c>
      <x:c r="I246" s="68" t="str">
        <x:v>Xã Phước Long</x:v>
      </x:c>
      <x:c r="J246" s="124" t="n">
        <x:v>33.7</x:v>
      </x:c>
      <x:c r="K246" s="130" t="n">
        <x:v>38</x:v>
      </x:c>
      <x:c r="L246" s="124"/>
      <x:c r="M246" s="124"/>
      <x:c r="N246" s="124" t="n">
        <x:v>71.7</x:v>
      </x:c>
      <x:c r="O246" s="69" t="str"/>
    </x:row>
    <x:row r="247" ht="21" customHeight="1">
      <x:c r="A247" s="100" t="n">
        <x:v>243</x:v>
      </x:c>
      <x:c r="B247" s="172" t="n">
        <x:v>95311005161</x:v>
      </x:c>
      <x:c r="C247" s="68" t="str">
        <x:v>NGUYỄN MINH THƯ</x:v>
      </x:c>
      <x:c r="D247" s="106" t="str">
        <x:v>X</x:v>
      </x:c>
      <x:c r="E247" s="118" t="n">
        <x:v>40859</x:v>
      </x:c>
      <x:c r="F247" s="106" t="str">
        <x:v>Kinh</x:v>
      </x:c>
      <x:c r="G247" s="68" t="str">
        <x:v>Xã Vĩnh Thanh</x:v>
      </x:c>
      <x:c r="H247" s="68" t="str">
        <x:v>THCS Hưng Phú</x:v>
      </x:c>
      <x:c r="I247" s="68" t="str">
        <x:v>Xã Vĩnh Thanh</x:v>
      </x:c>
      <x:c r="J247" s="124" t="n">
        <x:v>33.7</x:v>
      </x:c>
      <x:c r="K247" s="130" t="n">
        <x:v>38</x:v>
      </x:c>
      <x:c r="L247" s="124"/>
      <x:c r="M247" s="124"/>
      <x:c r="N247" s="124" t="n">
        <x:v>71.7</x:v>
      </x:c>
      <x:c r="O247" s="69" t="str"/>
    </x:row>
    <x:row r="248" ht="21" customHeight="1">
      <x:c r="A248" s="100" t="n">
        <x:v>244</x:v>
      </x:c>
      <x:c r="B248" s="172" t="n">
        <x:v>95211004562</x:v>
      </x:c>
      <x:c r="C248" s="68" t="str">
        <x:v>NGUYỄN PHƯỚC THỊNH</x:v>
      </x:c>
      <x:c r="D248" s="106" t="str"/>
      <x:c r="E248" s="118" t="n">
        <x:v>40625</x:v>
      </x:c>
      <x:c r="F248" s="106" t="str">
        <x:v>Kinh</x:v>
      </x:c>
      <x:c r="G248" s="68" t="str">
        <x:v>Xã Vĩnh Thanh</x:v>
      </x:c>
      <x:c r="H248" s="68" t="str">
        <x:v>THCS Hưng Phú</x:v>
      </x:c>
      <x:c r="I248" s="68" t="str">
        <x:v>Xã Vĩnh Thanh</x:v>
      </x:c>
      <x:c r="J248" s="124" t="n">
        <x:v>33.7</x:v>
      </x:c>
      <x:c r="K248" s="130" t="n">
        <x:v>38</x:v>
      </x:c>
      <x:c r="L248" s="124"/>
      <x:c r="M248" s="124"/>
      <x:c r="N248" s="124" t="n">
        <x:v>71.7</x:v>
      </x:c>
      <x:c r="O248" s="69" t="str"/>
    </x:row>
    <x:row r="249" ht="21" customHeight="1">
      <x:c r="A249" s="100" t="n">
        <x:v>245</x:v>
      </x:c>
      <x:c r="B249" s="172" t="n">
        <x:v>95311006987</x:v>
      </x:c>
      <x:c r="C249" s="68" t="str">
        <x:v>TRẦN THỊ MAI</x:v>
      </x:c>
      <x:c r="D249" s="106" t="str">
        <x:v>X</x:v>
      </x:c>
      <x:c r="E249" s="118" t="n">
        <x:v>40554</x:v>
      </x:c>
      <x:c r="F249" s="106" t="str">
        <x:v>Kinh</x:v>
      </x:c>
      <x:c r="G249" s="68" t="str">
        <x:v>Xã Vĩnh Thanh</x:v>
      </x:c>
      <x:c r="H249" s="68" t="str">
        <x:v>THCS Vĩnh Thanh</x:v>
      </x:c>
      <x:c r="I249" s="68" t="str">
        <x:v>Xã Vĩnh Thanh</x:v>
      </x:c>
      <x:c r="J249" s="124" t="n">
        <x:v>33.7</x:v>
      </x:c>
      <x:c r="K249" s="130" t="n">
        <x:v>38</x:v>
      </x:c>
      <x:c r="L249" s="124"/>
      <x:c r="M249" s="124"/>
      <x:c r="N249" s="124" t="n">
        <x:v>71.7</x:v>
      </x:c>
      <x:c r="O249" s="69" t="str"/>
    </x:row>
    <x:row r="250" ht="21" customHeight="1">
      <x:c r="A250" s="100" t="n">
        <x:v>246</x:v>
      </x:c>
      <x:c r="B250" s="172" t="n">
        <x:v>95211003803</x:v>
      </x:c>
      <x:c r="C250" s="68" t="str">
        <x:v>NGUYỄN MINH TỶ</x:v>
      </x:c>
      <x:c r="D250" s="106" t="str"/>
      <x:c r="E250" s="118" t="n">
        <x:v>40712</x:v>
      </x:c>
      <x:c r="F250" s="106" t="str">
        <x:v>Kinh</x:v>
      </x:c>
      <x:c r="G250" s="68" t="str">
        <x:v>Xã Phước Long</x:v>
      </x:c>
      <x:c r="H250" s="68" t="str">
        <x:v>THCS Vĩnh Thanh</x:v>
      </x:c>
      <x:c r="I250" s="68" t="str">
        <x:v>Xã Vĩnh Thanh</x:v>
      </x:c>
      <x:c r="J250" s="124" t="n">
        <x:v>33.7</x:v>
      </x:c>
      <x:c r="K250" s="130" t="n">
        <x:v>38</x:v>
      </x:c>
      <x:c r="L250" s="124"/>
      <x:c r="M250" s="124"/>
      <x:c r="N250" s="124" t="n">
        <x:v>71.7</x:v>
      </x:c>
      <x:c r="O250" s="69" t="str"/>
    </x:row>
    <x:row r="251" ht="21" customHeight="1">
      <x:c r="A251" s="100" t="n">
        <x:v>247</x:v>
      </x:c>
      <x:c r="B251" s="172" t="n">
        <x:v>95311009944</x:v>
      </x:c>
      <x:c r="C251" s="68" t="str">
        <x:v>LÊ THÚY AN</x:v>
      </x:c>
      <x:c r="D251" s="106" t="str">
        <x:v>X</x:v>
      </x:c>
      <x:c r="E251" s="118" t="n">
        <x:v>40813</x:v>
      </x:c>
      <x:c r="F251" s="106" t="str">
        <x:v>Kinh</x:v>
      </x:c>
      <x:c r="G251" s="68" t="str">
        <x:v>Xã Phước Long</x:v>
      </x:c>
      <x:c r="H251" s="68" t="str">
        <x:v>THCS Phước Long</x:v>
      </x:c>
      <x:c r="I251" s="68" t="str">
        <x:v>Xã Phước Long</x:v>
      </x:c>
      <x:c r="J251" s="124" t="n">
        <x:v>33.6</x:v>
      </x:c>
      <x:c r="K251" s="130" t="n">
        <x:v>38</x:v>
      </x:c>
      <x:c r="L251" s="124"/>
      <x:c r="M251" s="124"/>
      <x:c r="N251" s="124" t="n">
        <x:v>71.6</x:v>
      </x:c>
      <x:c r="O251" s="69" t="str"/>
    </x:row>
    <x:row r="252" ht="21" customHeight="1">
      <x:c r="A252" s="100" t="n">
        <x:v>248</x:v>
      </x:c>
      <x:c r="B252" s="172" t="n">
        <x:v>95311007780</x:v>
      </x:c>
      <x:c r="C252" s="68" t="str">
        <x:v>MAI VÂN ANH</x:v>
      </x:c>
      <x:c r="D252" s="106" t="str">
        <x:v>X</x:v>
      </x:c>
      <x:c r="E252" s="118" t="n">
        <x:v>40781</x:v>
      </x:c>
      <x:c r="F252" s="106" t="str">
        <x:v>Kinh</x:v>
      </x:c>
      <x:c r="G252" s="68" t="str">
        <x:v>Xã Vĩnh Thanh</x:v>
      </x:c>
      <x:c r="H252" s="68" t="str">
        <x:v>THCS Hưng Phú</x:v>
      </x:c>
      <x:c r="I252" s="68" t="str">
        <x:v>Xã Vĩnh Thanh</x:v>
      </x:c>
      <x:c r="J252" s="124" t="n">
        <x:v>33.6</x:v>
      </x:c>
      <x:c r="K252" s="130" t="n">
        <x:v>38</x:v>
      </x:c>
      <x:c r="L252" s="124"/>
      <x:c r="M252" s="124"/>
      <x:c r="N252" s="124" t="n">
        <x:v>71.6</x:v>
      </x:c>
      <x:c r="O252" s="69" t="str"/>
    </x:row>
    <x:row r="253" ht="21" customHeight="1">
      <x:c r="A253" s="100" t="n">
        <x:v>249</x:v>
      </x:c>
      <x:c r="B253" s="172" t="n">
        <x:v>95311009535</x:v>
      </x:c>
      <x:c r="C253" s="68" t="str">
        <x:v>NGUYỄN THỊ BẢO THỤY</x:v>
      </x:c>
      <x:c r="D253" s="106" t="str">
        <x:v>X</x:v>
      </x:c>
      <x:c r="E253" s="118" t="n">
        <x:v>40891</x:v>
      </x:c>
      <x:c r="F253" s="106" t="str">
        <x:v>Kinh</x:v>
      </x:c>
      <x:c r="G253" s="68" t="str">
        <x:v>Xã Vĩnh Thanh</x:v>
      </x:c>
      <x:c r="H253" s="68" t="str">
        <x:v>THCS Hưng Phú</x:v>
      </x:c>
      <x:c r="I253" s="68" t="str">
        <x:v>Xã Vĩnh Thanh</x:v>
      </x:c>
      <x:c r="J253" s="124" t="n">
        <x:v>33.6</x:v>
      </x:c>
      <x:c r="K253" s="130" t="n">
        <x:v>38</x:v>
      </x:c>
      <x:c r="L253" s="124"/>
      <x:c r="M253" s="124"/>
      <x:c r="N253" s="124" t="n">
        <x:v>71.6</x:v>
      </x:c>
      <x:c r="O253" s="69" t="str"/>
    </x:row>
    <x:row r="254" ht="21" customHeight="1">
      <x:c r="A254" s="100" t="n">
        <x:v>250</x:v>
      </x:c>
      <x:c r="B254" s="172" t="n">
        <x:v>95311002622</x:v>
      </x:c>
      <x:c r="C254" s="68" t="str">
        <x:v>ĐINH THỊ THÙY DƯƠNG</x:v>
      </x:c>
      <x:c r="D254" s="106" t="str">
        <x:v>X</x:v>
      </x:c>
      <x:c r="E254" s="118" t="n">
        <x:v>40695</x:v>
      </x:c>
      <x:c r="F254" s="106" t="str">
        <x:v>Kinh</x:v>
      </x:c>
      <x:c r="G254" s="68" t="str">
        <x:v>Xã Vĩnh Thanh</x:v>
      </x:c>
      <x:c r="H254" s="68" t="str">
        <x:v>THCS Vĩnh Thanh</x:v>
      </x:c>
      <x:c r="I254" s="68" t="str">
        <x:v>Xã Vĩnh Thanh</x:v>
      </x:c>
      <x:c r="J254" s="124" t="n">
        <x:v>33.6</x:v>
      </x:c>
      <x:c r="K254" s="130" t="n">
        <x:v>38</x:v>
      </x:c>
      <x:c r="L254" s="124"/>
      <x:c r="M254" s="124"/>
      <x:c r="N254" s="124" t="n">
        <x:v>71.6</x:v>
      </x:c>
      <x:c r="O254" s="69" t="str"/>
    </x:row>
    <x:row r="255" ht="21" customHeight="1">
      <x:c r="A255" s="100" t="n">
        <x:v>251</x:v>
      </x:c>
      <x:c r="B255" s="172" t="n">
        <x:v>95311001389</x:v>
      </x:c>
      <x:c r="C255" s="68" t="str">
        <x:v>NGUYỄN CHÚC KIẾM</x:v>
      </x:c>
      <x:c r="D255" s="106" t="str">
        <x:v>X</x:v>
      </x:c>
      <x:c r="E255" s="118" t="n">
        <x:v>40689</x:v>
      </x:c>
      <x:c r="F255" s="106" t="str">
        <x:v>Kinh</x:v>
      </x:c>
      <x:c r="G255" s="68" t="str">
        <x:v>Xã Phước Long</x:v>
      </x:c>
      <x:c r="H255" s="68" t="str">
        <x:v>THCS Vĩnh Thanh</x:v>
      </x:c>
      <x:c r="I255" s="68" t="str">
        <x:v>Xã Vĩnh Thanh</x:v>
      </x:c>
      <x:c r="J255" s="124" t="n">
        <x:v>33.6</x:v>
      </x:c>
      <x:c r="K255" s="130" t="n">
        <x:v>38</x:v>
      </x:c>
      <x:c r="L255" s="124"/>
      <x:c r="M255" s="124"/>
      <x:c r="N255" s="124" t="n">
        <x:v>71.6</x:v>
      </x:c>
      <x:c r="O255" s="69" t="str"/>
    </x:row>
    <x:row r="256" ht="21" customHeight="1">
      <x:c r="A256" s="100" t="n">
        <x:v>252</x:v>
      </x:c>
      <x:c r="B256" s="172" t="n">
        <x:v>95311009012</x:v>
      </x:c>
      <x:c r="C256" s="68" t="str">
        <x:v>NGUYỄN NGỌC PHƯƠNG VY</x:v>
      </x:c>
      <x:c r="D256" s="106" t="str">
        <x:v>X</x:v>
      </x:c>
      <x:c r="E256" s="118" t="n">
        <x:v>40566</x:v>
      </x:c>
      <x:c r="F256" s="106" t="str">
        <x:v>Kinh</x:v>
      </x:c>
      <x:c r="G256" s="68" t="str">
        <x:v>Xã Phước Long</x:v>
      </x:c>
      <x:c r="H256" s="68" t="str">
        <x:v>THCS Phước Long</x:v>
      </x:c>
      <x:c r="I256" s="68" t="str">
        <x:v>Xã Phước Long</x:v>
      </x:c>
      <x:c r="J256" s="124" t="n">
        <x:v>33.5</x:v>
      </x:c>
      <x:c r="K256" s="130" t="n">
        <x:v>38</x:v>
      </x:c>
      <x:c r="L256" s="124"/>
      <x:c r="M256" s="124"/>
      <x:c r="N256" s="124" t="n">
        <x:v>71.5</x:v>
      </x:c>
      <x:c r="O256" s="69" t="str"/>
    </x:row>
    <x:row r="257" ht="21" customHeight="1">
      <x:c r="A257" s="100" t="n">
        <x:v>253</x:v>
      </x:c>
      <x:c r="B257" s="172" t="n">
        <x:v>84211002869</x:v>
      </x:c>
      <x:c r="C257" s="68" t="str">
        <x:v>TRẦN ANH HUY</x:v>
      </x:c>
      <x:c r="D257" s="106" t="str"/>
      <x:c r="E257" s="118" t="n">
        <x:v>40854</x:v>
      </x:c>
      <x:c r="F257" s="106" t="str">
        <x:v>Kinh</x:v>
      </x:c>
      <x:c r="G257" s="68" t="str">
        <x:v>Xã Vĩnh Thanh</x:v>
      </x:c>
      <x:c r="H257" s="68" t="str">
        <x:v>THCS Phước Long</x:v>
      </x:c>
      <x:c r="I257" s="68" t="str">
        <x:v>Xã Phước Long</x:v>
      </x:c>
      <x:c r="J257" s="124" t="n">
        <x:v>32.5</x:v>
      </x:c>
      <x:c r="K257" s="130" t="n">
        <x:v>39</x:v>
      </x:c>
      <x:c r="L257" s="124"/>
      <x:c r="M257" s="124"/>
      <x:c r="N257" s="124" t="n">
        <x:v>71.5</x:v>
      </x:c>
      <x:c r="O257" s="69" t="str"/>
    </x:row>
    <x:row r="258" ht="21" customHeight="1">
      <x:c r="A258" s="100" t="n">
        <x:v>254</x:v>
      </x:c>
      <x:c r="B258" s="172" t="n">
        <x:v>95311006901</x:v>
      </x:c>
      <x:c r="C258" s="68" t="str">
        <x:v>TRƯƠNG PHƯƠNG QUỲNH</x:v>
      </x:c>
      <x:c r="D258" s="106" t="str">
        <x:v>X</x:v>
      </x:c>
      <x:c r="E258" s="118" t="n">
        <x:v>40869</x:v>
      </x:c>
      <x:c r="F258" s="106" t="str">
        <x:v>Kinh</x:v>
      </x:c>
      <x:c r="G258" s="68" t="str">
        <x:v>Xã Vĩnh Thanh</x:v>
      </x:c>
      <x:c r="H258" s="68" t="str">
        <x:v>THCS Hưng Phú</x:v>
      </x:c>
      <x:c r="I258" s="68" t="str">
        <x:v>Xã Vĩnh Thanh</x:v>
      </x:c>
      <x:c r="J258" s="124" t="n">
        <x:v>33.5</x:v>
      </x:c>
      <x:c r="K258" s="130" t="n">
        <x:v>38</x:v>
      </x:c>
      <x:c r="L258" s="124"/>
      <x:c r="M258" s="124"/>
      <x:c r="N258" s="124" t="n">
        <x:v>71.5</x:v>
      </x:c>
      <x:c r="O258" s="69" t="str"/>
    </x:row>
    <x:row r="259" ht="21" customHeight="1">
      <x:c r="A259" s="100" t="n">
        <x:v>255</x:v>
      </x:c>
      <x:c r="B259" s="172" t="n">
        <x:v>95211005005</x:v>
      </x:c>
      <x:c r="C259" s="68" t="str">
        <x:v>TRẦN QUỐC VƯƠNG</x:v>
      </x:c>
      <x:c r="D259" s="106" t="str"/>
      <x:c r="E259" s="118" t="n">
        <x:v>40817</x:v>
      </x:c>
      <x:c r="F259" s="106" t="str">
        <x:v>Kinh</x:v>
      </x:c>
      <x:c r="G259" s="68" t="str">
        <x:v>Xã Vĩnh Thanh</x:v>
      </x:c>
      <x:c r="H259" s="68" t="str">
        <x:v>THCS Hưng Phú</x:v>
      </x:c>
      <x:c r="I259" s="68" t="str">
        <x:v>Xã Vĩnh Thanh</x:v>
      </x:c>
      <x:c r="J259" s="124" t="n">
        <x:v>33.5</x:v>
      </x:c>
      <x:c r="K259" s="130" t="n">
        <x:v>38</x:v>
      </x:c>
      <x:c r="L259" s="124"/>
      <x:c r="M259" s="124"/>
      <x:c r="N259" s="124" t="n">
        <x:v>71.5</x:v>
      </x:c>
      <x:c r="O259" s="69" t="str"/>
    </x:row>
    <x:row r="260" ht="21" customHeight="1">
      <x:c r="A260" s="100" t="n">
        <x:v>256</x:v>
      </x:c>
      <x:c r="B260" s="172" t="n">
        <x:v>95311008588</x:v>
      </x:c>
      <x:c r="C260" s="68" t="str">
        <x:v>NGÔ NHÃ LINH</x:v>
      </x:c>
      <x:c r="D260" s="106" t="str">
        <x:v>X</x:v>
      </x:c>
      <x:c r="E260" s="118" t="n">
        <x:v>40652</x:v>
      </x:c>
      <x:c r="F260" s="106" t="str">
        <x:v>Kinh</x:v>
      </x:c>
      <x:c r="G260" s="68" t="str">
        <x:v>Xã Vĩnh Thanh</x:v>
      </x:c>
      <x:c r="H260" s="68" t="str">
        <x:v>THCS Hưng Phú</x:v>
      </x:c>
      <x:c r="I260" s="68" t="str">
        <x:v>Xã Vĩnh Thanh</x:v>
      </x:c>
      <x:c r="J260" s="124" t="n">
        <x:v>33.4</x:v>
      </x:c>
      <x:c r="K260" s="130" t="n">
        <x:v>38</x:v>
      </x:c>
      <x:c r="L260" s="124"/>
      <x:c r="M260" s="124"/>
      <x:c r="N260" s="124" t="n">
        <x:v>71.4</x:v>
      </x:c>
      <x:c r="O260" s="69" t="str"/>
    </x:row>
    <x:row r="261" ht="21" customHeight="1">
      <x:c r="A261" s="100" t="n">
        <x:v>257</x:v>
      </x:c>
      <x:c r="B261" s="172" t="n">
        <x:v>95311003790</x:v>
      </x:c>
      <x:c r="C261" s="68" t="str">
        <x:v>LÊ NGỌC TUYỀN</x:v>
      </x:c>
      <x:c r="D261" s="106" t="str">
        <x:v>X</x:v>
      </x:c>
      <x:c r="E261" s="118" t="n">
        <x:v>40623</x:v>
      </x:c>
      <x:c r="F261" s="106" t="str">
        <x:v>Kinh</x:v>
      </x:c>
      <x:c r="G261" s="68" t="str">
        <x:v>Xã Vĩnh Thanh</x:v>
      </x:c>
      <x:c r="H261" s="68" t="str">
        <x:v>THCS Vĩnh Thanh</x:v>
      </x:c>
      <x:c r="I261" s="68" t="str">
        <x:v>Xã Vĩnh Thanh</x:v>
      </x:c>
      <x:c r="J261" s="124" t="n">
        <x:v>33.4</x:v>
      </x:c>
      <x:c r="K261" s="130" t="n">
        <x:v>38</x:v>
      </x:c>
      <x:c r="L261" s="124"/>
      <x:c r="M261" s="124"/>
      <x:c r="N261" s="124" t="n">
        <x:v>71.4</x:v>
      </x:c>
      <x:c r="O261" s="69" t="str"/>
    </x:row>
    <x:row r="262" ht="21" customHeight="1">
      <x:c r="A262" s="100" t="n">
        <x:v>258</x:v>
      </x:c>
      <x:c r="B262" s="172" t="n">
        <x:v>95211006591</x:v>
      </x:c>
      <x:c r="C262" s="68" t="str">
        <x:v>TRỊNH ANH KIÊN</x:v>
      </x:c>
      <x:c r="D262" s="106" t="str"/>
      <x:c r="E262" s="118" t="n">
        <x:v>40696</x:v>
      </x:c>
      <x:c r="F262" s="106" t="str">
        <x:v>Kinh</x:v>
      </x:c>
      <x:c r="G262" s="68" t="str">
        <x:v>Xã Vĩnh Thanh</x:v>
      </x:c>
      <x:c r="H262" s="68" t="str">
        <x:v>THCS Hưng Phú</x:v>
      </x:c>
      <x:c r="I262" s="68" t="str">
        <x:v>Xã Vĩnh Thanh</x:v>
      </x:c>
      <x:c r="J262" s="124" t="n">
        <x:v>33.3</x:v>
      </x:c>
      <x:c r="K262" s="130" t="n">
        <x:v>38</x:v>
      </x:c>
      <x:c r="L262" s="124"/>
      <x:c r="M262" s="124"/>
      <x:c r="N262" s="124" t="n">
        <x:v>71.3</x:v>
      </x:c>
      <x:c r="O262" s="69" t="str"/>
    </x:row>
    <x:row r="263" ht="21" customHeight="1">
      <x:c r="A263" s="100" t="n">
        <x:v>259</x:v>
      </x:c>
      <x:c r="B263" s="172" t="n">
        <x:v>95311008918</x:v>
      </x:c>
      <x:c r="C263" s="68" t="str">
        <x:v>PHẠM MỸ HIỀN</x:v>
      </x:c>
      <x:c r="D263" s="106" t="str">
        <x:v>X</x:v>
      </x:c>
      <x:c r="E263" s="118" t="n">
        <x:v>40643</x:v>
      </x:c>
      <x:c r="F263" s="106" t="str">
        <x:v>Kinh</x:v>
      </x:c>
      <x:c r="G263" s="68" t="str">
        <x:v>Xã Vĩnh Thanh</x:v>
      </x:c>
      <x:c r="H263" s="68" t="str">
        <x:v>THCS Vĩnh Thanh</x:v>
      </x:c>
      <x:c r="I263" s="68" t="str">
        <x:v>Xã Vĩnh Thanh</x:v>
      </x:c>
      <x:c r="J263" s="124" t="n">
        <x:v>33.3</x:v>
      </x:c>
      <x:c r="K263" s="130" t="n">
        <x:v>38</x:v>
      </x:c>
      <x:c r="L263" s="124"/>
      <x:c r="M263" s="124"/>
      <x:c r="N263" s="124" t="n">
        <x:v>71.3</x:v>
      </x:c>
      <x:c r="O263" s="69" t="str"/>
    </x:row>
    <x:row r="264" ht="21" customHeight="1">
      <x:c r="A264" s="100" t="n">
        <x:v>260</x:v>
      </x:c>
      <x:c r="B264" s="172" t="n">
        <x:v>95311004081</x:v>
      </x:c>
      <x:c r="C264" s="68" t="str">
        <x:v>NGUYỄN THỊ KIỀU QUYÊN</x:v>
      </x:c>
      <x:c r="D264" s="106" t="str">
        <x:v>X</x:v>
      </x:c>
      <x:c r="E264" s="118" t="n">
        <x:v>40719</x:v>
      </x:c>
      <x:c r="F264" s="106" t="str">
        <x:v>Kinh</x:v>
      </x:c>
      <x:c r="G264" s="68" t="str">
        <x:v>Xã Vĩnh Thanh</x:v>
      </x:c>
      <x:c r="H264" s="68" t="str">
        <x:v>THCS Vĩnh Thanh</x:v>
      </x:c>
      <x:c r="I264" s="68" t="str">
        <x:v>Xã Vĩnh Thanh</x:v>
      </x:c>
      <x:c r="J264" s="124" t="n">
        <x:v>33.3</x:v>
      </x:c>
      <x:c r="K264" s="130" t="n">
        <x:v>38</x:v>
      </x:c>
      <x:c r="L264" s="124"/>
      <x:c r="M264" s="124"/>
      <x:c r="N264" s="124" t="n">
        <x:v>71.3</x:v>
      </x:c>
      <x:c r="O264" s="69" t="str"/>
    </x:row>
    <x:row r="265" ht="21" customHeight="1">
      <x:c r="A265" s="100" t="n">
        <x:v>261</x:v>
      </x:c>
      <x:c r="B265" s="172" t="n">
        <x:v>95311007592</x:v>
      </x:c>
      <x:c r="C265" s="68" t="str">
        <x:v>VÕ THỊ PHƯƠNG VY</x:v>
      </x:c>
      <x:c r="D265" s="106" t="str">
        <x:v>X</x:v>
      </x:c>
      <x:c r="E265" s="118" t="n">
        <x:v>40662</x:v>
      </x:c>
      <x:c r="F265" s="106" t="str">
        <x:v>Kinh</x:v>
      </x:c>
      <x:c r="G265" s="68" t="str">
        <x:v>Xã Vĩnh Thanh</x:v>
      </x:c>
      <x:c r="H265" s="68" t="str">
        <x:v>THCS Vĩnh Thanh</x:v>
      </x:c>
      <x:c r="I265" s="68" t="str">
        <x:v>Xã Vĩnh Thanh</x:v>
      </x:c>
      <x:c r="J265" s="124" t="n">
        <x:v>33.3</x:v>
      </x:c>
      <x:c r="K265" s="130" t="n">
        <x:v>38</x:v>
      </x:c>
      <x:c r="L265" s="124"/>
      <x:c r="M265" s="124"/>
      <x:c r="N265" s="124" t="n">
        <x:v>71.3</x:v>
      </x:c>
      <x:c r="O265" s="69" t="str"/>
    </x:row>
    <x:row r="266" ht="21" customHeight="1">
      <x:c r="A266" s="100" t="n">
        <x:v>262</x:v>
      </x:c>
      <x:c r="B266" s="172" t="n">
        <x:v>95211008575</x:v>
      </x:c>
      <x:c r="C266" s="68" t="str">
        <x:v>LƯU GIA PHÁT</x:v>
      </x:c>
      <x:c r="D266" s="106" t="str"/>
      <x:c r="E266" s="118" t="n">
        <x:v>40818</x:v>
      </x:c>
      <x:c r="F266" s="106" t="str">
        <x:v>Kinh</x:v>
      </x:c>
      <x:c r="G266" s="68" t="str">
        <x:v>Xã Vĩnh Thanh</x:v>
      </x:c>
      <x:c r="H266" s="68" t="str">
        <x:v>THCS Vĩnh Thanh</x:v>
      </x:c>
      <x:c r="I266" s="68" t="str">
        <x:v>Xã Vĩnh Thanh</x:v>
      </x:c>
      <x:c r="J266" s="124" t="n">
        <x:v>33.3</x:v>
      </x:c>
      <x:c r="K266" s="130" t="n">
        <x:v>38</x:v>
      </x:c>
      <x:c r="L266" s="124"/>
      <x:c r="M266" s="124"/>
      <x:c r="N266" s="124" t="n">
        <x:v>71.3</x:v>
      </x:c>
      <x:c r="O266" s="69" t="str"/>
    </x:row>
    <x:row r="267" ht="21" customHeight="1">
      <x:c r="A267" s="100" t="n">
        <x:v>263</x:v>
      </x:c>
      <x:c r="B267" s="172" t="n">
        <x:v>95311004112</x:v>
      </x:c>
      <x:c r="C267" s="68" t="str">
        <x:v>LÝ THỊ THU THẢO</x:v>
      </x:c>
      <x:c r="D267" s="106" t="str">
        <x:v>X</x:v>
      </x:c>
      <x:c r="E267" s="118" t="n">
        <x:v>40859</x:v>
      </x:c>
      <x:c r="F267" s="106" t="str">
        <x:v>Khmer</x:v>
      </x:c>
      <x:c r="G267" s="68" t="str">
        <x:v>Xã Phước Long</x:v>
      </x:c>
      <x:c r="H267" s="68" t="str">
        <x:v>THCS Vương Hữu Nhơn</x:v>
      </x:c>
      <x:c r="I267" s="68" t="str">
        <x:v>Xã Phước Long</x:v>
      </x:c>
      <x:c r="J267" s="124" t="n">
        <x:v>32.3</x:v>
      </x:c>
      <x:c r="K267" s="130" t="n">
        <x:v>38</x:v>
      </x:c>
      <x:c r="L267" s="124" t="n">
        <x:v>1</x:v>
      </x:c>
      <x:c r="M267" s="124"/>
      <x:c r="N267" s="124" t="n">
        <x:v>71.3</x:v>
      </x:c>
      <x:c r="O267" s="69" t="str"/>
    </x:row>
    <x:row r="268" ht="21" customHeight="1">
      <x:c r="A268" s="100" t="n">
        <x:v>264</x:v>
      </x:c>
      <x:c r="B268" s="172" t="n">
        <x:v>95211001066</x:v>
      </x:c>
      <x:c r="C268" s="68" t="str">
        <x:v>TRẦN CHÍ HÀO</x:v>
      </x:c>
      <x:c r="D268" s="106" t="str"/>
      <x:c r="E268" s="118" t="n">
        <x:v>40866</x:v>
      </x:c>
      <x:c r="F268" s="106" t="str">
        <x:v>Kinh</x:v>
      </x:c>
      <x:c r="G268" s="68" t="str">
        <x:v>Xã Phước Long</x:v>
      </x:c>
      <x:c r="H268" s="68" t="str">
        <x:v>THCS Vương Hữu Nhơn</x:v>
      </x:c>
      <x:c r="I268" s="68" t="str">
        <x:v>Xã Phước Long</x:v>
      </x:c>
      <x:c r="J268" s="124" t="n">
        <x:v>33.3</x:v>
      </x:c>
      <x:c r="K268" s="130" t="n">
        <x:v>38</x:v>
      </x:c>
      <x:c r="L268" s="124"/>
      <x:c r="M268" s="124"/>
      <x:c r="N268" s="124" t="n">
        <x:v>71.3</x:v>
      </x:c>
      <x:c r="O268" s="69" t="str"/>
    </x:row>
    <x:row r="269" ht="21" customHeight="1">
      <x:c r="A269" s="100" t="n">
        <x:v>265</x:v>
      </x:c>
      <x:c r="B269" s="172" t="n">
        <x:v>95311008397</x:v>
      </x:c>
      <x:c r="C269" s="68" t="str">
        <x:v>TRƯƠNG HẠNH NGUYỄN</x:v>
      </x:c>
      <x:c r="D269" s="106" t="str">
        <x:v>X</x:v>
      </x:c>
      <x:c r="E269" s="118" t="n">
        <x:v>40816</x:v>
      </x:c>
      <x:c r="F269" s="106" t="str">
        <x:v>Kinh</x:v>
      </x:c>
      <x:c r="G269" s="68" t="str">
        <x:v>Xã Phước Long</x:v>
      </x:c>
      <x:c r="H269" s="68" t="str">
        <x:v>THCS Phước Long</x:v>
      </x:c>
      <x:c r="I269" s="68" t="str">
        <x:v>Xã Phước Long</x:v>
      </x:c>
      <x:c r="J269" s="124" t="n">
        <x:v>33.2</x:v>
      </x:c>
      <x:c r="K269" s="130" t="n">
        <x:v>38</x:v>
      </x:c>
      <x:c r="L269" s="124"/>
      <x:c r="M269" s="124"/>
      <x:c r="N269" s="124" t="n">
        <x:v>71.2</x:v>
      </x:c>
      <x:c r="O269" s="69" t="str"/>
    </x:row>
    <x:row r="270" ht="21" customHeight="1">
      <x:c r="A270" s="100" t="n">
        <x:v>266</x:v>
      </x:c>
      <x:c r="B270" s="172" t="n">
        <x:v>95211009721</x:v>
      </x:c>
      <x:c r="C270" s="68" t="str">
        <x:v>HUỲNH MINH HIỆP</x:v>
      </x:c>
      <x:c r="D270" s="106" t="str"/>
      <x:c r="E270" s="118" t="n">
        <x:v>40622</x:v>
      </x:c>
      <x:c r="F270" s="106" t="str">
        <x:v>Kinh</x:v>
      </x:c>
      <x:c r="G270" s="68" t="str">
        <x:v>Xã Phước Long</x:v>
      </x:c>
      <x:c r="H270" s="68" t="str">
        <x:v>THCS Phước Long</x:v>
      </x:c>
      <x:c r="I270" s="68" t="str">
        <x:v>Xã Phước Long</x:v>
      </x:c>
      <x:c r="J270" s="124" t="n">
        <x:v>33.2</x:v>
      </x:c>
      <x:c r="K270" s="130" t="n">
        <x:v>38</x:v>
      </x:c>
      <x:c r="L270" s="124"/>
      <x:c r="M270" s="124"/>
      <x:c r="N270" s="124" t="n">
        <x:v>71.2</x:v>
      </x:c>
      <x:c r="O270" s="69" t="str"/>
    </x:row>
    <x:row r="271" ht="21" customHeight="1">
      <x:c r="A271" s="100" t="n">
        <x:v>267</x:v>
      </x:c>
      <x:c r="B271" s="172" t="n">
        <x:v>95311003604</x:v>
      </x:c>
      <x:c r="C271" s="68" t="str">
        <x:v>DƯƠNG NHƯ QUỲNH</x:v>
      </x:c>
      <x:c r="D271" s="106" t="str">
        <x:v>X</x:v>
      </x:c>
      <x:c r="E271" s="118" t="n">
        <x:v>40889</x:v>
      </x:c>
      <x:c r="F271" s="106" t="str">
        <x:v>Kinh</x:v>
      </x:c>
      <x:c r="G271" s="68" t="str">
        <x:v>Xã Vĩnh Phước</x:v>
      </x:c>
      <x:c r="H271" s="68" t="str">
        <x:v>THCS Vĩnh Phú Tây</x:v>
      </x:c>
      <x:c r="I271" s="68" t="str">
        <x:v>Xã Vĩnh Phước</x:v>
      </x:c>
      <x:c r="J271" s="124" t="n">
        <x:v>33.2</x:v>
      </x:c>
      <x:c r="K271" s="130" t="n">
        <x:v>38</x:v>
      </x:c>
      <x:c r="L271" s="124"/>
      <x:c r="M271" s="124"/>
      <x:c r="N271" s="124" t="n">
        <x:v>71.2</x:v>
      </x:c>
      <x:c r="O271" s="69" t="str"/>
    </x:row>
    <x:row r="272" ht="21" customHeight="1">
      <x:c r="A272" s="100" t="n">
        <x:v>268</x:v>
      </x:c>
      <x:c r="B272" s="172" t="n">
        <x:v>95311003225</x:v>
      </x:c>
      <x:c r="C272" s="68" t="str">
        <x:v>NGUYỄN PHƯƠNG TRANG</x:v>
      </x:c>
      <x:c r="D272" s="106" t="str">
        <x:v>X</x:v>
      </x:c>
      <x:c r="E272" s="118" t="n">
        <x:v>40798</x:v>
      </x:c>
      <x:c r="F272" s="106" t="str">
        <x:v>Kinh</x:v>
      </x:c>
      <x:c r="G272" s="68" t="str">
        <x:v>Xã Vĩnh Thanh</x:v>
      </x:c>
      <x:c r="H272" s="68" t="str">
        <x:v>THCS Hưng Phú</x:v>
      </x:c>
      <x:c r="I272" s="68" t="str">
        <x:v>Xã Vĩnh Thanh</x:v>
      </x:c>
      <x:c r="J272" s="124" t="n">
        <x:v>33.2</x:v>
      </x:c>
      <x:c r="K272" s="130" t="n">
        <x:v>38</x:v>
      </x:c>
      <x:c r="L272" s="124"/>
      <x:c r="M272" s="124"/>
      <x:c r="N272" s="124" t="n">
        <x:v>71.2</x:v>
      </x:c>
      <x:c r="O272" s="69" t="str"/>
    </x:row>
    <x:row r="273" ht="21" customHeight="1">
      <x:c r="A273" s="100" t="n">
        <x:v>269</x:v>
      </x:c>
      <x:c r="B273" s="172" t="n">
        <x:v>95311005857</x:v>
      </x:c>
      <x:c r="C273" s="68" t="str">
        <x:v>NGUYỄN NHẬT ANH</x:v>
      </x:c>
      <x:c r="D273" s="106" t="str">
        <x:v>X</x:v>
      </x:c>
      <x:c r="E273" s="118" t="n">
        <x:v>40716</x:v>
      </x:c>
      <x:c r="F273" s="106" t="str">
        <x:v>Kinh</x:v>
      </x:c>
      <x:c r="G273" s="68" t="str">
        <x:v>Xã Ninh Thạnh Lợi</x:v>
      </x:c>
      <x:c r="H273" s="68" t="str">
        <x:v>THCS Phước Long</x:v>
      </x:c>
      <x:c r="I273" s="68" t="str">
        <x:v>Xã Vĩnh Phước</x:v>
      </x:c>
      <x:c r="J273" s="124" t="n">
        <x:v>33.2</x:v>
      </x:c>
      <x:c r="K273" s="130" t="n">
        <x:v>37</x:v>
      </x:c>
      <x:c r="L273" s="124" t="n">
        <x:v>1</x:v>
      </x:c>
      <x:c r="M273" s="124"/>
      <x:c r="N273" s="124" t="n">
        <x:v>71.2</x:v>
      </x:c>
      <x:c r="O273" s="69" t="str"/>
    </x:row>
    <x:row r="274" ht="21" customHeight="1">
      <x:c r="A274" s="100" t="n">
        <x:v>270</x:v>
      </x:c>
      <x:c r="B274" s="172" t="n">
        <x:v>95311002137</x:v>
      </x:c>
      <x:c r="C274" s="68" t="str">
        <x:v>NGUYỄN THỊ KHÁNH BĂNG</x:v>
      </x:c>
      <x:c r="D274" s="106" t="str">
        <x:v>X</x:v>
      </x:c>
      <x:c r="E274" s="118" t="n">
        <x:v>40589</x:v>
      </x:c>
      <x:c r="F274" s="106" t="str">
        <x:v>Kinh</x:v>
      </x:c>
      <x:c r="G274" s="68" t="str">
        <x:v>Xã Phước Long</x:v>
      </x:c>
      <x:c r="H274" s="68" t="str">
        <x:v>THCS Vương Hữu Nhơn</x:v>
      </x:c>
      <x:c r="I274" s="68" t="str">
        <x:v>Xã Phước Long</x:v>
      </x:c>
      <x:c r="J274" s="124" t="n">
        <x:v>33.2</x:v>
      </x:c>
      <x:c r="K274" s="130" t="n">
        <x:v>38</x:v>
      </x:c>
      <x:c r="L274" s="124"/>
      <x:c r="M274" s="124"/>
      <x:c r="N274" s="124" t="n">
        <x:v>71.2</x:v>
      </x:c>
      <x:c r="O274" s="69" t="str"/>
    </x:row>
    <x:row r="275" ht="21" customHeight="1">
      <x:c r="A275" s="100" t="n">
        <x:v>271</x:v>
      </x:c>
      <x:c r="B275" s="172" t="n">
        <x:v>95211009988</x:v>
      </x:c>
      <x:c r="C275" s="68" t="str">
        <x:v>DANH THANH PHONG</x:v>
      </x:c>
      <x:c r="D275" s="106" t="str"/>
      <x:c r="E275" s="118" t="n">
        <x:v>40549</x:v>
      </x:c>
      <x:c r="F275" s="106" t="str">
        <x:v>Khmer</x:v>
      </x:c>
      <x:c r="G275" s="68" t="str">
        <x:v>Xã Phước Long</x:v>
      </x:c>
      <x:c r="H275" s="68" t="str">
        <x:v>THCS Vương Hữu Nhơn</x:v>
      </x:c>
      <x:c r="I275" s="68" t="str">
        <x:v>Xã Phước Long</x:v>
      </x:c>
      <x:c r="J275" s="124" t="n">
        <x:v>33.2</x:v>
      </x:c>
      <x:c r="K275" s="130" t="n">
        <x:v>37</x:v>
      </x:c>
      <x:c r="L275" s="124" t="n">
        <x:v>1</x:v>
      </x:c>
      <x:c r="M275" s="124"/>
      <x:c r="N275" s="124" t="n">
        <x:v>71.2</x:v>
      </x:c>
      <x:c r="O275" s="69" t="str"/>
    </x:row>
    <x:row r="276" ht="21" customHeight="1">
      <x:c r="A276" s="100" t="n">
        <x:v>272</x:v>
      </x:c>
      <x:c r="B276" s="172" t="n">
        <x:v>95311002196</x:v>
      </x:c>
      <x:c r="C276" s="68" t="str">
        <x:v>PHẠM KIM BIẾT</x:v>
      </x:c>
      <x:c r="D276" s="106" t="str">
        <x:v>X</x:v>
      </x:c>
      <x:c r="E276" s="118" t="n">
        <x:v>40607</x:v>
      </x:c>
      <x:c r="F276" s="106" t="str">
        <x:v>Kinh</x:v>
      </x:c>
      <x:c r="G276" s="68" t="str">
        <x:v>Xã Phước Long</x:v>
      </x:c>
      <x:c r="H276" s="68" t="str">
        <x:v>THCS Phước Long</x:v>
      </x:c>
      <x:c r="I276" s="68" t="str">
        <x:v>Xã Phước Long</x:v>
      </x:c>
      <x:c r="J276" s="124" t="n">
        <x:v>33.1</x:v>
      </x:c>
      <x:c r="K276" s="130" t="n">
        <x:v>38</x:v>
      </x:c>
      <x:c r="L276" s="124"/>
      <x:c r="M276" s="124"/>
      <x:c r="N276" s="124" t="n">
        <x:v>71.1</x:v>
      </x:c>
      <x:c r="O276" s="69" t="str"/>
    </x:row>
    <x:row r="277" ht="21" customHeight="1">
      <x:c r="A277" s="100" t="n">
        <x:v>273</x:v>
      </x:c>
      <x:c r="B277" s="172" t="n">
        <x:v>95211003890</x:v>
      </x:c>
      <x:c r="C277" s="68" t="str">
        <x:v>NGUYỄN TRIỀU NAM</x:v>
      </x:c>
      <x:c r="D277" s="106" t="str"/>
      <x:c r="E277" s="118" t="n">
        <x:v>40818</x:v>
      </x:c>
      <x:c r="F277" s="106" t="str">
        <x:v>Kinh</x:v>
      </x:c>
      <x:c r="G277" s="68" t="str">
        <x:v>Xã Vĩnh Phước</x:v>
      </x:c>
      <x:c r="H277" s="68" t="str">
        <x:v>THCS Phước Long</x:v>
      </x:c>
      <x:c r="I277" s="68" t="str">
        <x:v>Xã Phước Long</x:v>
      </x:c>
      <x:c r="J277" s="124" t="n">
        <x:v>33.1</x:v>
      </x:c>
      <x:c r="K277" s="130" t="n">
        <x:v>38</x:v>
      </x:c>
      <x:c r="L277" s="124"/>
      <x:c r="M277" s="124"/>
      <x:c r="N277" s="124" t="n">
        <x:v>71.1</x:v>
      </x:c>
      <x:c r="O277" s="69" t="str"/>
    </x:row>
    <x:row r="278" ht="21" customHeight="1">
      <x:c r="A278" s="100" t="n">
        <x:v>274</x:v>
      </x:c>
      <x:c r="B278" s="172" t="n">
        <x:v>95311006441</x:v>
      </x:c>
      <x:c r="C278" s="68" t="str">
        <x:v>CHÂU TRẦN DIỄM KHOA</x:v>
      </x:c>
      <x:c r="D278" s="106" t="str">
        <x:v>X</x:v>
      </x:c>
      <x:c r="E278" s="118" t="n">
        <x:v>40773</x:v>
      </x:c>
      <x:c r="F278" s="106" t="str">
        <x:v>Kinh</x:v>
      </x:c>
      <x:c r="G278" s="68" t="str">
        <x:v>Xã Phước Long</x:v>
      </x:c>
      <x:c r="H278" s="68" t="str">
        <x:v>THCS Phước Long</x:v>
      </x:c>
      <x:c r="I278" s="68" t="str">
        <x:v>Xã Phước Long</x:v>
      </x:c>
      <x:c r="J278" s="124" t="n">
        <x:v>33.1</x:v>
      </x:c>
      <x:c r="K278" s="130" t="n">
        <x:v>38</x:v>
      </x:c>
      <x:c r="L278" s="124"/>
      <x:c r="M278" s="124"/>
      <x:c r="N278" s="124" t="n">
        <x:v>71.1</x:v>
      </x:c>
      <x:c r="O278" s="69" t="str"/>
    </x:row>
    <x:row r="279" ht="21" customHeight="1">
      <x:c r="A279" s="100" t="n">
        <x:v>275</x:v>
      </x:c>
      <x:c r="B279" s="172" t="n">
        <x:v>95311001178</x:v>
      </x:c>
      <x:c r="C279" s="68" t="str">
        <x:v>HUỲNH KIM THỦY</x:v>
      </x:c>
      <x:c r="D279" s="106" t="str">
        <x:v>X</x:v>
      </x:c>
      <x:c r="E279" s="118" t="n">
        <x:v>40843</x:v>
      </x:c>
      <x:c r="F279" s="106" t="str">
        <x:v>Kinh</x:v>
      </x:c>
      <x:c r="G279" s="68" t="str">
        <x:v>Xã Phước Long</x:v>
      </x:c>
      <x:c r="H279" s="68" t="str">
        <x:v>THCS Hưng Phú</x:v>
      </x:c>
      <x:c r="I279" s="68" t="str">
        <x:v>Xã Vĩnh Thanh</x:v>
      </x:c>
      <x:c r="J279" s="124" t="n">
        <x:v>33.1</x:v>
      </x:c>
      <x:c r="K279" s="130" t="n">
        <x:v>38</x:v>
      </x:c>
      <x:c r="L279" s="124"/>
      <x:c r="M279" s="124"/>
      <x:c r="N279" s="124" t="n">
        <x:v>71.1</x:v>
      </x:c>
      <x:c r="O279" s="69" t="str"/>
    </x:row>
    <x:row r="280" ht="21" customHeight="1">
      <x:c r="A280" s="100" t="n">
        <x:v>276</x:v>
      </x:c>
      <x:c r="B280" s="172" t="n">
        <x:v>95311007264</x:v>
      </x:c>
      <x:c r="C280" s="68" t="str">
        <x:v>TRẦN HỒNG THỊ</x:v>
      </x:c>
      <x:c r="D280" s="106" t="str">
        <x:v>X</x:v>
      </x:c>
      <x:c r="E280" s="118" t="n">
        <x:v>40830</x:v>
      </x:c>
      <x:c r="F280" s="106" t="str">
        <x:v>Kinh</x:v>
      </x:c>
      <x:c r="G280" s="68" t="str">
        <x:v>Xã Vĩnh Mỹ</x:v>
      </x:c>
      <x:c r="H280" s="68" t="str">
        <x:v>THCS Hưng Phú</x:v>
      </x:c>
      <x:c r="I280" s="68" t="str">
        <x:v>Xã Vĩnh Thanh</x:v>
      </x:c>
      <x:c r="J280" s="124" t="n">
        <x:v>33.1</x:v>
      </x:c>
      <x:c r="K280" s="130" t="n">
        <x:v>38</x:v>
      </x:c>
      <x:c r="L280" s="124"/>
      <x:c r="M280" s="124"/>
      <x:c r="N280" s="124" t="n">
        <x:v>71.1</x:v>
      </x:c>
      <x:c r="O280" s="69" t="str"/>
    </x:row>
    <x:row r="281" ht="21" customHeight="1">
      <x:c r="A281" s="100" t="n">
        <x:v>277</x:v>
      </x:c>
      <x:c r="B281" s="172" t="n">
        <x:v>91311001310</x:v>
      </x:c>
      <x:c r="C281" s="68" t="str">
        <x:v>LÂM YÊN NHƯ</x:v>
      </x:c>
      <x:c r="D281" s="106" t="str">
        <x:v>X</x:v>
      </x:c>
      <x:c r="E281" s="118" t="n">
        <x:v>40785</x:v>
      </x:c>
      <x:c r="F281" s="106" t="str">
        <x:v>Sán Dìu</x:v>
      </x:c>
      <x:c r="G281" s="68" t="str">
        <x:v>Xã Vĩnh Thanh</x:v>
      </x:c>
      <x:c r="H281" s="68" t="str">
        <x:v>THCS Hưng Phú</x:v>
      </x:c>
      <x:c r="I281" s="68" t="str">
        <x:v>Xã Vĩnh Thanh</x:v>
      </x:c>
      <x:c r="J281" s="124" t="n">
        <x:v>33.1</x:v>
      </x:c>
      <x:c r="K281" s="130" t="n">
        <x:v>37</x:v>
      </x:c>
      <x:c r="L281" s="124" t="n">
        <x:v>1</x:v>
      </x:c>
      <x:c r="M281" s="124"/>
      <x:c r="N281" s="124" t="n">
        <x:v>71.1</x:v>
      </x:c>
      <x:c r="O281" s="69" t="str"/>
    </x:row>
    <x:row r="282" ht="21" customHeight="1">
      <x:c r="A282" s="100" t="n">
        <x:v>278</x:v>
      </x:c>
      <x:c r="B282" s="172" t="n">
        <x:v>95311006477</x:v>
      </x:c>
      <x:c r="C282" s="68" t="str">
        <x:v>PHẠM NHƯ THẢO</x:v>
      </x:c>
      <x:c r="D282" s="106" t="str">
        <x:v>X</x:v>
      </x:c>
      <x:c r="E282" s="118" t="n">
        <x:v>40828</x:v>
      </x:c>
      <x:c r="F282" s="106" t="str">
        <x:v>Kinh</x:v>
      </x:c>
      <x:c r="G282" s="68" t="str">
        <x:v>Xã Hồng Dân</x:v>
      </x:c>
      <x:c r="H282" s="68" t="str">
        <x:v>THCS Trương Vĩnh Ký</x:v>
      </x:c>
      <x:c r="I282" s="68" t="str">
        <x:v>Xã Hồng Dân</x:v>
      </x:c>
      <x:c r="J282" s="124" t="n">
        <x:v>33.1</x:v>
      </x:c>
      <x:c r="K282" s="130" t="n">
        <x:v>38</x:v>
      </x:c>
      <x:c r="L282" s="124"/>
      <x:c r="M282" s="124"/>
      <x:c r="N282" s="124" t="n">
        <x:v>71.1</x:v>
      </x:c>
      <x:c r="O282" s="69" t="str"/>
    </x:row>
    <x:row r="283" ht="21" customHeight="1">
      <x:c r="A283" s="100" t="n">
        <x:v>279</x:v>
      </x:c>
      <x:c r="B283" s="172" t="n">
        <x:v>95311003344</x:v>
      </x:c>
      <x:c r="C283" s="68" t="str">
        <x:v>DƯƠNG YẾN OANH</x:v>
      </x:c>
      <x:c r="D283" s="106" t="str">
        <x:v>X</x:v>
      </x:c>
      <x:c r="E283" s="118" t="n">
        <x:v>40755</x:v>
      </x:c>
      <x:c r="F283" s="106" t="str">
        <x:v>Kinh</x:v>
      </x:c>
      <x:c r="G283" s="68" t="str">
        <x:v>Xã Hồng Dân</x:v>
      </x:c>
      <x:c r="H283" s="68" t="str">
        <x:v>THCS Nguyễn Du</x:v>
      </x:c>
      <x:c r="I283" s="68" t="str">
        <x:v>Xã Hồng Dân</x:v>
      </x:c>
      <x:c r="J283" s="124" t="n">
        <x:v>33.1</x:v>
      </x:c>
      <x:c r="K283" s="130" t="n">
        <x:v>38</x:v>
      </x:c>
      <x:c r="L283" s="124"/>
      <x:c r="M283" s="124"/>
      <x:c r="N283" s="124" t="n">
        <x:v>71.1</x:v>
      </x:c>
      <x:c r="O283" s="69" t="str"/>
    </x:row>
    <x:row r="284" ht="21" customHeight="1">
      <x:c r="A284" s="100" t="n">
        <x:v>280</x:v>
      </x:c>
      <x:c r="B284" s="172" t="n">
        <x:v>95211005713</x:v>
      </x:c>
      <x:c r="C284" s="68" t="str">
        <x:v>NGUYỄN TRƯỜNG NGỌC THỊNH</x:v>
      </x:c>
      <x:c r="D284" s="106" t="str"/>
      <x:c r="E284" s="118" t="n">
        <x:v>40619</x:v>
      </x:c>
      <x:c r="F284" s="106" t="str">
        <x:v>Kinh</x:v>
      </x:c>
      <x:c r="G284" s="68" t="str">
        <x:v>Xã Phước Long</x:v>
      </x:c>
      <x:c r="H284" s="68" t="str">
        <x:v>THCS Phước Long</x:v>
      </x:c>
      <x:c r="I284" s="68" t="str">
        <x:v>Xã Phước Long</x:v>
      </x:c>
      <x:c r="J284" s="124" t="n">
        <x:v>33</x:v>
      </x:c>
      <x:c r="K284" s="130" t="n">
        <x:v>38</x:v>
      </x:c>
      <x:c r="L284" s="124"/>
      <x:c r="M284" s="124"/>
      <x:c r="N284" s="124" t="n">
        <x:v>71</x:v>
      </x:c>
      <x:c r="O284" s="69" t="str"/>
    </x:row>
    <x:row r="285" ht="21" customHeight="1">
      <x:c r="A285" s="100" t="n">
        <x:v>281</x:v>
      </x:c>
      <x:c r="B285" s="172" t="n">
        <x:v>95311008490</x:v>
      </x:c>
      <x:c r="C285" s="68" t="str">
        <x:v>PHAN THỊ CẨM LY</x:v>
      </x:c>
      <x:c r="D285" s="106" t="str">
        <x:v>X</x:v>
      </x:c>
      <x:c r="E285" s="118" t="n">
        <x:v>40773</x:v>
      </x:c>
      <x:c r="F285" s="106" t="str">
        <x:v>Kinh</x:v>
      </x:c>
      <x:c r="G285" s="68" t="str">
        <x:v>Xã Vĩnh Thanh</x:v>
      </x:c>
      <x:c r="H285" s="68" t="str">
        <x:v>THCS Hưng Phú</x:v>
      </x:c>
      <x:c r="I285" s="68" t="str">
        <x:v>Xã Vĩnh Thanh</x:v>
      </x:c>
      <x:c r="J285" s="124" t="n">
        <x:v>33</x:v>
      </x:c>
      <x:c r="K285" s="130" t="n">
        <x:v>38</x:v>
      </x:c>
      <x:c r="L285" s="124"/>
      <x:c r="M285" s="124"/>
      <x:c r="N285" s="124" t="n">
        <x:v>71</x:v>
      </x:c>
      <x:c r="O285" s="69" t="str"/>
    </x:row>
    <x:row r="286" ht="21" customHeight="1">
      <x:c r="A286" s="100" t="n">
        <x:v>282</x:v>
      </x:c>
      <x:c r="B286" s="172" t="n">
        <x:v>94211002507</x:v>
      </x:c>
      <x:c r="C286" s="68" t="str">
        <x:v>DƯƠNG NGUYỄN DUY</x:v>
      </x:c>
      <x:c r="D286" s="106" t="str"/>
      <x:c r="E286" s="118" t="n">
        <x:v>40590</x:v>
      </x:c>
      <x:c r="F286" s="106" t="str">
        <x:v>Kinh</x:v>
      </x:c>
      <x:c r="G286" s="68" t="str">
        <x:v>Xã Phước Long</x:v>
      </x:c>
      <x:c r="H286" s="68" t="str">
        <x:v>THCS Vương Hữu Nhơn</x:v>
      </x:c>
      <x:c r="I286" s="68" t="str">
        <x:v>Xã Phước Long</x:v>
      </x:c>
      <x:c r="J286" s="124" t="n">
        <x:v>33</x:v>
      </x:c>
      <x:c r="K286" s="130" t="n">
        <x:v>38</x:v>
      </x:c>
      <x:c r="L286" s="124"/>
      <x:c r="M286" s="124"/>
      <x:c r="N286" s="124" t="n">
        <x:v>71</x:v>
      </x:c>
      <x:c r="O286" s="69" t="str"/>
    </x:row>
    <x:row r="287" ht="21" customHeight="1">
      <x:c r="A287" s="100" t="n">
        <x:v>283</x:v>
      </x:c>
      <x:c r="B287" s="172" t="n">
        <x:v>95311002009</x:v>
      </x:c>
      <x:c r="C287" s="68" t="str">
        <x:v>NGUYỄN THỊ QUỲNH NHƯ</x:v>
      </x:c>
      <x:c r="D287" s="106" t="str">
        <x:v>X</x:v>
      </x:c>
      <x:c r="E287" s="118" t="n">
        <x:v>40869</x:v>
      </x:c>
      <x:c r="F287" s="106" t="str">
        <x:v>Kinh</x:v>
      </x:c>
      <x:c r="G287" s="68" t="str">
        <x:v>Xã Phước Long</x:v>
      </x:c>
      <x:c r="H287" s="68" t="str">
        <x:v>THCS Vương Hữu Nhơn</x:v>
      </x:c>
      <x:c r="I287" s="68" t="str">
        <x:v>Xã Phước Long</x:v>
      </x:c>
      <x:c r="J287" s="124" t="n">
        <x:v>33</x:v>
      </x:c>
      <x:c r="K287" s="130" t="n">
        <x:v>38</x:v>
      </x:c>
      <x:c r="L287" s="124"/>
      <x:c r="M287" s="124"/>
      <x:c r="N287" s="124" t="n">
        <x:v>71</x:v>
      </x:c>
      <x:c r="O287" s="69" t="str"/>
    </x:row>
    <x:row r="288" ht="21" customHeight="1">
      <x:c r="A288" s="100" t="n">
        <x:v>284</x:v>
      </x:c>
      <x:c r="B288" s="172" t="n">
        <x:v>95311008491</x:v>
      </x:c>
      <x:c r="C288" s="68" t="str">
        <x:v>LÊ HUYỀN TRÂM</x:v>
      </x:c>
      <x:c r="D288" s="106" t="str">
        <x:v>X</x:v>
      </x:c>
      <x:c r="E288" s="118" t="n">
        <x:v>40680</x:v>
      </x:c>
      <x:c r="F288" s="106" t="str">
        <x:v>Kinh</x:v>
      </x:c>
      <x:c r="G288" s="68" t="str">
        <x:v>Xã Phước Long</x:v>
      </x:c>
      <x:c r="H288" s="68" t="str">
        <x:v>THCS Vương Hữu Nhơn</x:v>
      </x:c>
      <x:c r="I288" s="68" t="str">
        <x:v>Xã Phước Long</x:v>
      </x:c>
      <x:c r="J288" s="124" t="n">
        <x:v>33</x:v>
      </x:c>
      <x:c r="K288" s="130" t="n">
        <x:v>38</x:v>
      </x:c>
      <x:c r="L288" s="124"/>
      <x:c r="M288" s="124"/>
      <x:c r="N288" s="124" t="n">
        <x:v>71</x:v>
      </x:c>
      <x:c r="O288" s="69" t="str"/>
    </x:row>
    <x:row r="289" ht="21" customHeight="1">
      <x:c r="A289" s="100" t="n">
        <x:v>285</x:v>
      </x:c>
      <x:c r="B289" s="172" t="n">
        <x:v>95211009175</x:v>
      </x:c>
      <x:c r="C289" s="68" t="str">
        <x:v>PHẠM QUỐC KHẢI</x:v>
      </x:c>
      <x:c r="D289" s="106" t="str"/>
      <x:c r="E289" s="118" t="n">
        <x:v>40840</x:v>
      </x:c>
      <x:c r="F289" s="106" t="str">
        <x:v>Kinh</x:v>
      </x:c>
      <x:c r="G289" s="68" t="str">
        <x:v>Xã Vĩnh Phước</x:v>
      </x:c>
      <x:c r="H289" s="68" t="str">
        <x:v>THCS Hưng Phú</x:v>
      </x:c>
      <x:c r="I289" s="68" t="str">
        <x:v>Xã Vĩnh Thanh</x:v>
      </x:c>
      <x:c r="J289" s="124" t="n">
        <x:v>32.9</x:v>
      </x:c>
      <x:c r="K289" s="130" t="n">
        <x:v>38</x:v>
      </x:c>
      <x:c r="L289" s="124"/>
      <x:c r="M289" s="124"/>
      <x:c r="N289" s="124" t="n">
        <x:v>70.9</x:v>
      </x:c>
      <x:c r="O289" s="69" t="str"/>
    </x:row>
    <x:row r="290" ht="21" customHeight="1">
      <x:c r="A290" s="100" t="n">
        <x:v>286</x:v>
      </x:c>
      <x:c r="B290" s="172" t="n">
        <x:v>95211006374</x:v>
      </x:c>
      <x:c r="C290" s="68" t="str">
        <x:v>LÂM BẢN LỈNH</x:v>
      </x:c>
      <x:c r="D290" s="106" t="str"/>
      <x:c r="E290" s="118" t="n">
        <x:v>40696</x:v>
      </x:c>
      <x:c r="F290" s="106" t="str">
        <x:v>Kinh</x:v>
      </x:c>
      <x:c r="G290" s="68" t="str">
        <x:v>Xã Vĩnh Thanh</x:v>
      </x:c>
      <x:c r="H290" s="68" t="str">
        <x:v>THCS Hưng Phú</x:v>
      </x:c>
      <x:c r="I290" s="68" t="str">
        <x:v>Xã Vĩnh Thanh</x:v>
      </x:c>
      <x:c r="J290" s="124" t="n">
        <x:v>32.9</x:v>
      </x:c>
      <x:c r="K290" s="130" t="n">
        <x:v>38</x:v>
      </x:c>
      <x:c r="L290" s="124"/>
      <x:c r="M290" s="124"/>
      <x:c r="N290" s="124" t="n">
        <x:v>70.9</x:v>
      </x:c>
      <x:c r="O290" s="69" t="str"/>
    </x:row>
    <x:row r="291" ht="21" customHeight="1">
      <x:c r="A291" s="100" t="n">
        <x:v>287</x:v>
      </x:c>
      <x:c r="B291" s="172" t="n">
        <x:v>95310004627</x:v>
      </x:c>
      <x:c r="C291" s="68" t="str">
        <x:v>NGUYỄN THỊ NGỌC TRÚC</x:v>
      </x:c>
      <x:c r="D291" s="106" t="str">
        <x:v>X</x:v>
      </x:c>
      <x:c r="E291" s="118" t="n">
        <x:v>40487</x:v>
      </x:c>
      <x:c r="F291" s="106" t="str">
        <x:v>Kinh</x:v>
      </x:c>
      <x:c r="G291" s="68" t="str">
        <x:v>Xã Vĩnh Thanh</x:v>
      </x:c>
      <x:c r="H291" s="68" t="str">
        <x:v>THCS Hưng Phú</x:v>
      </x:c>
      <x:c r="I291" s="68" t="str">
        <x:v>Xã Vĩnh Thanh</x:v>
      </x:c>
      <x:c r="J291" s="124" t="n">
        <x:v>33.9</x:v>
      </x:c>
      <x:c r="K291" s="130" t="n">
        <x:v>37</x:v>
      </x:c>
      <x:c r="L291" s="124"/>
      <x:c r="M291" s="124"/>
      <x:c r="N291" s="124" t="n">
        <x:v>70.9</x:v>
      </x:c>
      <x:c r="O291" s="69" t="str"/>
    </x:row>
    <x:row r="292" ht="21" customHeight="1">
      <x:c r="A292" s="100" t="n">
        <x:v>288</x:v>
      </x:c>
      <x:c r="B292" s="172" t="n">
        <x:v>95311001100</x:v>
      </x:c>
      <x:c r="C292" s="68" t="str">
        <x:v>HUỲNH YẾN VY</x:v>
      </x:c>
      <x:c r="D292" s="106" t="str">
        <x:v>X</x:v>
      </x:c>
      <x:c r="E292" s="118" t="n">
        <x:v>40718</x:v>
      </x:c>
      <x:c r="F292" s="106" t="str">
        <x:v>Kinh</x:v>
      </x:c>
      <x:c r="G292" s="68" t="str">
        <x:v>Xã Vĩnh Thanh</x:v>
      </x:c>
      <x:c r="H292" s="68" t="str">
        <x:v>THCS Hưng Phú</x:v>
      </x:c>
      <x:c r="I292" s="68" t="str">
        <x:v>Xã Vĩnh Thanh</x:v>
      </x:c>
      <x:c r="J292" s="124" t="n">
        <x:v>32.9</x:v>
      </x:c>
      <x:c r="K292" s="130" t="n">
        <x:v>38</x:v>
      </x:c>
      <x:c r="L292" s="124"/>
      <x:c r="M292" s="124"/>
      <x:c r="N292" s="124" t="n">
        <x:v>70.9</x:v>
      </x:c>
      <x:c r="O292" s="69" t="str"/>
    </x:row>
    <x:row r="293" ht="21" customHeight="1">
      <x:c r="A293" s="100" t="n">
        <x:v>289</x:v>
      </x:c>
      <x:c r="B293" s="172" t="n">
        <x:v>95311003006</x:v>
      </x:c>
      <x:c r="C293" s="68" t="str">
        <x:v>QUÁCH Y NGỌC</x:v>
      </x:c>
      <x:c r="D293" s="106" t="str">
        <x:v>X</x:v>
      </x:c>
      <x:c r="E293" s="118" t="n">
        <x:v>40879</x:v>
      </x:c>
      <x:c r="F293" s="106" t="str">
        <x:v>Kinh</x:v>
      </x:c>
      <x:c r="G293" s="68" t="str">
        <x:v>Xã Gành Hào</x:v>
      </x:c>
      <x:c r="H293" s="68" t="str">
        <x:v>THCS Hưng Phú</x:v>
      </x:c>
      <x:c r="I293" s="68" t="str">
        <x:v>Xã Vĩnh Thanh</x:v>
      </x:c>
      <x:c r="J293" s="124" t="n">
        <x:v>32.9</x:v>
      </x:c>
      <x:c r="K293" s="130" t="n">
        <x:v>38</x:v>
      </x:c>
      <x:c r="L293" s="124"/>
      <x:c r="M293" s="124"/>
      <x:c r="N293" s="124" t="n">
        <x:v>70.9</x:v>
      </x:c>
      <x:c r="O293" s="69" t="str"/>
    </x:row>
    <x:row r="294" ht="21" customHeight="1">
      <x:c r="A294" s="100" t="n">
        <x:v>290</x:v>
      </x:c>
      <x:c r="B294" s="172" t="n">
        <x:v>95311000541</x:v>
      </x:c>
      <x:c r="C294" s="68" t="str">
        <x:v>PHẠM ANH THƯ</x:v>
      </x:c>
      <x:c r="D294" s="106" t="str">
        <x:v>X</x:v>
      </x:c>
      <x:c r="E294" s="118" t="n">
        <x:v>40741</x:v>
      </x:c>
      <x:c r="F294" s="106" t="str">
        <x:v>Kinh</x:v>
      </x:c>
      <x:c r="G294" s="68" t="str">
        <x:v>Xã Vĩnh Phước</x:v>
      </x:c>
      <x:c r="H294" s="68" t="str">
        <x:v>THCS Vĩnh Thanh</x:v>
      </x:c>
      <x:c r="I294" s="68" t="str">
        <x:v>Xã Vĩnh Thanh</x:v>
      </x:c>
      <x:c r="J294" s="124" t="n">
        <x:v>31.9</x:v>
      </x:c>
      <x:c r="K294" s="130" t="n">
        <x:v>38</x:v>
      </x:c>
      <x:c r="L294" s="124" t="n">
        <x:v>1</x:v>
      </x:c>
      <x:c r="M294" s="124"/>
      <x:c r="N294" s="124" t="n">
        <x:v>70.9</x:v>
      </x:c>
      <x:c r="O294" s="69" t="str"/>
    </x:row>
    <x:row r="295" ht="21" customHeight="1">
      <x:c r="A295" s="100" t="n">
        <x:v>291</x:v>
      </x:c>
      <x:c r="B295" s="172" t="n">
        <x:v>95311009153</x:v>
      </x:c>
      <x:c r="C295" s="68" t="str">
        <x:v>LÊ MINH THƯ</x:v>
      </x:c>
      <x:c r="D295" s="106" t="str">
        <x:v>X</x:v>
      </x:c>
      <x:c r="E295" s="118" t="n">
        <x:v>40781</x:v>
      </x:c>
      <x:c r="F295" s="106" t="str">
        <x:v>Kinh</x:v>
      </x:c>
      <x:c r="G295" s="68" t="str">
        <x:v>Xã Hồng Dân</x:v>
      </x:c>
      <x:c r="H295" s="68" t="str">
        <x:v>THCS Phước Long</x:v>
      </x:c>
      <x:c r="I295" s="68" t="str">
        <x:v>Xã Vĩnh Phước</x:v>
      </x:c>
      <x:c r="J295" s="124" t="n">
        <x:v>32.9</x:v>
      </x:c>
      <x:c r="K295" s="130" t="n">
        <x:v>38</x:v>
      </x:c>
      <x:c r="L295" s="124"/>
      <x:c r="M295" s="124"/>
      <x:c r="N295" s="124" t="n">
        <x:v>70.9</x:v>
      </x:c>
      <x:c r="O295" s="69" t="str"/>
    </x:row>
    <x:row r="296" ht="21" customHeight="1">
      <x:c r="A296" s="100" t="n">
        <x:v>292</x:v>
      </x:c>
      <x:c r="B296" s="172" t="n">
        <x:v>95211001611</x:v>
      </x:c>
      <x:c r="C296" s="68" t="str">
        <x:v>ĐOÀN VŨ KHANG</x:v>
      </x:c>
      <x:c r="D296" s="106" t="str"/>
      <x:c r="E296" s="118" t="n">
        <x:v>40685</x:v>
      </x:c>
      <x:c r="F296" s="106" t="str">
        <x:v>Kinh</x:v>
      </x:c>
      <x:c r="G296" s="68" t="str">
        <x:v>Xã Phước Long</x:v>
      </x:c>
      <x:c r="H296" s="68" t="str">
        <x:v>THCS Phước Long</x:v>
      </x:c>
      <x:c r="I296" s="68" t="str">
        <x:v>Xã Phước Long</x:v>
      </x:c>
      <x:c r="J296" s="124" t="n">
        <x:v>32.8</x:v>
      </x:c>
      <x:c r="K296" s="130" t="n">
        <x:v>38</x:v>
      </x:c>
      <x:c r="L296" s="124"/>
      <x:c r="M296" s="124"/>
      <x:c r="N296" s="124" t="n">
        <x:v>70.8</x:v>
      </x:c>
      <x:c r="O296" s="69" t="str"/>
    </x:row>
    <x:row r="297" ht="21" customHeight="1">
      <x:c r="A297" s="100" t="n">
        <x:v>293</x:v>
      </x:c>
      <x:c r="B297" s="172" t="n">
        <x:v>95211009764</x:v>
      </x:c>
      <x:c r="C297" s="68" t="str">
        <x:v>NGUYỄN TRỌNG HIẾU</x:v>
      </x:c>
      <x:c r="D297" s="106" t="str"/>
      <x:c r="E297" s="118" t="n">
        <x:v>40779</x:v>
      </x:c>
      <x:c r="F297" s="106" t="str">
        <x:v>Kinh</x:v>
      </x:c>
      <x:c r="G297" s="68" t="str">
        <x:v>Xã Phước Long</x:v>
      </x:c>
      <x:c r="H297" s="68" t="str">
        <x:v>THCS Phước Long</x:v>
      </x:c>
      <x:c r="I297" s="68" t="str">
        <x:v>Xã Phước Long</x:v>
      </x:c>
      <x:c r="J297" s="124" t="n">
        <x:v>32.8</x:v>
      </x:c>
      <x:c r="K297" s="130" t="n">
        <x:v>38</x:v>
      </x:c>
      <x:c r="L297" s="124"/>
      <x:c r="M297" s="124"/>
      <x:c r="N297" s="124" t="n">
        <x:v>70.8</x:v>
      </x:c>
      <x:c r="O297" s="69" t="str"/>
    </x:row>
    <x:row r="298" ht="21" customHeight="1">
      <x:c r="A298" s="100" t="n">
        <x:v>294</x:v>
      </x:c>
      <x:c r="B298" s="172" t="n">
        <x:v>95211009047</x:v>
      </x:c>
      <x:c r="C298" s="68" t="str">
        <x:v>NGUYỄN ĐỨC AN</x:v>
      </x:c>
      <x:c r="D298" s="106" t="str"/>
      <x:c r="E298" s="118" t="n">
        <x:v>40698</x:v>
      </x:c>
      <x:c r="F298" s="106" t="str">
        <x:v>Kinh</x:v>
      </x:c>
      <x:c r="G298" s="68" t="str">
        <x:v>Xã Phước Long</x:v>
      </x:c>
      <x:c r="H298" s="68" t="str">
        <x:v>THCS Phước Long</x:v>
      </x:c>
      <x:c r="I298" s="68" t="str">
        <x:v>Xã Phước Long</x:v>
      </x:c>
      <x:c r="J298" s="124" t="n">
        <x:v>32.8</x:v>
      </x:c>
      <x:c r="K298" s="130" t="n">
        <x:v>38</x:v>
      </x:c>
      <x:c r="L298" s="124"/>
      <x:c r="M298" s="124"/>
      <x:c r="N298" s="124" t="n">
        <x:v>70.8</x:v>
      </x:c>
      <x:c r="O298" s="69" t="str"/>
    </x:row>
    <x:row r="299" ht="21" customHeight="1">
      <x:c r="A299" s="100" t="n">
        <x:v>295</x:v>
      </x:c>
      <x:c r="B299" s="172" t="n">
        <x:v>95311000139</x:v>
      </x:c>
      <x:c r="C299" s="68" t="str">
        <x:v>TRẦN THỊ GIA NGHI</x:v>
      </x:c>
      <x:c r="D299" s="106" t="str">
        <x:v>X</x:v>
      </x:c>
      <x:c r="E299" s="118" t="n">
        <x:v>40904</x:v>
      </x:c>
      <x:c r="F299" s="106" t="str">
        <x:v>Kinh</x:v>
      </x:c>
      <x:c r="G299" s="68" t="str">
        <x:v>Xã Phước Long</x:v>
      </x:c>
      <x:c r="H299" s="68" t="str">
        <x:v>THCS Vương Hữu Nhơn</x:v>
      </x:c>
      <x:c r="I299" s="68" t="str">
        <x:v>Xã Phước Long</x:v>
      </x:c>
      <x:c r="J299" s="124" t="n">
        <x:v>32.8</x:v>
      </x:c>
      <x:c r="K299" s="130" t="n">
        <x:v>38</x:v>
      </x:c>
      <x:c r="L299" s="124"/>
      <x:c r="M299" s="124"/>
      <x:c r="N299" s="124" t="n">
        <x:v>70.8</x:v>
      </x:c>
      <x:c r="O299" s="69" t="str"/>
    </x:row>
    <x:row r="300" ht="21" customHeight="1">
      <x:c r="A300" s="100" t="n">
        <x:v>296</x:v>
      </x:c>
      <x:c r="B300" s="172" t="n">
        <x:v>95311009000</x:v>
      </x:c>
      <x:c r="C300" s="68" t="str">
        <x:v>PHẠM KHÁNH BĂNG</x:v>
      </x:c>
      <x:c r="D300" s="106" t="str">
        <x:v>X</x:v>
      </x:c>
      <x:c r="E300" s="118" t="n">
        <x:v>40666</x:v>
      </x:c>
      <x:c r="F300" s="106" t="str">
        <x:v>Kinh</x:v>
      </x:c>
      <x:c r="G300" s="68" t="str">
        <x:v>Xã Vĩnh Phước</x:v>
      </x:c>
      <x:c r="H300" s="68" t="str">
        <x:v>THCS Vĩnh Phú Tây</x:v>
      </x:c>
      <x:c r="I300" s="68" t="str">
        <x:v>Xã Vĩnh Phước</x:v>
      </x:c>
      <x:c r="J300" s="124" t="n">
        <x:v>32.7</x:v>
      </x:c>
      <x:c r="K300" s="130" t="n">
        <x:v>38</x:v>
      </x:c>
      <x:c r="L300" s="124"/>
      <x:c r="M300" s="124"/>
      <x:c r="N300" s="124" t="n">
        <x:v>70.7</x:v>
      </x:c>
      <x:c r="O300" s="69" t="str"/>
    </x:row>
    <x:row r="301" ht="21" customHeight="1">
      <x:c r="A301" s="100" t="n">
        <x:v>297</x:v>
      </x:c>
      <x:c r="B301" s="172" t="n">
        <x:v>95311008331</x:v>
      </x:c>
      <x:c r="C301" s="68" t="str">
        <x:v>LÊ GIA HÂN</x:v>
      </x:c>
      <x:c r="D301" s="106" t="str">
        <x:v>X</x:v>
      </x:c>
      <x:c r="E301" s="118" t="n">
        <x:v>40615</x:v>
      </x:c>
      <x:c r="F301" s="106" t="str">
        <x:v>Kinh</x:v>
      </x:c>
      <x:c r="G301" s="68" t="str">
        <x:v>Xã Vĩnh Thanh</x:v>
      </x:c>
      <x:c r="H301" s="68" t="str">
        <x:v>THCS Hưng Phú</x:v>
      </x:c>
      <x:c r="I301" s="68" t="str">
        <x:v>Xã Vĩnh Thanh</x:v>
      </x:c>
      <x:c r="J301" s="124" t="n">
        <x:v>32.7</x:v>
      </x:c>
      <x:c r="K301" s="130" t="n">
        <x:v>38</x:v>
      </x:c>
      <x:c r="L301" s="124"/>
      <x:c r="M301" s="124"/>
      <x:c r="N301" s="124" t="n">
        <x:v>70.7</x:v>
      </x:c>
      <x:c r="O301" s="69" t="str"/>
    </x:row>
    <x:row r="302" ht="21" customHeight="1">
      <x:c r="A302" s="100" t="n">
        <x:v>298</x:v>
      </x:c>
      <x:c r="B302" s="172" t="n">
        <x:v>95311008519</x:v>
      </x:c>
      <x:c r="C302" s="68" t="str">
        <x:v>ONG THỊ KIM</x:v>
      </x:c>
      <x:c r="D302" s="106" t="str">
        <x:v>X</x:v>
      </x:c>
      <x:c r="E302" s="118" t="n">
        <x:v>40907</x:v>
      </x:c>
      <x:c r="F302" s="106" t="str">
        <x:v>Kinh</x:v>
      </x:c>
      <x:c r="G302" s="68" t="str">
        <x:v>Xã Vĩnh Phước</x:v>
      </x:c>
      <x:c r="H302" s="68" t="str">
        <x:v>THCS Phước Long</x:v>
      </x:c>
      <x:c r="I302" s="68" t="str">
        <x:v>Xã Vĩnh Phước</x:v>
      </x:c>
      <x:c r="J302" s="124" t="n">
        <x:v>32.7</x:v>
      </x:c>
      <x:c r="K302" s="130" t="n">
        <x:v>37</x:v>
      </x:c>
      <x:c r="L302" s="124" t="n">
        <x:v>1</x:v>
      </x:c>
      <x:c r="M302" s="124"/>
      <x:c r="N302" s="124" t="n">
        <x:v>70.7</x:v>
      </x:c>
      <x:c r="O302" s="69" t="str"/>
    </x:row>
    <x:row r="303" ht="21" customHeight="1">
      <x:c r="A303" s="100" t="n">
        <x:v>299</x:v>
      </x:c>
      <x:c r="B303" s="172" t="n">
        <x:v>95311003672</x:v>
      </x:c>
      <x:c r="C303" s="68" t="str">
        <x:v>NGUYỄN THỊ THANH THẢO</x:v>
      </x:c>
      <x:c r="D303" s="106" t="str">
        <x:v>X</x:v>
      </x:c>
      <x:c r="E303" s="118" t="n">
        <x:v>40758</x:v>
      </x:c>
      <x:c r="F303" s="106" t="str">
        <x:v>Kinh</x:v>
      </x:c>
      <x:c r="G303" s="68" t="str">
        <x:v>Xã Vĩnh Phước</x:v>
      </x:c>
      <x:c r="H303" s="68" t="str">
        <x:v>THCS Vĩnh Phú Tây</x:v>
      </x:c>
      <x:c r="I303" s="68" t="str">
        <x:v>Xã Vĩnh Phước</x:v>
      </x:c>
      <x:c r="J303" s="124" t="n">
        <x:v>33.7</x:v>
      </x:c>
      <x:c r="K303" s="130" t="n">
        <x:v>37</x:v>
      </x:c>
      <x:c r="L303" s="124"/>
      <x:c r="M303" s="124"/>
      <x:c r="N303" s="124" t="n">
        <x:v>70.7</x:v>
      </x:c>
      <x:c r="O303" s="69" t="str"/>
    </x:row>
    <x:row r="304" ht="21" customHeight="1">
      <x:c r="A304" s="100" t="n">
        <x:v>300</x:v>
      </x:c>
      <x:c r="B304" s="172" t="n">
        <x:v>95311002368</x:v>
      </x:c>
      <x:c r="C304" s="68" t="str">
        <x:v>CHÂU NGUYỄN THẢO NGOAN</x:v>
      </x:c>
      <x:c r="D304" s="106" t="str">
        <x:v>X</x:v>
      </x:c>
      <x:c r="E304" s="118" t="n">
        <x:v>40873</x:v>
      </x:c>
      <x:c r="F304" s="106" t="str">
        <x:v>Kinh</x:v>
      </x:c>
      <x:c r="G304" s="68" t="str">
        <x:v>Xã Vĩnh Thanh</x:v>
      </x:c>
      <x:c r="H304" s="68" t="str">
        <x:v>THCS Hưng Phú</x:v>
      </x:c>
      <x:c r="I304" s="68" t="str">
        <x:v>Xã Vĩnh Thanh</x:v>
      </x:c>
      <x:c r="J304" s="124" t="n">
        <x:v>32.7</x:v>
      </x:c>
      <x:c r="K304" s="130" t="n">
        <x:v>38</x:v>
      </x:c>
      <x:c r="L304" s="124"/>
      <x:c r="M304" s="124"/>
      <x:c r="N304" s="124" t="n">
        <x:v>70.7</x:v>
      </x:c>
      <x:c r="O304" s="69" t="str"/>
    </x:row>
    <x:row r="305" ht="21" customHeight="1">
      <x:c r="A305" s="100" t="n">
        <x:v>301</x:v>
      </x:c>
      <x:c r="B305" s="172" t="n">
        <x:v>95311003725</x:v>
      </x:c>
      <x:c r="C305" s="68" t="str">
        <x:v>NGUYỄN THỊ MỸ DUYÊN</x:v>
      </x:c>
      <x:c r="D305" s="106" t="str">
        <x:v>X</x:v>
      </x:c>
      <x:c r="E305" s="118" t="n">
        <x:v>40892</x:v>
      </x:c>
      <x:c r="F305" s="106" t="str">
        <x:v>Kinh</x:v>
      </x:c>
      <x:c r="G305" s="68" t="str">
        <x:v>Xã Phước Long</x:v>
      </x:c>
      <x:c r="H305" s="68" t="str">
        <x:v>THCS Vương Hữu Nhơn</x:v>
      </x:c>
      <x:c r="I305" s="68" t="str">
        <x:v>Xã Phước Long</x:v>
      </x:c>
      <x:c r="J305" s="124" t="n">
        <x:v>32.6</x:v>
      </x:c>
      <x:c r="K305" s="130" t="n">
        <x:v>38</x:v>
      </x:c>
      <x:c r="L305" s="124"/>
      <x:c r="M305" s="124"/>
      <x:c r="N305" s="124" t="n">
        <x:v>70.6</x:v>
      </x:c>
      <x:c r="O305" s="69" t="str"/>
    </x:row>
    <x:row r="306" ht="21" customHeight="1">
      <x:c r="A306" s="100" t="n">
        <x:v>302</x:v>
      </x:c>
      <x:c r="B306" s="172" t="n">
        <x:v>95311008548</x:v>
      </x:c>
      <x:c r="C306" s="68" t="str">
        <x:v>HUỲNH ANH THƯ</x:v>
      </x:c>
      <x:c r="D306" s="106" t="str">
        <x:v>X</x:v>
      </x:c>
      <x:c r="E306" s="118" t="n">
        <x:v>40811</x:v>
      </x:c>
      <x:c r="F306" s="106" t="str">
        <x:v>Kinh</x:v>
      </x:c>
      <x:c r="G306" s="68" t="str">
        <x:v>Xã Phước Long</x:v>
      </x:c>
      <x:c r="H306" s="68" t="str">
        <x:v>THCS Phước Long</x:v>
      </x:c>
      <x:c r="I306" s="68" t="str">
        <x:v>Xã Phước Long</x:v>
      </x:c>
      <x:c r="J306" s="124" t="n">
        <x:v>33.5</x:v>
      </x:c>
      <x:c r="K306" s="130" t="n">
        <x:v>37</x:v>
      </x:c>
      <x:c r="L306" s="124"/>
      <x:c r="M306" s="124"/>
      <x:c r="N306" s="124" t="n">
        <x:v>70.5</x:v>
      </x:c>
      <x:c r="O306" s="69" t="str"/>
    </x:row>
    <x:row r="307" ht="21" customHeight="1">
      <x:c r="A307" s="100" t="n">
        <x:v>303</x:v>
      </x:c>
      <x:c r="B307" s="172" t="n">
        <x:v>95311009311</x:v>
      </x:c>
      <x:c r="C307" s="68" t="str">
        <x:v>NGUYỄN THỊ BÍCH CHĂM</x:v>
      </x:c>
      <x:c r="D307" s="106" t="str">
        <x:v>X</x:v>
      </x:c>
      <x:c r="E307" s="118" t="n">
        <x:v>40876</x:v>
      </x:c>
      <x:c r="F307" s="106" t="str">
        <x:v>Kinh</x:v>
      </x:c>
      <x:c r="G307" s="68" t="str">
        <x:v>Xã Vĩnh Thanh</x:v>
      </x:c>
      <x:c r="H307" s="68" t="str">
        <x:v>THCS Hưng Phú</x:v>
      </x:c>
      <x:c r="I307" s="68" t="str">
        <x:v>Xã Vĩnh Thanh</x:v>
      </x:c>
      <x:c r="J307" s="124" t="n">
        <x:v>32.5</x:v>
      </x:c>
      <x:c r="K307" s="130" t="n">
        <x:v>38</x:v>
      </x:c>
      <x:c r="L307" s="124"/>
      <x:c r="M307" s="124"/>
      <x:c r="N307" s="124" t="n">
        <x:v>70.5</x:v>
      </x:c>
      <x:c r="O307" s="69" t="str"/>
    </x:row>
    <x:row r="308" ht="21" customHeight="1">
      <x:c r="A308" s="100" t="n">
        <x:v>304</x:v>
      </x:c>
      <x:c r="B308" s="172" t="n">
        <x:v>95211001584</x:v>
      </x:c>
      <x:c r="C308" s="68" t="str">
        <x:v>HUỲNH NHẬT HUY</x:v>
      </x:c>
      <x:c r="D308" s="106" t="str"/>
      <x:c r="E308" s="118" t="n">
        <x:v>40856</x:v>
      </x:c>
      <x:c r="F308" s="106" t="str">
        <x:v>Kinh</x:v>
      </x:c>
      <x:c r="G308" s="68" t="str">
        <x:v>Xã Vĩnh Thanh</x:v>
      </x:c>
      <x:c r="H308" s="68" t="str">
        <x:v>THCS Hưng Phú</x:v>
      </x:c>
      <x:c r="I308" s="68" t="str">
        <x:v>Xã Vĩnh Thanh</x:v>
      </x:c>
      <x:c r="J308" s="124" t="n">
        <x:v>32.5</x:v>
      </x:c>
      <x:c r="K308" s="130" t="n">
        <x:v>38</x:v>
      </x:c>
      <x:c r="L308" s="124"/>
      <x:c r="M308" s="124"/>
      <x:c r="N308" s="124" t="n">
        <x:v>70.5</x:v>
      </x:c>
      <x:c r="O308" s="69" t="str"/>
    </x:row>
    <x:row r="309" ht="21" customHeight="1">
      <x:c r="A309" s="100" t="n">
        <x:v>305</x:v>
      </x:c>
      <x:c r="B309" s="172" t="n">
        <x:v>95211010005</x:v>
      </x:c>
      <x:c r="C309" s="68" t="str">
        <x:v>NGUYỄN NHẬT NAM</x:v>
      </x:c>
      <x:c r="D309" s="106" t="str"/>
      <x:c r="E309" s="118" t="n">
        <x:v>40658</x:v>
      </x:c>
      <x:c r="F309" s="106" t="str">
        <x:v>Kinh</x:v>
      </x:c>
      <x:c r="G309" s="68" t="str">
        <x:v>Xã Vĩnh Thanh</x:v>
      </x:c>
      <x:c r="H309" s="68" t="str">
        <x:v>THCS Vĩnh Thanh</x:v>
      </x:c>
      <x:c r="I309" s="68" t="str">
        <x:v>Xã Vĩnh Thanh</x:v>
      </x:c>
      <x:c r="J309" s="124" t="n">
        <x:v>33.5</x:v>
      </x:c>
      <x:c r="K309" s="130" t="n">
        <x:v>37</x:v>
      </x:c>
      <x:c r="L309" s="124"/>
      <x:c r="M309" s="124"/>
      <x:c r="N309" s="124" t="n">
        <x:v>70.5</x:v>
      </x:c>
      <x:c r="O309" s="69" t="str"/>
    </x:row>
    <x:row r="310" ht="21" customHeight="1">
      <x:c r="A310" s="100" t="n">
        <x:v>306</x:v>
      </x:c>
      <x:c r="B310" s="172" t="n">
        <x:v>95211001707</x:v>
      </x:c>
      <x:c r="C310" s="68" t="str">
        <x:v>LÊ ĐỨC ANH</x:v>
      </x:c>
      <x:c r="D310" s="106" t="str"/>
      <x:c r="E310" s="118" t="n">
        <x:v>40856</x:v>
      </x:c>
      <x:c r="F310" s="106" t="str">
        <x:v>Kinh</x:v>
      </x:c>
      <x:c r="G310" s="68" t="str">
        <x:v>Xã Vĩnh Thanh</x:v>
      </x:c>
      <x:c r="H310" s="68" t="str">
        <x:v>THCS Hưng Phú</x:v>
      </x:c>
      <x:c r="I310" s="68" t="str">
        <x:v>Xã Vĩnh Thanh</x:v>
      </x:c>
      <x:c r="J310" s="124" t="n">
        <x:v>33.4</x:v>
      </x:c>
      <x:c r="K310" s="130" t="n">
        <x:v>37</x:v>
      </x:c>
      <x:c r="L310" s="124"/>
      <x:c r="M310" s="124"/>
      <x:c r="N310" s="124" t="n">
        <x:v>70.4</x:v>
      </x:c>
      <x:c r="O310" s="69" t="str"/>
    </x:row>
    <x:row r="311" ht="21" customHeight="1">
      <x:c r="A311" s="100" t="n">
        <x:v>307</x:v>
      </x:c>
      <x:c r="B311" s="172" t="n">
        <x:v>95211004683</x:v>
      </x:c>
      <x:c r="C311" s="68" t="str">
        <x:v>NGUYỄN TRỌNG QUYÊN</x:v>
      </x:c>
      <x:c r="D311" s="106" t="str"/>
      <x:c r="E311" s="118" t="n">
        <x:v>40891</x:v>
      </x:c>
      <x:c r="F311" s="106" t="str">
        <x:v>Kinh</x:v>
      </x:c>
      <x:c r="G311" s="68" t="str">
        <x:v>Xã Phước Long</x:v>
      </x:c>
      <x:c r="H311" s="68" t="str">
        <x:v>THCS Vương Hữu Nhơn</x:v>
      </x:c>
      <x:c r="I311" s="68" t="str">
        <x:v>Xã Phước Long</x:v>
      </x:c>
      <x:c r="J311" s="124" t="n">
        <x:v>32.9</x:v>
      </x:c>
      <x:c r="K311" s="130" t="n">
        <x:v>37</x:v>
      </x:c>
      <x:c r="L311" s="124"/>
      <x:c r="M311" s="124" t="n">
        <x:v>0.5</x:v>
      </x:c>
      <x:c r="N311" s="124" t="n">
        <x:v>70.4</x:v>
      </x:c>
      <x:c r="O311" s="69" t="str"/>
    </x:row>
    <x:row r="312" ht="21" customHeight="1">
      <x:c r="A312" s="100" t="n">
        <x:v>308</x:v>
      </x:c>
      <x:c r="B312" s="172" t="n">
        <x:v>95209011049</x:v>
      </x:c>
      <x:c r="C312" s="68" t="str">
        <x:v>SỬ THÀNH THỐNG</x:v>
      </x:c>
      <x:c r="D312" s="106" t="str"/>
      <x:c r="E312" s="118" t="n">
        <x:v>40145</x:v>
      </x:c>
      <x:c r="F312" s="106" t="str">
        <x:v>Kinh</x:v>
      </x:c>
      <x:c r="G312" s="68" t="str">
        <x:v>Xã Vĩnh Phước</x:v>
      </x:c>
      <x:c r="H312" s="68" t="str">
        <x:v>THCS Vĩnh Phú Tây</x:v>
      </x:c>
      <x:c r="I312" s="68" t="str">
        <x:v>Xã Vĩnh Phước</x:v>
      </x:c>
      <x:c r="J312" s="124" t="n">
        <x:v>32.3</x:v>
      </x:c>
      <x:c r="K312" s="130" t="n">
        <x:v>37</x:v>
      </x:c>
      <x:c r="L312" s="124" t="n">
        <x:v>1</x:v>
      </x:c>
      <x:c r="M312" s="124"/>
      <x:c r="N312" s="124" t="n">
        <x:v>70.3</x:v>
      </x:c>
      <x:c r="O312" s="69" t="str"/>
    </x:row>
    <x:row r="313" ht="21" customHeight="1">
      <x:c r="A313" s="100" t="n">
        <x:v>309</x:v>
      </x:c>
      <x:c r="B313" s="172" t="n">
        <x:v>95211007113</x:v>
      </x:c>
      <x:c r="C313" s="68" t="str">
        <x:v>HUỲNH THÀNH TÀI</x:v>
      </x:c>
      <x:c r="D313" s="106" t="str"/>
      <x:c r="E313" s="118" t="n">
        <x:v>40830</x:v>
      </x:c>
      <x:c r="F313" s="106" t="str">
        <x:v>Kinh</x:v>
      </x:c>
      <x:c r="G313" s="68" t="str">
        <x:v>Xã Vĩnh Thanh</x:v>
      </x:c>
      <x:c r="H313" s="68" t="str">
        <x:v>THCS Hưng Phú</x:v>
      </x:c>
      <x:c r="I313" s="68" t="str">
        <x:v>Xã Vĩnh Thanh</x:v>
      </x:c>
      <x:c r="J313" s="124" t="n">
        <x:v>32.3</x:v>
      </x:c>
      <x:c r="K313" s="130" t="n">
        <x:v>38</x:v>
      </x:c>
      <x:c r="L313" s="124"/>
      <x:c r="M313" s="124"/>
      <x:c r="N313" s="124" t="n">
        <x:v>70.3</x:v>
      </x:c>
      <x:c r="O313" s="69" t="str"/>
    </x:row>
    <x:row r="314" ht="21" customHeight="1">
      <x:c r="A314" s="100" t="n">
        <x:v>310</x:v>
      </x:c>
      <x:c r="B314" s="172" t="n">
        <x:v>95311001579</x:v>
      </x:c>
      <x:c r="C314" s="68" t="str">
        <x:v>LÊ THÚY MIN</x:v>
      </x:c>
      <x:c r="D314" s="106" t="str">
        <x:v>X</x:v>
      </x:c>
      <x:c r="E314" s="118" t="n">
        <x:v>40664</x:v>
      </x:c>
      <x:c r="F314" s="106" t="str">
        <x:v>Kinh</x:v>
      </x:c>
      <x:c r="G314" s="68" t="str">
        <x:v>Xã Vĩnh Thanh</x:v>
      </x:c>
      <x:c r="H314" s="68" t="str">
        <x:v>THCS Hưng Phú</x:v>
      </x:c>
      <x:c r="I314" s="68" t="str">
        <x:v>Xã Vĩnh Thanh</x:v>
      </x:c>
      <x:c r="J314" s="124" t="n">
        <x:v>32.3</x:v>
      </x:c>
      <x:c r="K314" s="130" t="n">
        <x:v>38</x:v>
      </x:c>
      <x:c r="L314" s="124"/>
      <x:c r="M314" s="124"/>
      <x:c r="N314" s="124" t="n">
        <x:v>70.3</x:v>
      </x:c>
      <x:c r="O314" s="69" t="str"/>
    </x:row>
    <x:row r="315" ht="21" customHeight="1">
      <x:c r="A315" s="100" t="n">
        <x:v>311</x:v>
      </x:c>
      <x:c r="B315" s="172" t="n">
        <x:v>95311005600</x:v>
      </x:c>
      <x:c r="C315" s="68" t="str">
        <x:v>DƯƠNG NGỌC KHÁNH</x:v>
      </x:c>
      <x:c r="D315" s="106" t="str">
        <x:v>X</x:v>
      </x:c>
      <x:c r="E315" s="118" t="n">
        <x:v>40827</x:v>
      </x:c>
      <x:c r="F315" s="106" t="str">
        <x:v>Kinh</x:v>
      </x:c>
      <x:c r="G315" s="68" t="str">
        <x:v>Xã Vĩnh Thanh</x:v>
      </x:c>
      <x:c r="H315" s="68" t="str">
        <x:v>THCS Hưng Phú</x:v>
      </x:c>
      <x:c r="I315" s="68" t="str">
        <x:v>Xã Vĩnh Thanh</x:v>
      </x:c>
      <x:c r="J315" s="124" t="n">
        <x:v>32.3</x:v>
      </x:c>
      <x:c r="K315" s="130" t="n">
        <x:v>38</x:v>
      </x:c>
      <x:c r="L315" s="124"/>
      <x:c r="M315" s="124"/>
      <x:c r="N315" s="124" t="n">
        <x:v>70.3</x:v>
      </x:c>
      <x:c r="O315" s="69" t="str"/>
    </x:row>
    <x:row r="316" ht="21" customHeight="1">
      <x:c r="A316" s="100" t="n">
        <x:v>312</x:v>
      </x:c>
      <x:c r="B316" s="172" t="n">
        <x:v>95311007896</x:v>
      </x:c>
      <x:c r="C316" s="68" t="str">
        <x:v>LÂM THỊ TƯỜNG VY</x:v>
      </x:c>
      <x:c r="D316" s="106" t="str">
        <x:v>X</x:v>
      </x:c>
      <x:c r="E316" s="118" t="n">
        <x:v>40638</x:v>
      </x:c>
      <x:c r="F316" s="106" t="str">
        <x:v>Khmer</x:v>
      </x:c>
      <x:c r="G316" s="68" t="str">
        <x:v>Xã Vĩnh Thanh</x:v>
      </x:c>
      <x:c r="H316" s="68" t="str">
        <x:v>THCS Vĩnh Thanh</x:v>
      </x:c>
      <x:c r="I316" s="68" t="str">
        <x:v>Xã Vĩnh Thanh</x:v>
      </x:c>
      <x:c r="J316" s="124" t="n">
        <x:v>31.3</x:v>
      </x:c>
      <x:c r="K316" s="130" t="n">
        <x:v>38</x:v>
      </x:c>
      <x:c r="L316" s="124" t="n">
        <x:v>1</x:v>
      </x:c>
      <x:c r="M316" s="124"/>
      <x:c r="N316" s="124" t="n">
        <x:v>70.3</x:v>
      </x:c>
      <x:c r="O316" s="69" t="str"/>
    </x:row>
    <x:row r="317" ht="21" customHeight="1">
      <x:c r="A317" s="100" t="n">
        <x:v>313</x:v>
      </x:c>
      <x:c r="B317" s="172" t="n">
        <x:v>87311014965</x:v>
      </x:c>
      <x:c r="C317" s="68" t="str">
        <x:v>NGUYỄN THỊ XUÂN THỦY</x:v>
      </x:c>
      <x:c r="D317" s="106" t="str">
        <x:v>X</x:v>
      </x:c>
      <x:c r="E317" s="118" t="n">
        <x:v>40862</x:v>
      </x:c>
      <x:c r="F317" s="106" t="str">
        <x:v>Kinh</x:v>
      </x:c>
      <x:c r="G317" s="68" t="str">
        <x:v>Xã Phước Long</x:v>
      </x:c>
      <x:c r="H317" s="68" t="str">
        <x:v>THCS Vương Hữu Nhơn</x:v>
      </x:c>
      <x:c r="I317" s="68" t="str">
        <x:v>Xã Phước Long</x:v>
      </x:c>
      <x:c r="J317" s="124" t="n">
        <x:v>32.3</x:v>
      </x:c>
      <x:c r="K317" s="130" t="n">
        <x:v>38</x:v>
      </x:c>
      <x:c r="L317" s="124"/>
      <x:c r="M317" s="124"/>
      <x:c r="N317" s="124" t="n">
        <x:v>70.3</x:v>
      </x:c>
      <x:c r="O317" s="69" t="str"/>
    </x:row>
    <x:row r="318" ht="21" customHeight="1">
      <x:c r="A318" s="100" t="n">
        <x:v>314</x:v>
      </x:c>
      <x:c r="B318" s="172" t="n">
        <x:v>95311004105</x:v>
      </x:c>
      <x:c r="C318" s="68" t="str">
        <x:v>HUỲNH CẨM DUYÊN</x:v>
      </x:c>
      <x:c r="D318" s="106" t="str">
        <x:v>X</x:v>
      </x:c>
      <x:c r="E318" s="118" t="n">
        <x:v>40682</x:v>
      </x:c>
      <x:c r="F318" s="106" t="str">
        <x:v>Kinh</x:v>
      </x:c>
      <x:c r="G318" s="68" t="str">
        <x:v>Xã Phước Long</x:v>
      </x:c>
      <x:c r="H318" s="68" t="str">
        <x:v>THCS Phước Long</x:v>
      </x:c>
      <x:c r="I318" s="68" t="str">
        <x:v>Xã Phước Long</x:v>
      </x:c>
      <x:c r="J318" s="124" t="n">
        <x:v>33.2</x:v>
      </x:c>
      <x:c r="K318" s="130" t="n">
        <x:v>37</x:v>
      </x:c>
      <x:c r="L318" s="124"/>
      <x:c r="M318" s="124"/>
      <x:c r="N318" s="124" t="n">
        <x:v>70.2</x:v>
      </x:c>
      <x:c r="O318" s="69" t="str"/>
    </x:row>
    <x:row r="319" ht="21" customHeight="1">
      <x:c r="A319" s="100" t="n">
        <x:v>315</x:v>
      </x:c>
      <x:c r="B319" s="172" t="n">
        <x:v>95311003085</x:v>
      </x:c>
      <x:c r="C319" s="68" t="str">
        <x:v>NGUYỄN THỊ ANH THƯ</x:v>
      </x:c>
      <x:c r="D319" s="106" t="str">
        <x:v>X</x:v>
      </x:c>
      <x:c r="E319" s="118" t="n">
        <x:v>40879</x:v>
      </x:c>
      <x:c r="F319" s="106" t="str">
        <x:v>Kinh</x:v>
      </x:c>
      <x:c r="G319" s="68" t="str">
        <x:v>Xã Phước Long</x:v>
      </x:c>
      <x:c r="H319" s="68" t="str">
        <x:v>THCS Phước Long</x:v>
      </x:c>
      <x:c r="I319" s="68" t="str">
        <x:v>Xã Phước Long</x:v>
      </x:c>
      <x:c r="J319" s="124" t="n">
        <x:v>32.2</x:v>
      </x:c>
      <x:c r="K319" s="130" t="n">
        <x:v>38</x:v>
      </x:c>
      <x:c r="L319" s="124"/>
      <x:c r="M319" s="124"/>
      <x:c r="N319" s="124" t="n">
        <x:v>70.2</x:v>
      </x:c>
      <x:c r="O319" s="69" t="str"/>
    </x:row>
    <x:row r="320" ht="21" customHeight="1">
      <x:c r="A320" s="100" t="n">
        <x:v>316</x:v>
      </x:c>
      <x:c r="B320" s="172" t="n">
        <x:v>95311003359</x:v>
      </x:c>
      <x:c r="C320" s="68" t="str">
        <x:v>TRẦN THỊ MỘNG NGHI</x:v>
      </x:c>
      <x:c r="D320" s="106" t="str">
        <x:v>X</x:v>
      </x:c>
      <x:c r="E320" s="118" t="n">
        <x:v>40711</x:v>
      </x:c>
      <x:c r="F320" s="106" t="str">
        <x:v>Kinh</x:v>
      </x:c>
      <x:c r="G320" s="68" t="str">
        <x:v>Xã Vĩnh Thanh</x:v>
      </x:c>
      <x:c r="H320" s="68" t="str">
        <x:v>THCS Hưng Phú</x:v>
      </x:c>
      <x:c r="I320" s="68" t="str">
        <x:v>Xã Vĩnh Thanh</x:v>
      </x:c>
      <x:c r="J320" s="124" t="n">
        <x:v>33.2</x:v>
      </x:c>
      <x:c r="K320" s="130" t="n">
        <x:v>37</x:v>
      </x:c>
      <x:c r="L320" s="124"/>
      <x:c r="M320" s="124"/>
      <x:c r="N320" s="124" t="n">
        <x:v>70.2</x:v>
      </x:c>
      <x:c r="O320" s="69" t="str"/>
    </x:row>
    <x:row r="321" ht="21" customHeight="1">
      <x:c r="A321" s="100" t="n">
        <x:v>317</x:v>
      </x:c>
      <x:c r="B321" s="172" t="n">
        <x:v>95311003898</x:v>
      </x:c>
      <x:c r="C321" s="68" t="str">
        <x:v>TRẦN HẠ VI</x:v>
      </x:c>
      <x:c r="D321" s="106" t="str">
        <x:v>X</x:v>
      </x:c>
      <x:c r="E321" s="118" t="n">
        <x:v>40836</x:v>
      </x:c>
      <x:c r="F321" s="106" t="str">
        <x:v>Kinh</x:v>
      </x:c>
      <x:c r="G321" s="68" t="str">
        <x:v>Xã Phước Long</x:v>
      </x:c>
      <x:c r="H321" s="68" t="str">
        <x:v>THCS Phước Long</x:v>
      </x:c>
      <x:c r="I321" s="68" t="str">
        <x:v>Xã Phước Long</x:v>
      </x:c>
      <x:c r="J321" s="124" t="n">
        <x:v>32.1</x:v>
      </x:c>
      <x:c r="K321" s="130" t="n">
        <x:v>38</x:v>
      </x:c>
      <x:c r="L321" s="124"/>
      <x:c r="M321" s="124"/>
      <x:c r="N321" s="124" t="n">
        <x:v>70.1</x:v>
      </x:c>
      <x:c r="O321" s="69" t="str"/>
    </x:row>
    <x:row r="322" ht="21" customHeight="1">
      <x:c r="A322" s="100" t="n">
        <x:v>318</x:v>
      </x:c>
      <x:c r="B322" s="172" t="n">
        <x:v>91211000591</x:v>
      </x:c>
      <x:c r="C322" s="68" t="str">
        <x:v>LÊ PHÚ SĨ</x:v>
      </x:c>
      <x:c r="D322" s="106" t="str"/>
      <x:c r="E322" s="118" t="n">
        <x:v>40560</x:v>
      </x:c>
      <x:c r="F322" s="106" t="str">
        <x:v>Kinh</x:v>
      </x:c>
      <x:c r="G322" s="68" t="str">
        <x:v>Xã Vĩnh Phước</x:v>
      </x:c>
      <x:c r="H322" s="68" t="str">
        <x:v>THCS Vĩnh Phú Tây</x:v>
      </x:c>
      <x:c r="I322" s="68" t="str">
        <x:v>Xã Vĩnh Phước</x:v>
      </x:c>
      <x:c r="J322" s="124" t="n">
        <x:v>33.1</x:v>
      </x:c>
      <x:c r="K322" s="130" t="n">
        <x:v>37</x:v>
      </x:c>
      <x:c r="L322" s="124"/>
      <x:c r="M322" s="124"/>
      <x:c r="N322" s="124" t="n">
        <x:v>70.1</x:v>
      </x:c>
      <x:c r="O322" s="69" t="str"/>
    </x:row>
    <x:row r="323" ht="21" customHeight="1">
      <x:c r="A323" s="100" t="n">
        <x:v>319</x:v>
      </x:c>
      <x:c r="B323" s="172" t="n">
        <x:v>95211005521</x:v>
      </x:c>
      <x:c r="C323" s="68" t="str">
        <x:v>NGUYỄN TRÍ NGUYÊN</x:v>
      </x:c>
      <x:c r="D323" s="106" t="str"/>
      <x:c r="E323" s="118" t="n">
        <x:v>40810</x:v>
      </x:c>
      <x:c r="F323" s="106" t="str">
        <x:v>Kinh</x:v>
      </x:c>
      <x:c r="G323" s="68" t="str">
        <x:v>Xã Vĩnh Phước</x:v>
      </x:c>
      <x:c r="H323" s="68" t="str">
        <x:v>THCS Vĩnh Phú Tây</x:v>
      </x:c>
      <x:c r="I323" s="68" t="str">
        <x:v>Xã Vĩnh Phước</x:v>
      </x:c>
      <x:c r="J323" s="124" t="n">
        <x:v>33.1</x:v>
      </x:c>
      <x:c r="K323" s="130" t="n">
        <x:v>37</x:v>
      </x:c>
      <x:c r="L323" s="124"/>
      <x:c r="M323" s="124"/>
      <x:c r="N323" s="124" t="n">
        <x:v>70.1</x:v>
      </x:c>
      <x:c r="O323" s="69" t="str"/>
    </x:row>
    <x:row r="324" ht="21" customHeight="1">
      <x:c r="A324" s="100" t="n">
        <x:v>320</x:v>
      </x:c>
      <x:c r="B324" s="172" t="n">
        <x:v>95311003636</x:v>
      </x:c>
      <x:c r="C324" s="68" t="str">
        <x:v>ĐỖ THỊ NGỌC ĐỢI</x:v>
      </x:c>
      <x:c r="D324" s="106" t="str">
        <x:v>X</x:v>
      </x:c>
      <x:c r="E324" s="118" t="n">
        <x:v>40833</x:v>
      </x:c>
      <x:c r="F324" s="106" t="str">
        <x:v>Kinh</x:v>
      </x:c>
      <x:c r="G324" s="68" t="str">
        <x:v>Xã Vĩnh Thanh</x:v>
      </x:c>
      <x:c r="H324" s="68" t="str">
        <x:v>THCS Hưng Phú</x:v>
      </x:c>
      <x:c r="I324" s="68" t="str">
        <x:v>Xã Vĩnh Thanh</x:v>
      </x:c>
      <x:c r="J324" s="124" t="n">
        <x:v>33.1</x:v>
      </x:c>
      <x:c r="K324" s="130" t="n">
        <x:v>37</x:v>
      </x:c>
      <x:c r="L324" s="124"/>
      <x:c r="M324" s="124"/>
      <x:c r="N324" s="124" t="n">
        <x:v>70.1</x:v>
      </x:c>
      <x:c r="O324" s="69" t="str"/>
    </x:row>
    <x:row r="325" ht="21" customHeight="1">
      <x:c r="A325" s="100" t="n">
        <x:v>321</x:v>
      </x:c>
      <x:c r="B325" s="172" t="n">
        <x:v>95311003403</x:v>
      </x:c>
      <x:c r="C325" s="68" t="str">
        <x:v>LÊ THỊ NHƯ Ý</x:v>
      </x:c>
      <x:c r="D325" s="106" t="str">
        <x:v>X</x:v>
      </x:c>
      <x:c r="E325" s="118" t="n">
        <x:v>40900</x:v>
      </x:c>
      <x:c r="F325" s="106" t="str">
        <x:v>Kinh</x:v>
      </x:c>
      <x:c r="G325" s="68" t="str">
        <x:v>Xã Vĩnh Phước</x:v>
      </x:c>
      <x:c r="H325" s="68" t="str">
        <x:v>THCS Vĩnh Thanh</x:v>
      </x:c>
      <x:c r="I325" s="68" t="str">
        <x:v>Xã Vĩnh Thanh</x:v>
      </x:c>
      <x:c r="J325" s="124" t="n">
        <x:v>32.1</x:v>
      </x:c>
      <x:c r="K325" s="130" t="n">
        <x:v>37</x:v>
      </x:c>
      <x:c r="L325" s="124" t="n">
        <x:v>1</x:v>
      </x:c>
      <x:c r="M325" s="124"/>
      <x:c r="N325" s="124" t="n">
        <x:v>70.1</x:v>
      </x:c>
      <x:c r="O325" s="69" t="str"/>
    </x:row>
    <x:row r="326" ht="21" customHeight="1">
      <x:c r="A326" s="100" t="n">
        <x:v>322</x:v>
      </x:c>
      <x:c r="B326" s="172" t="n">
        <x:v>95311007680</x:v>
      </x:c>
      <x:c r="C326" s="68" t="str">
        <x:v>VÕ CÁT TƯỜNG</x:v>
      </x:c>
      <x:c r="D326" s="106" t="str">
        <x:v>X</x:v>
      </x:c>
      <x:c r="E326" s="118" t="n">
        <x:v>40720</x:v>
      </x:c>
      <x:c r="F326" s="106" t="str">
        <x:v>Kinh</x:v>
      </x:c>
      <x:c r="G326" s="68" t="str">
        <x:v>Xã Vĩnh Thanh</x:v>
      </x:c>
      <x:c r="H326" s="68" t="str">
        <x:v>THCS Vĩnh Thanh</x:v>
      </x:c>
      <x:c r="I326" s="68" t="str">
        <x:v>Xã Vĩnh Thanh</x:v>
      </x:c>
      <x:c r="J326" s="124" t="n">
        <x:v>32.1</x:v>
      </x:c>
      <x:c r="K326" s="130" t="n">
        <x:v>38</x:v>
      </x:c>
      <x:c r="L326" s="124"/>
      <x:c r="M326" s="124"/>
      <x:c r="N326" s="124" t="n">
        <x:v>70.1</x:v>
      </x:c>
      <x:c r="O326" s="69" t="str"/>
    </x:row>
    <x:row r="327" ht="21" customHeight="1">
      <x:c r="A327" s="100" t="n">
        <x:v>323</x:v>
      </x:c>
      <x:c r="B327" s="172" t="n">
        <x:v>95210002099</x:v>
      </x:c>
      <x:c r="C327" s="68" t="str">
        <x:v>TRẦN QUỐC KHÔI</x:v>
      </x:c>
      <x:c r="D327" s="106" t="str"/>
      <x:c r="E327" s="118" t="n">
        <x:v>40462</x:v>
      </x:c>
      <x:c r="F327" s="106" t="str">
        <x:v>Kinh</x:v>
      </x:c>
      <x:c r="G327" s="68" t="str">
        <x:v>Xã Vĩnh Phước</x:v>
      </x:c>
      <x:c r="H327" s="68" t="str">
        <x:v>THCS Phước Long</x:v>
      </x:c>
      <x:c r="I327" s="68" t="str">
        <x:v>Xã Vĩnh Phước</x:v>
      </x:c>
      <x:c r="J327" s="124" t="n">
        <x:v>32.1</x:v>
      </x:c>
      <x:c r="K327" s="130" t="n">
        <x:v>37</x:v>
      </x:c>
      <x:c r="L327" s="124" t="n">
        <x:v>1</x:v>
      </x:c>
      <x:c r="M327" s="124"/>
      <x:c r="N327" s="124" t="n">
        <x:v>70.1</x:v>
      </x:c>
      <x:c r="O327" s="69" t="str"/>
    </x:row>
    <x:row r="328" ht="21" customHeight="1">
      <x:c r="A328" s="100" t="n">
        <x:v>324</x:v>
      </x:c>
      <x:c r="B328" s="172" t="n">
        <x:v>95311002701</x:v>
      </x:c>
      <x:c r="C328" s="68" t="str">
        <x:v>NGUYỄN THỊ NHƯ QUỲNH</x:v>
      </x:c>
      <x:c r="D328" s="106" t="str">
        <x:v>X</x:v>
      </x:c>
      <x:c r="E328" s="118" t="n">
        <x:v>40877</x:v>
      </x:c>
      <x:c r="F328" s="106" t="str">
        <x:v>Khmer</x:v>
      </x:c>
      <x:c r="G328" s="68" t="str">
        <x:v>Xã Phước Long</x:v>
      </x:c>
      <x:c r="H328" s="68" t="str">
        <x:v>THCS Trương Vĩnh Ký</x:v>
      </x:c>
      <x:c r="I328" s="68" t="str">
        <x:v>Xã Hồng Dân</x:v>
      </x:c>
      <x:c r="J328" s="124" t="n">
        <x:v>32.1</x:v>
      </x:c>
      <x:c r="K328" s="130" t="n">
        <x:v>37</x:v>
      </x:c>
      <x:c r="L328" s="124" t="n">
        <x:v>1</x:v>
      </x:c>
      <x:c r="M328" s="124"/>
      <x:c r="N328" s="124" t="n">
        <x:v>70.1</x:v>
      </x:c>
      <x:c r="O328" s="69" t="str"/>
    </x:row>
    <x:row r="329" ht="21" customHeight="1">
      <x:c r="A329" s="100" t="n">
        <x:v>325</x:v>
      </x:c>
      <x:c r="B329" s="172" t="n">
        <x:v>95311003112</x:v>
      </x:c>
      <x:c r="C329" s="68" t="str">
        <x:v>NGÔ DIỆP VÂN KHANH</x:v>
      </x:c>
      <x:c r="D329" s="106" t="str">
        <x:v>X</x:v>
      </x:c>
      <x:c r="E329" s="118" t="n">
        <x:v>40590</x:v>
      </x:c>
      <x:c r="F329" s="106" t="str">
        <x:v>Kinh</x:v>
      </x:c>
      <x:c r="G329" s="68" t="str">
        <x:v>Xã Phước Long</x:v>
      </x:c>
      <x:c r="H329" s="68" t="str">
        <x:v>THCS Phước Long</x:v>
      </x:c>
      <x:c r="I329" s="68" t="str">
        <x:v>Xã Phước Long</x:v>
      </x:c>
      <x:c r="J329" s="124" t="n">
        <x:v>33</x:v>
      </x:c>
      <x:c r="K329" s="130" t="n">
        <x:v>37</x:v>
      </x:c>
      <x:c r="L329" s="124"/>
      <x:c r="M329" s="124"/>
      <x:c r="N329" s="124" t="n">
        <x:v>70</x:v>
      </x:c>
      <x:c r="O329" s="69" t="str"/>
    </x:row>
    <x:row r="330" ht="21" customHeight="1">
      <x:c r="A330" s="100" t="n">
        <x:v>326</x:v>
      </x:c>
      <x:c r="B330" s="172" t="n">
        <x:v>95211001648</x:v>
      </x:c>
      <x:c r="C330" s="68" t="str">
        <x:v>NGUYỄN DUY AN</x:v>
      </x:c>
      <x:c r="D330" s="106" t="str"/>
      <x:c r="E330" s="118" t="n">
        <x:v>40591</x:v>
      </x:c>
      <x:c r="F330" s="106" t="str">
        <x:v>Khmer</x:v>
      </x:c>
      <x:c r="G330" s="68" t="str">
        <x:v>Xã Phước Long</x:v>
      </x:c>
      <x:c r="H330" s="68" t="str">
        <x:v>THCS Phước Long</x:v>
      </x:c>
      <x:c r="I330" s="68" t="str">
        <x:v>Xã Phước Long</x:v>
      </x:c>
      <x:c r="J330" s="124" t="n">
        <x:v>32</x:v>
      </x:c>
      <x:c r="K330" s="130" t="n">
        <x:v>37</x:v>
      </x:c>
      <x:c r="L330" s="124" t="n">
        <x:v>1</x:v>
      </x:c>
      <x:c r="M330" s="124"/>
      <x:c r="N330" s="124" t="n">
        <x:v>70</x:v>
      </x:c>
      <x:c r="O330" s="69" t="str"/>
    </x:row>
    <x:row r="331" ht="21" customHeight="1">
      <x:c r="A331" s="100" t="n">
        <x:v>327</x:v>
      </x:c>
      <x:c r="B331" s="172" t="n">
        <x:v>95311002357</x:v>
      </x:c>
      <x:c r="C331" s="68" t="str">
        <x:v>NGUYỄN THỊ MAI QUỲNH</x:v>
      </x:c>
      <x:c r="D331" s="106" t="str">
        <x:v>X</x:v>
      </x:c>
      <x:c r="E331" s="118" t="n">
        <x:v>40766</x:v>
      </x:c>
      <x:c r="F331" s="106" t="str">
        <x:v>Kinh</x:v>
      </x:c>
      <x:c r="G331" s="68" t="str">
        <x:v>Xã Vĩnh Phước</x:v>
      </x:c>
      <x:c r="H331" s="68" t="str">
        <x:v>THCS Vĩnh Phú Tây</x:v>
      </x:c>
      <x:c r="I331" s="68" t="str">
        <x:v>Xã Vĩnh Phước</x:v>
      </x:c>
      <x:c r="J331" s="124" t="n">
        <x:v>32</x:v>
      </x:c>
      <x:c r="K331" s="130" t="n">
        <x:v>37</x:v>
      </x:c>
      <x:c r="L331" s="124" t="n">
        <x:v>1</x:v>
      </x:c>
      <x:c r="M331" s="124"/>
      <x:c r="N331" s="124" t="n">
        <x:v>70</x:v>
      </x:c>
      <x:c r="O331" s="69" t="str"/>
    </x:row>
    <x:row r="332" ht="21" customHeight="1">
      <x:c r="A332" s="100" t="n">
        <x:v>328</x:v>
      </x:c>
      <x:c r="B332" s="172" t="n">
        <x:v>95211004021</x:v>
      </x:c>
      <x:c r="C332" s="68" t="str">
        <x:v>NGUYỄN GIA BẢO</x:v>
      </x:c>
      <x:c r="D332" s="106" t="str"/>
      <x:c r="E332" s="118" t="n">
        <x:v>40602</x:v>
      </x:c>
      <x:c r="F332" s="106" t="str">
        <x:v>Kinh</x:v>
      </x:c>
      <x:c r="G332" s="68" t="str">
        <x:v>Xã Phước Long</x:v>
      </x:c>
      <x:c r="H332" s="68" t="str">
        <x:v>THCS Vĩnh Thanh</x:v>
      </x:c>
      <x:c r="I332" s="68" t="str">
        <x:v>Xã Vĩnh Thanh</x:v>
      </x:c>
      <x:c r="J332" s="124" t="n">
        <x:v>32</x:v>
      </x:c>
      <x:c r="K332" s="130" t="n">
        <x:v>38</x:v>
      </x:c>
      <x:c r="L332" s="124"/>
      <x:c r="M332" s="124"/>
      <x:c r="N332" s="124" t="n">
        <x:v>70</x:v>
      </x:c>
      <x:c r="O332" s="69" t="str"/>
    </x:row>
    <x:row r="333" ht="21" customHeight="1">
      <x:c r="A333" s="100" t="n">
        <x:v>329</x:v>
      </x:c>
      <x:c r="B333" s="172" t="n">
        <x:v>95311001783</x:v>
      </x:c>
      <x:c r="C333" s="68" t="str">
        <x:v>TRẦN THỊ PHI CÁT</x:v>
      </x:c>
      <x:c r="D333" s="106" t="str">
        <x:v>X</x:v>
      </x:c>
      <x:c r="E333" s="118" t="n">
        <x:v>40730</x:v>
      </x:c>
      <x:c r="F333" s="106" t="str">
        <x:v>Kinh</x:v>
      </x:c>
      <x:c r="G333" s="68" t="str">
        <x:v>Xã Ninh Thạnh Lợi</x:v>
      </x:c>
      <x:c r="H333" s="68" t="str">
        <x:v>THCS Phước Long</x:v>
      </x:c>
      <x:c r="I333" s="68" t="str">
        <x:v>Xã Vĩnh Phước</x:v>
      </x:c>
      <x:c r="J333" s="124" t="n">
        <x:v>32</x:v>
      </x:c>
      <x:c r="K333" s="130" t="n">
        <x:v>37</x:v>
      </x:c>
      <x:c r="L333" s="124" t="n">
        <x:v>1</x:v>
      </x:c>
      <x:c r="M333" s="124"/>
      <x:c r="N333" s="124" t="n">
        <x:v>70</x:v>
      </x:c>
      <x:c r="O333" s="69" t="str"/>
    </x:row>
    <x:row r="334" ht="21" customHeight="1">
      <x:c r="A334" s="100" t="n">
        <x:v>330</x:v>
      </x:c>
      <x:c r="B334" s="172" t="n">
        <x:v>95311001869</x:v>
      </x:c>
      <x:c r="C334" s="68" t="str">
        <x:v>NGUYỄN THỊ NHƯ NGỌC</x:v>
      </x:c>
      <x:c r="D334" s="106" t="str">
        <x:v>X</x:v>
      </x:c>
      <x:c r="E334" s="118" t="n">
        <x:v>40826</x:v>
      </x:c>
      <x:c r="F334" s="106" t="str">
        <x:v>Kinh</x:v>
      </x:c>
      <x:c r="G334" s="68" t="str">
        <x:v>Xã Phước Long</x:v>
      </x:c>
      <x:c r="H334" s="68" t="str">
        <x:v>THCS Phước Long</x:v>
      </x:c>
      <x:c r="I334" s="68" t="str">
        <x:v>Xã Phước Long</x:v>
      </x:c>
      <x:c r="J334" s="124" t="n">
        <x:v>32.9</x:v>
      </x:c>
      <x:c r="K334" s="130" t="n">
        <x:v>37</x:v>
      </x:c>
      <x:c r="L334" s="124"/>
      <x:c r="M334" s="124"/>
      <x:c r="N334" s="124" t="n">
        <x:v>69.9</x:v>
      </x:c>
      <x:c r="O334" s="69" t="str"/>
    </x:row>
    <x:row r="335" ht="21" customHeight="1">
      <x:c r="A335" s="100" t="n">
        <x:v>331</x:v>
      </x:c>
      <x:c r="B335" s="172" t="n">
        <x:v>95311000458</x:v>
      </x:c>
      <x:c r="C335" s="68" t="str">
        <x:v>NGUYỄN THỊ VIỆT TRINH</x:v>
      </x:c>
      <x:c r="D335" s="106" t="str">
        <x:v>X</x:v>
      </x:c>
      <x:c r="E335" s="118" t="n">
        <x:v>40862</x:v>
      </x:c>
      <x:c r="F335" s="106" t="str">
        <x:v>Kinh</x:v>
      </x:c>
      <x:c r="G335" s="68" t="str">
        <x:v>Xã Phước Long</x:v>
      </x:c>
      <x:c r="H335" s="68" t="str">
        <x:v>THCS Phước Long</x:v>
      </x:c>
      <x:c r="I335" s="68" t="str">
        <x:v>Xã Phước Long</x:v>
      </x:c>
      <x:c r="J335" s="124" t="n">
        <x:v>31.9</x:v>
      </x:c>
      <x:c r="K335" s="130" t="n">
        <x:v>38</x:v>
      </x:c>
      <x:c r="L335" s="124"/>
      <x:c r="M335" s="124"/>
      <x:c r="N335" s="124" t="n">
        <x:v>69.9</x:v>
      </x:c>
      <x:c r="O335" s="69" t="str"/>
    </x:row>
    <x:row r="336" ht="21" customHeight="1">
      <x:c r="A336" s="100" t="n">
        <x:v>332</x:v>
      </x:c>
      <x:c r="B336" s="172" t="n">
        <x:v>95311002127</x:v>
      </x:c>
      <x:c r="C336" s="68" t="str">
        <x:v>BÙI THỊ THẢO NGUYÊN</x:v>
      </x:c>
      <x:c r="D336" s="106" t="str">
        <x:v>X</x:v>
      </x:c>
      <x:c r="E336" s="118" t="n">
        <x:v>40765</x:v>
      </x:c>
      <x:c r="F336" s="106" t="str">
        <x:v>Kinh</x:v>
      </x:c>
      <x:c r="G336" s="68" t="str">
        <x:v>Xã Vĩnh Phước</x:v>
      </x:c>
      <x:c r="H336" s="68" t="str">
        <x:v>THCS Vĩnh Phú Tây</x:v>
      </x:c>
      <x:c r="I336" s="68" t="str">
        <x:v>Xã Vĩnh Phước</x:v>
      </x:c>
      <x:c r="J336" s="124" t="n">
        <x:v>31.9</x:v>
      </x:c>
      <x:c r="K336" s="130" t="n">
        <x:v>37</x:v>
      </x:c>
      <x:c r="L336" s="124" t="n">
        <x:v>1</x:v>
      </x:c>
      <x:c r="M336" s="124"/>
      <x:c r="N336" s="124" t="n">
        <x:v>69.9</x:v>
      </x:c>
      <x:c r="O336" s="69" t="str"/>
    </x:row>
    <x:row r="337" ht="21" customHeight="1">
      <x:c r="A337" s="100" t="n">
        <x:v>333</x:v>
      </x:c>
      <x:c r="B337" s="172" t="n">
        <x:v>95311004161</x:v>
      </x:c>
      <x:c r="C337" s="68" t="str">
        <x:v>NGUYỄN THÚY AN</x:v>
      </x:c>
      <x:c r="D337" s="106" t="str">
        <x:v>X</x:v>
      </x:c>
      <x:c r="E337" s="118" t="n">
        <x:v>40731</x:v>
      </x:c>
      <x:c r="F337" s="106" t="str">
        <x:v>Kinh</x:v>
      </x:c>
      <x:c r="G337" s="68" t="str">
        <x:v>Xã Phước Long</x:v>
      </x:c>
      <x:c r="H337" s="68" t="str">
        <x:v>THCS Vĩnh Thanh</x:v>
      </x:c>
      <x:c r="I337" s="68" t="str">
        <x:v>Xã Vĩnh Thanh</x:v>
      </x:c>
      <x:c r="J337" s="124" t="n">
        <x:v>31.9</x:v>
      </x:c>
      <x:c r="K337" s="130" t="n">
        <x:v>38</x:v>
      </x:c>
      <x:c r="L337" s="124"/>
      <x:c r="M337" s="124"/>
      <x:c r="N337" s="124" t="n">
        <x:v>69.9</x:v>
      </x:c>
      <x:c r="O337" s="69" t="str"/>
    </x:row>
    <x:row r="338" ht="21" customHeight="1">
      <x:c r="A338" s="100" t="n">
        <x:v>334</x:v>
      </x:c>
      <x:c r="B338" s="172" t="n">
        <x:v>95311007244</x:v>
      </x:c>
      <x:c r="C338" s="68" t="str">
        <x:v>TRƯƠNG NGỌC THUẬN</x:v>
      </x:c>
      <x:c r="D338" s="106" t="str">
        <x:v>X</x:v>
      </x:c>
      <x:c r="E338" s="118" t="n">
        <x:v>40884</x:v>
      </x:c>
      <x:c r="F338" s="106" t="str">
        <x:v>Kinh</x:v>
      </x:c>
      <x:c r="G338" s="68" t="str">
        <x:v>Xã Phước Long</x:v>
      </x:c>
      <x:c r="H338" s="68" t="str">
        <x:v>THCS Trương Vĩnh Ký</x:v>
      </x:c>
      <x:c r="I338" s="68" t="str">
        <x:v>Xã Hồng Dân</x:v>
      </x:c>
      <x:c r="J338" s="124" t="n">
        <x:v>32.9</x:v>
      </x:c>
      <x:c r="K338" s="130" t="n">
        <x:v>37</x:v>
      </x:c>
      <x:c r="L338" s="124"/>
      <x:c r="M338" s="124"/>
      <x:c r="N338" s="124" t="n">
        <x:v>69.9</x:v>
      </x:c>
      <x:c r="O338" s="69" t="str"/>
    </x:row>
    <x:row r="339" ht="21" customHeight="1">
      <x:c r="A339" s="100" t="n">
        <x:v>335</x:v>
      </x:c>
      <x:c r="B339" s="172" t="n">
        <x:v>95311004314</x:v>
      </x:c>
      <x:c r="C339" s="68" t="str">
        <x:v>HỒ KIM THẢO</x:v>
      </x:c>
      <x:c r="D339" s="106" t="str">
        <x:v>X</x:v>
      </x:c>
      <x:c r="E339" s="118" t="n">
        <x:v>40632</x:v>
      </x:c>
      <x:c r="F339" s="106" t="str">
        <x:v>Kinh</x:v>
      </x:c>
      <x:c r="G339" s="68" t="str">
        <x:v>Xã Vĩnh Phước</x:v>
      </x:c>
      <x:c r="H339" s="68" t="str">
        <x:v>THCS Vĩnh Phú Tây</x:v>
      </x:c>
      <x:c r="I339" s="68" t="str">
        <x:v>Xã Vĩnh Phước</x:v>
      </x:c>
      <x:c r="J339" s="124" t="n">
        <x:v>32.8</x:v>
      </x:c>
      <x:c r="K339" s="130" t="n">
        <x:v>37</x:v>
      </x:c>
      <x:c r="L339" s="124"/>
      <x:c r="M339" s="124"/>
      <x:c r="N339" s="124" t="n">
        <x:v>69.8</x:v>
      </x:c>
      <x:c r="O339" s="69" t="str"/>
    </x:row>
    <x:row r="340" ht="21" customHeight="1">
      <x:c r="A340" s="100" t="n">
        <x:v>336</x:v>
      </x:c>
      <x:c r="B340" s="172" t="n">
        <x:v>95311006365</x:v>
      </x:c>
      <x:c r="C340" s="68" t="str">
        <x:v>LƯU KHÃ BĂNG</x:v>
      </x:c>
      <x:c r="D340" s="106" t="str">
        <x:v>X</x:v>
      </x:c>
      <x:c r="E340" s="118" t="n">
        <x:v>40644</x:v>
      </x:c>
      <x:c r="F340" s="106" t="str">
        <x:v>Kinh</x:v>
      </x:c>
      <x:c r="G340" s="68" t="str">
        <x:v>Xã Vĩnh Thanh</x:v>
      </x:c>
      <x:c r="H340" s="68" t="str">
        <x:v>THCS Hưng Phú</x:v>
      </x:c>
      <x:c r="I340" s="68" t="str">
        <x:v>Xã Vĩnh Thanh</x:v>
      </x:c>
      <x:c r="J340" s="124" t="n">
        <x:v>32.8</x:v>
      </x:c>
      <x:c r="K340" s="130" t="n">
        <x:v>37</x:v>
      </x:c>
      <x:c r="L340" s="124"/>
      <x:c r="M340" s="124"/>
      <x:c r="N340" s="124" t="n">
        <x:v>69.8</x:v>
      </x:c>
      <x:c r="O340" s="69" t="str"/>
    </x:row>
    <x:row r="341" ht="21" customHeight="1">
      <x:c r="A341" s="100" t="n">
        <x:v>337</x:v>
      </x:c>
      <x:c r="B341" s="172" t="n">
        <x:v>95311007234</x:v>
      </x:c>
      <x:c r="C341" s="68" t="str">
        <x:v>LÊ NGỌC THẢO</x:v>
      </x:c>
      <x:c r="D341" s="106" t="str">
        <x:v>X</x:v>
      </x:c>
      <x:c r="E341" s="118" t="n">
        <x:v>40694</x:v>
      </x:c>
      <x:c r="F341" s="106" t="str">
        <x:v>Kinh</x:v>
      </x:c>
      <x:c r="G341" s="68" t="str">
        <x:v>Xã Vĩnh Thanh</x:v>
      </x:c>
      <x:c r="H341" s="68" t="str">
        <x:v>THCS Hưng Phú</x:v>
      </x:c>
      <x:c r="I341" s="68" t="str">
        <x:v>Xã Vĩnh Thanh</x:v>
      </x:c>
      <x:c r="J341" s="124" t="n">
        <x:v>32.8</x:v>
      </x:c>
      <x:c r="K341" s="130" t="n">
        <x:v>37</x:v>
      </x:c>
      <x:c r="L341" s="124"/>
      <x:c r="M341" s="124"/>
      <x:c r="N341" s="124" t="n">
        <x:v>69.8</x:v>
      </x:c>
      <x:c r="O341" s="69" t="str"/>
    </x:row>
    <x:row r="342" ht="21" customHeight="1">
      <x:c r="A342" s="100" t="n">
        <x:v>338</x:v>
      </x:c>
      <x:c r="B342" s="172" t="n">
        <x:v>95311006799</x:v>
      </x:c>
      <x:c r="C342" s="68" t="str">
        <x:v>KIỀU THỊ ANH THƯ</x:v>
      </x:c>
      <x:c r="D342" s="106" t="str">
        <x:v>X</x:v>
      </x:c>
      <x:c r="E342" s="118" t="n">
        <x:v>40796</x:v>
      </x:c>
      <x:c r="F342" s="106" t="str">
        <x:v>Kinh</x:v>
      </x:c>
      <x:c r="G342" s="68" t="str">
        <x:v>Xã Vĩnh Thanh</x:v>
      </x:c>
      <x:c r="H342" s="68" t="str">
        <x:v>THCS Vĩnh Thanh</x:v>
      </x:c>
      <x:c r="I342" s="68" t="str">
        <x:v>Xã Vĩnh Thanh</x:v>
      </x:c>
      <x:c r="J342" s="124" t="n">
        <x:v>32.7</x:v>
      </x:c>
      <x:c r="K342" s="130" t="n">
        <x:v>37</x:v>
      </x:c>
      <x:c r="L342" s="124"/>
      <x:c r="M342" s="124"/>
      <x:c r="N342" s="124" t="n">
        <x:v>69.7</x:v>
      </x:c>
      <x:c r="O342" s="69" t="str"/>
    </x:row>
    <x:row r="343" ht="21" customHeight="1">
      <x:c r="A343" s="100" t="n">
        <x:v>339</x:v>
      </x:c>
      <x:c r="B343" s="172" t="n">
        <x:v>95211003885</x:v>
      </x:c>
      <x:c r="C343" s="68" t="str">
        <x:v>LÂM QUỐC DUY</x:v>
      </x:c>
      <x:c r="D343" s="106" t="str"/>
      <x:c r="E343" s="118" t="n">
        <x:v>40652</x:v>
      </x:c>
      <x:c r="F343" s="106" t="str">
        <x:v>Kinh</x:v>
      </x:c>
      <x:c r="G343" s="68" t="str">
        <x:v>Xã Vĩnh Phước</x:v>
      </x:c>
      <x:c r="H343" s="68" t="str">
        <x:v>THCS Vĩnh Phú Tây</x:v>
      </x:c>
      <x:c r="I343" s="68" t="str">
        <x:v>Xã Vĩnh Phước</x:v>
      </x:c>
      <x:c r="J343" s="124" t="n">
        <x:v>31.6</x:v>
      </x:c>
      <x:c r="K343" s="130" t="n">
        <x:v>37</x:v>
      </x:c>
      <x:c r="L343" s="124" t="n">
        <x:v>1</x:v>
      </x:c>
      <x:c r="M343" s="124"/>
      <x:c r="N343" s="124" t="n">
        <x:v>69.6</x:v>
      </x:c>
      <x:c r="O343" s="69" t="str"/>
    </x:row>
    <x:row r="344" ht="21" customHeight="1">
      <x:c r="A344" s="100" t="n">
        <x:v>340</x:v>
      </x:c>
      <x:c r="B344" s="172" t="n">
        <x:v>95211004748</x:v>
      </x:c>
      <x:c r="C344" s="68" t="str">
        <x:v>LÊ HOÀNG GIA</x:v>
      </x:c>
      <x:c r="D344" s="106" t="str"/>
      <x:c r="E344" s="118" t="n">
        <x:v>40642</x:v>
      </x:c>
      <x:c r="F344" s="106" t="str">
        <x:v>Kinh</x:v>
      </x:c>
      <x:c r="G344" s="68" t="str">
        <x:v>Xã Vĩnh Thanh</x:v>
      </x:c>
      <x:c r="H344" s="68" t="str">
        <x:v>THCS Hưng Phú</x:v>
      </x:c>
      <x:c r="I344" s="68" t="str">
        <x:v>Xã Vĩnh Thanh</x:v>
      </x:c>
      <x:c r="J344" s="124" t="n">
        <x:v>32.6</x:v>
      </x:c>
      <x:c r="K344" s="130" t="n">
        <x:v>37</x:v>
      </x:c>
      <x:c r="L344" s="124"/>
      <x:c r="M344" s="124"/>
      <x:c r="N344" s="124" t="n">
        <x:v>69.6</x:v>
      </x:c>
      <x:c r="O344" s="69" t="str"/>
    </x:row>
    <x:row r="345" ht="21" customHeight="1">
      <x:c r="A345" s="100" t="n">
        <x:v>341</x:v>
      </x:c>
      <x:c r="B345" s="172" t="n">
        <x:v>95311003539</x:v>
      </x:c>
      <x:c r="C345" s="68" t="str">
        <x:v>DANH THỊ NGỌC TRÂM</x:v>
      </x:c>
      <x:c r="D345" s="106" t="str">
        <x:v>X</x:v>
      </x:c>
      <x:c r="E345" s="118" t="n">
        <x:v>40687</x:v>
      </x:c>
      <x:c r="F345" s="106" t="str">
        <x:v>Khmer</x:v>
      </x:c>
      <x:c r="G345" s="68" t="str">
        <x:v>Xã Phước Long</x:v>
      </x:c>
      <x:c r="H345" s="68" t="str">
        <x:v>THCS Phước Long</x:v>
      </x:c>
      <x:c r="I345" s="68" t="str">
        <x:v>Xã Vĩnh Phước</x:v>
      </x:c>
      <x:c r="J345" s="124" t="n">
        <x:v>31.6</x:v>
      </x:c>
      <x:c r="K345" s="130" t="n">
        <x:v>37</x:v>
      </x:c>
      <x:c r="L345" s="124" t="n">
        <x:v>1</x:v>
      </x:c>
      <x:c r="M345" s="124"/>
      <x:c r="N345" s="124" t="n">
        <x:v>69.6</x:v>
      </x:c>
      <x:c r="O345" s="69" t="str"/>
    </x:row>
    <x:row r="346" ht="21" customHeight="1">
      <x:c r="A346" s="100" t="n">
        <x:v>342</x:v>
      </x:c>
      <x:c r="B346" s="172" t="n">
        <x:v>95211007432</x:v>
      </x:c>
      <x:c r="C346" s="68" t="str">
        <x:v>PHAN TRỌNG PHÚC</x:v>
      </x:c>
      <x:c r="D346" s="106" t="str"/>
      <x:c r="E346" s="118" t="n">
        <x:v>40850</x:v>
      </x:c>
      <x:c r="F346" s="106" t="str">
        <x:v>Kinh</x:v>
      </x:c>
      <x:c r="G346" s="68" t="str">
        <x:v>Xã Phước Long</x:v>
      </x:c>
      <x:c r="H346" s="68" t="str">
        <x:v>THCS Vương Hữu Nhơn</x:v>
      </x:c>
      <x:c r="I346" s="68" t="str">
        <x:v>Xã Phước Long</x:v>
      </x:c>
      <x:c r="J346" s="124" t="n">
        <x:v>32.6</x:v>
      </x:c>
      <x:c r="K346" s="130" t="n">
        <x:v>37</x:v>
      </x:c>
      <x:c r="L346" s="124"/>
      <x:c r="M346" s="124"/>
      <x:c r="N346" s="124" t="n">
        <x:v>69.6</x:v>
      </x:c>
      <x:c r="O346" s="69" t="str"/>
    </x:row>
    <x:row r="347" ht="21" customHeight="1">
      <x:c r="A347" s="100" t="n">
        <x:v>343</x:v>
      </x:c>
      <x:c r="B347" s="172" t="n">
        <x:v>95311003896</x:v>
      </x:c>
      <x:c r="C347" s="68" t="str">
        <x:v>LA NGUYỄN GIA HÂN</x:v>
      </x:c>
      <x:c r="D347" s="106" t="str">
        <x:v>X</x:v>
      </x:c>
      <x:c r="E347" s="118" t="n">
        <x:v>40825</x:v>
      </x:c>
      <x:c r="F347" s="106" t="str">
        <x:v>Kinh</x:v>
      </x:c>
      <x:c r="G347" s="68" t="str">
        <x:v>Xã Vĩnh Phước</x:v>
      </x:c>
      <x:c r="H347" s="68" t="str">
        <x:v>THCS Phước Long</x:v>
      </x:c>
      <x:c r="I347" s="68" t="str">
        <x:v>Xã Phước Long</x:v>
      </x:c>
      <x:c r="J347" s="124" t="n">
        <x:v>32.5</x:v>
      </x:c>
      <x:c r="K347" s="130" t="n">
        <x:v>37</x:v>
      </x:c>
      <x:c r="L347" s="124"/>
      <x:c r="M347" s="124"/>
      <x:c r="N347" s="124" t="n">
        <x:v>69.5</x:v>
      </x:c>
      <x:c r="O347" s="69" t="str"/>
    </x:row>
    <x:row r="348" ht="21" customHeight="1">
      <x:c r="A348" s="100" t="n">
        <x:v>344</x:v>
      </x:c>
      <x:c r="B348" s="172" t="n">
        <x:v>95311001149</x:v>
      </x:c>
      <x:c r="C348" s="68" t="str">
        <x:v>HÀ KIM QUYÊN</x:v>
      </x:c>
      <x:c r="D348" s="106" t="str">
        <x:v>X</x:v>
      </x:c>
      <x:c r="E348" s="118" t="n">
        <x:v>40615</x:v>
      </x:c>
      <x:c r="F348" s="106" t="str">
        <x:v>Kinh</x:v>
      </x:c>
      <x:c r="G348" s="68" t="str">
        <x:v>Xã Vĩnh Phước</x:v>
      </x:c>
      <x:c r="H348" s="68" t="str">
        <x:v>THCS Vĩnh Phú Tây</x:v>
      </x:c>
      <x:c r="I348" s="68" t="str">
        <x:v>Xã Vĩnh Phước</x:v>
      </x:c>
      <x:c r="J348" s="124" t="n">
        <x:v>31.5</x:v>
      </x:c>
      <x:c r="K348" s="130" t="n">
        <x:v>37</x:v>
      </x:c>
      <x:c r="L348" s="124" t="n">
        <x:v>1</x:v>
      </x:c>
      <x:c r="M348" s="124"/>
      <x:c r="N348" s="124" t="n">
        <x:v>69.5</x:v>
      </x:c>
      <x:c r="O348" s="69" t="str"/>
    </x:row>
    <x:row r="349" ht="21" customHeight="1">
      <x:c r="A349" s="100" t="n">
        <x:v>345</x:v>
      </x:c>
      <x:c r="B349" s="172" t="n">
        <x:v>95311007490</x:v>
      </x:c>
      <x:c r="C349" s="68" t="str">
        <x:v>VÕ TƯỜNG VY</x:v>
      </x:c>
      <x:c r="D349" s="106" t="str">
        <x:v>X</x:v>
      </x:c>
      <x:c r="E349" s="118" t="n">
        <x:v>40579</x:v>
      </x:c>
      <x:c r="F349" s="106" t="str">
        <x:v>Kinh</x:v>
      </x:c>
      <x:c r="G349" s="68" t="str">
        <x:v>Xã Vĩnh Thanh</x:v>
      </x:c>
      <x:c r="H349" s="68" t="str">
        <x:v>THCS Hưng Phú</x:v>
      </x:c>
      <x:c r="I349" s="68" t="str">
        <x:v>Xã Vĩnh Thanh</x:v>
      </x:c>
      <x:c r="J349" s="124" t="n">
        <x:v>32.5</x:v>
      </x:c>
      <x:c r="K349" s="130" t="n">
        <x:v>37</x:v>
      </x:c>
      <x:c r="L349" s="124"/>
      <x:c r="M349" s="124"/>
      <x:c r="N349" s="124" t="n">
        <x:v>69.5</x:v>
      </x:c>
      <x:c r="O349" s="69" t="str"/>
    </x:row>
    <x:row r="350" ht="21" customHeight="1">
      <x:c r="A350" s="100" t="n">
        <x:v>346</x:v>
      </x:c>
      <x:c r="B350" s="172" t="n">
        <x:v>96311009250</x:v>
      </x:c>
      <x:c r="C350" s="68" t="str">
        <x:v>NGUYỄN THỊ CẨM LY</x:v>
      </x:c>
      <x:c r="D350" s="106" t="str">
        <x:v>X</x:v>
      </x:c>
      <x:c r="E350" s="118" t="n">
        <x:v>40708</x:v>
      </x:c>
      <x:c r="F350" s="106" t="str">
        <x:v>Kinh</x:v>
      </x:c>
      <x:c r="G350" s="68" t="str">
        <x:v>Xã Hồng Dân</x:v>
      </x:c>
      <x:c r="H350" s="68" t="str">
        <x:v>THCS Phước Long</x:v>
      </x:c>
      <x:c r="I350" s="68" t="str">
        <x:v>Xã Vĩnh Phước</x:v>
      </x:c>
      <x:c r="J350" s="124" t="n">
        <x:v>32.5</x:v>
      </x:c>
      <x:c r="K350" s="130" t="n">
        <x:v>37</x:v>
      </x:c>
      <x:c r="L350" s="124"/>
      <x:c r="M350" s="124"/>
      <x:c r="N350" s="124" t="n">
        <x:v>69.5</x:v>
      </x:c>
      <x:c r="O350" s="69" t="str"/>
    </x:row>
    <x:row r="351" ht="21" customHeight="1">
      <x:c r="A351" s="100" t="n">
        <x:v>347</x:v>
      </x:c>
      <x:c r="B351" s="172" t="n">
        <x:v>95211004650</x:v>
      </x:c>
      <x:c r="C351" s="68" t="str">
        <x:v>LÊ VĂN ĐĂNG</x:v>
      </x:c>
      <x:c r="D351" s="106" t="str"/>
      <x:c r="E351" s="118" t="n">
        <x:v>40741</x:v>
      </x:c>
      <x:c r="F351" s="106" t="str">
        <x:v>Kinh</x:v>
      </x:c>
      <x:c r="G351" s="68" t="str">
        <x:v>Xã Hồng Dân</x:v>
      </x:c>
      <x:c r="H351" s="68" t="str">
        <x:v>THCS Phước Long</x:v>
      </x:c>
      <x:c r="I351" s="68" t="str">
        <x:v>Xã Vĩnh Phước</x:v>
      </x:c>
      <x:c r="J351" s="124" t="n">
        <x:v>32.5</x:v>
      </x:c>
      <x:c r="K351" s="130" t="n">
        <x:v>37</x:v>
      </x:c>
      <x:c r="L351" s="124"/>
      <x:c r="M351" s="124"/>
      <x:c r="N351" s="124" t="n">
        <x:v>69.5</x:v>
      </x:c>
      <x:c r="O351" s="69" t="str"/>
    </x:row>
    <x:row r="352" ht="21" customHeight="1">
      <x:c r="A352" s="100" t="n">
        <x:v>348</x:v>
      </x:c>
      <x:c r="B352" s="172" t="n">
        <x:v>95211009710</x:v>
      </x:c>
      <x:c r="C352" s="68" t="str">
        <x:v>PHAN VĂN HỚN</x:v>
      </x:c>
      <x:c r="D352" s="106" t="str"/>
      <x:c r="E352" s="118" t="n">
        <x:v>40665</x:v>
      </x:c>
      <x:c r="F352" s="106" t="str">
        <x:v>Kinh</x:v>
      </x:c>
      <x:c r="G352" s="68" t="str">
        <x:v>Xã Phước Long</x:v>
      </x:c>
      <x:c r="H352" s="68" t="str">
        <x:v>THCS Vương Hữu Nhơn</x:v>
      </x:c>
      <x:c r="I352" s="68" t="str">
        <x:v>Xã Phước Long</x:v>
      </x:c>
      <x:c r="J352" s="124" t="n">
        <x:v>32.5</x:v>
      </x:c>
      <x:c r="K352" s="130" t="n">
        <x:v>37</x:v>
      </x:c>
      <x:c r="L352" s="124"/>
      <x:c r="M352" s="124"/>
      <x:c r="N352" s="124" t="n">
        <x:v>69.5</x:v>
      </x:c>
      <x:c r="O352" s="69" t="str"/>
    </x:row>
    <x:row r="353" ht="21" customHeight="1">
      <x:c r="A353" s="100" t="n">
        <x:v>349</x:v>
      </x:c>
      <x:c r="B353" s="172" t="n">
        <x:v>95211007348</x:v>
      </x:c>
      <x:c r="C353" s="68" t="str">
        <x:v>DƯƠNG TẤN ĐẠT</x:v>
      </x:c>
      <x:c r="D353" s="106" t="str"/>
      <x:c r="E353" s="118" t="n">
        <x:v>40573</x:v>
      </x:c>
      <x:c r="F353" s="106" t="str">
        <x:v>Kinh</x:v>
      </x:c>
      <x:c r="G353" s="68" t="str">
        <x:v>Xã Vĩnh Phước</x:v>
      </x:c>
      <x:c r="H353" s="68" t="str">
        <x:v>THCS Phước Long</x:v>
      </x:c>
      <x:c r="I353" s="68" t="str">
        <x:v>Xã Phước Long</x:v>
      </x:c>
      <x:c r="J353" s="124" t="n">
        <x:v>32.4</x:v>
      </x:c>
      <x:c r="K353" s="130" t="n">
        <x:v>37</x:v>
      </x:c>
      <x:c r="L353" s="124"/>
      <x:c r="M353" s="124"/>
      <x:c r="N353" s="124" t="n">
        <x:v>69.4</x:v>
      </x:c>
      <x:c r="O353" s="69" t="str"/>
    </x:row>
    <x:row r="354" ht="21" customHeight="1">
      <x:c r="A354" s="100" t="n">
        <x:v>350</x:v>
      </x:c>
      <x:c r="B354" s="172" t="n">
        <x:v>96311000518</x:v>
      </x:c>
      <x:c r="C354" s="68" t="str">
        <x:v>ĐOÀN LÊ NGỌC MAI</x:v>
      </x:c>
      <x:c r="D354" s="106" t="str">
        <x:v>X</x:v>
      </x:c>
      <x:c r="E354" s="118" t="n">
        <x:v>40748</x:v>
      </x:c>
      <x:c r="F354" s="106" t="str">
        <x:v>Kinh</x:v>
      </x:c>
      <x:c r="G354" s="68" t="str">
        <x:v>Xã Phước Long</x:v>
      </x:c>
      <x:c r="H354" s="68" t="str">
        <x:v>THCS Phước Long</x:v>
      </x:c>
      <x:c r="I354" s="68" t="str">
        <x:v>Xã Phước Long</x:v>
      </x:c>
      <x:c r="J354" s="124" t="n">
        <x:v>32.4</x:v>
      </x:c>
      <x:c r="K354" s="130" t="n">
        <x:v>37</x:v>
      </x:c>
      <x:c r="L354" s="124"/>
      <x:c r="M354" s="124"/>
      <x:c r="N354" s="124" t="n">
        <x:v>69.4</x:v>
      </x:c>
      <x:c r="O354" s="69" t="str"/>
    </x:row>
    <x:row r="355" ht="21" customHeight="1">
      <x:c r="A355" s="100" t="n">
        <x:v>351</x:v>
      </x:c>
      <x:c r="B355" s="172" t="n">
        <x:v>95311003064</x:v>
      </x:c>
      <x:c r="C355" s="68" t="str">
        <x:v>LÝ TÚ ANH</x:v>
      </x:c>
      <x:c r="D355" s="106" t="str">
        <x:v>X</x:v>
      </x:c>
      <x:c r="E355" s="118" t="n">
        <x:v>40626</x:v>
      </x:c>
      <x:c r="F355" s="106" t="str">
        <x:v>Khmer</x:v>
      </x:c>
      <x:c r="G355" s="68" t="str">
        <x:v>Xã Vĩnh Phước</x:v>
      </x:c>
      <x:c r="H355" s="68" t="str">
        <x:v>THCS Vĩnh Phú Tây</x:v>
      </x:c>
      <x:c r="I355" s="68" t="str">
        <x:v>Xã Vĩnh Phước</x:v>
      </x:c>
      <x:c r="J355" s="124" t="n">
        <x:v>31.4</x:v>
      </x:c>
      <x:c r="K355" s="130" t="n">
        <x:v>37</x:v>
      </x:c>
      <x:c r="L355" s="124" t="n">
        <x:v>1</x:v>
      </x:c>
      <x:c r="M355" s="124"/>
      <x:c r="N355" s="124" t="n">
        <x:v>69.4</x:v>
      </x:c>
      <x:c r="O355" s="69" t="str"/>
    </x:row>
    <x:row r="356" ht="21" customHeight="1">
      <x:c r="A356" s="100" t="n">
        <x:v>352</x:v>
      </x:c>
      <x:c r="B356" s="172" t="n">
        <x:v>95211004576</x:v>
      </x:c>
      <x:c r="C356" s="68" t="str">
        <x:v>NGUYỄN TIẾN ĐẠT</x:v>
      </x:c>
      <x:c r="D356" s="106" t="str"/>
      <x:c r="E356" s="118" t="n">
        <x:v>40806</x:v>
      </x:c>
      <x:c r="F356" s="106" t="str">
        <x:v>Kinh</x:v>
      </x:c>
      <x:c r="G356" s="68" t="str">
        <x:v>Xã Vĩnh Thanh</x:v>
      </x:c>
      <x:c r="H356" s="68" t="str">
        <x:v>THCS Hưng Phú</x:v>
      </x:c>
      <x:c r="I356" s="68" t="str">
        <x:v>Xã Vĩnh Thanh</x:v>
      </x:c>
      <x:c r="J356" s="124" t="n">
        <x:v>32.4</x:v>
      </x:c>
      <x:c r="K356" s="130" t="n">
        <x:v>37</x:v>
      </x:c>
      <x:c r="L356" s="124"/>
      <x:c r="M356" s="124"/>
      <x:c r="N356" s="124" t="n">
        <x:v>69.4</x:v>
      </x:c>
      <x:c r="O356" s="69" t="str"/>
    </x:row>
    <x:row r="357" ht="21" customHeight="1">
      <x:c r="A357" s="100" t="n">
        <x:v>353</x:v>
      </x:c>
      <x:c r="B357" s="172" t="n">
        <x:v>95211000053</x:v>
      </x:c>
      <x:c r="C357" s="68" t="str">
        <x:v>NGUYỄN TRẦN THÁI ANH</x:v>
      </x:c>
      <x:c r="D357" s="106" t="str"/>
      <x:c r="E357" s="118" t="n">
        <x:v>40767</x:v>
      </x:c>
      <x:c r="F357" s="106" t="str">
        <x:v>Kinh</x:v>
      </x:c>
      <x:c r="G357" s="68" t="str">
        <x:v>Xã Phước Long</x:v>
      </x:c>
      <x:c r="H357" s="68" t="str">
        <x:v>THCS Vương Hữu Nhơn</x:v>
      </x:c>
      <x:c r="I357" s="68" t="str">
        <x:v>Xã Phước Long</x:v>
      </x:c>
      <x:c r="J357" s="124" t="n">
        <x:v>32.4</x:v>
      </x:c>
      <x:c r="K357" s="130" t="n">
        <x:v>37</x:v>
      </x:c>
      <x:c r="L357" s="124"/>
      <x:c r="M357" s="124"/>
      <x:c r="N357" s="124" t="n">
        <x:v>69.4</x:v>
      </x:c>
      <x:c r="O357" s="69" t="str"/>
    </x:row>
    <x:row r="358" ht="21" customHeight="1">
      <x:c r="A358" s="100" t="n">
        <x:v>354</x:v>
      </x:c>
      <x:c r="B358" s="172" t="n">
        <x:v>95311008575</x:v>
      </x:c>
      <x:c r="C358" s="68" t="str">
        <x:v>NGUYỄN KIM TRÚC</x:v>
      </x:c>
      <x:c r="D358" s="106" t="str">
        <x:v>X</x:v>
      </x:c>
      <x:c r="E358" s="118" t="n">
        <x:v>40623</x:v>
      </x:c>
      <x:c r="F358" s="106" t="str">
        <x:v>Kinh</x:v>
      </x:c>
      <x:c r="G358" s="68" t="str">
        <x:v>Xã Phước Long</x:v>
      </x:c>
      <x:c r="H358" s="68" t="str">
        <x:v>THCS Phước Long</x:v>
      </x:c>
      <x:c r="I358" s="68" t="str">
        <x:v>Xã Phước Long</x:v>
      </x:c>
      <x:c r="J358" s="124" t="n">
        <x:v>32.3</x:v>
      </x:c>
      <x:c r="K358" s="130" t="n">
        <x:v>37</x:v>
      </x:c>
      <x:c r="L358" s="124"/>
      <x:c r="M358" s="124"/>
      <x:c r="N358" s="124" t="n">
        <x:v>69.3</x:v>
      </x:c>
      <x:c r="O358" s="69" t="str"/>
    </x:row>
    <x:row r="359" ht="21" customHeight="1">
      <x:c r="A359" s="100" t="n">
        <x:v>355</x:v>
      </x:c>
      <x:c r="B359" s="172" t="n">
        <x:v>95211007320</x:v>
      </x:c>
      <x:c r="C359" s="68" t="str">
        <x:v>PHAN THANH TÂM</x:v>
      </x:c>
      <x:c r="D359" s="106" t="str"/>
      <x:c r="E359" s="118" t="n">
        <x:v>40848</x:v>
      </x:c>
      <x:c r="F359" s="106" t="str">
        <x:v>Kinh</x:v>
      </x:c>
      <x:c r="G359" s="68" t="str">
        <x:v>Xã Phước Long</x:v>
      </x:c>
      <x:c r="H359" s="68" t="str">
        <x:v>THCS Phước Long</x:v>
      </x:c>
      <x:c r="I359" s="68" t="str">
        <x:v>Xã Phước Long</x:v>
      </x:c>
      <x:c r="J359" s="124" t="n">
        <x:v>31.3</x:v>
      </x:c>
      <x:c r="K359" s="130" t="n">
        <x:v>38</x:v>
      </x:c>
      <x:c r="L359" s="124"/>
      <x:c r="M359" s="124"/>
      <x:c r="N359" s="124" t="n">
        <x:v>69.3</x:v>
      </x:c>
      <x:c r="O359" s="69" t="str"/>
    </x:row>
    <x:row r="360" ht="21" customHeight="1">
      <x:c r="A360" s="100" t="n">
        <x:v>356</x:v>
      </x:c>
      <x:c r="B360" s="172" t="n">
        <x:v>95311003633</x:v>
      </x:c>
      <x:c r="C360" s="68" t="str">
        <x:v>TRẦN THỊ CẨM TIÊN</x:v>
      </x:c>
      <x:c r="D360" s="106" t="str">
        <x:v>X</x:v>
      </x:c>
      <x:c r="E360" s="118" t="n">
        <x:v>40696</x:v>
      </x:c>
      <x:c r="F360" s="106" t="str">
        <x:v>Kinh</x:v>
      </x:c>
      <x:c r="G360" s="68" t="str">
        <x:v>Xã Phước Long</x:v>
      </x:c>
      <x:c r="H360" s="68" t="str">
        <x:v>THCS Phước Long</x:v>
      </x:c>
      <x:c r="I360" s="68" t="str">
        <x:v>Xã Phước Long</x:v>
      </x:c>
      <x:c r="J360" s="124" t="n">
        <x:v>31.3</x:v>
      </x:c>
      <x:c r="K360" s="130" t="n">
        <x:v>38</x:v>
      </x:c>
      <x:c r="L360" s="124"/>
      <x:c r="M360" s="124"/>
      <x:c r="N360" s="124" t="n">
        <x:v>69.3</x:v>
      </x:c>
      <x:c r="O360" s="69" t="str"/>
    </x:row>
    <x:row r="361" ht="21" customHeight="1">
      <x:c r="A361" s="100" t="n">
        <x:v>357</x:v>
      </x:c>
      <x:c r="B361" s="172" t="n">
        <x:v>95311000466</x:v>
      </x:c>
      <x:c r="C361" s="68" t="str">
        <x:v>TÔ THỊ CHÚC</x:v>
      </x:c>
      <x:c r="D361" s="106" t="str">
        <x:v>X</x:v>
      </x:c>
      <x:c r="E361" s="118" t="n">
        <x:v>40596</x:v>
      </x:c>
      <x:c r="F361" s="106" t="str">
        <x:v>Kinh</x:v>
      </x:c>
      <x:c r="G361" s="68" t="str">
        <x:v>Xã Vĩnh Thanh</x:v>
      </x:c>
      <x:c r="H361" s="68" t="str">
        <x:v>THCS Hưng Phú</x:v>
      </x:c>
      <x:c r="I361" s="68" t="str">
        <x:v>Xã Vĩnh Thanh</x:v>
      </x:c>
      <x:c r="J361" s="124" t="n">
        <x:v>32.3</x:v>
      </x:c>
      <x:c r="K361" s="130" t="n">
        <x:v>37</x:v>
      </x:c>
      <x:c r="L361" s="124"/>
      <x:c r="M361" s="124"/>
      <x:c r="N361" s="124" t="n">
        <x:v>69.3</x:v>
      </x:c>
      <x:c r="O361" s="69" t="str"/>
    </x:row>
    <x:row r="362" ht="21" customHeight="1">
      <x:c r="A362" s="100" t="n">
        <x:v>358</x:v>
      </x:c>
      <x:c r="B362" s="172" t="n">
        <x:v>95311009568</x:v>
      </x:c>
      <x:c r="C362" s="68" t="str">
        <x:v>ĐOÀN THỊ ÁI LAM</x:v>
      </x:c>
      <x:c r="D362" s="106" t="str">
        <x:v>X</x:v>
      </x:c>
      <x:c r="E362" s="118" t="n">
        <x:v>40610</x:v>
      </x:c>
      <x:c r="F362" s="106" t="str">
        <x:v>Kinh</x:v>
      </x:c>
      <x:c r="G362" s="68" t="str">
        <x:v>Xã Vĩnh Thanh</x:v>
      </x:c>
      <x:c r="H362" s="68" t="str">
        <x:v>THCS Hưng Phú</x:v>
      </x:c>
      <x:c r="I362" s="68" t="str">
        <x:v>Xã Vĩnh Thanh</x:v>
      </x:c>
      <x:c r="J362" s="124" t="n">
        <x:v>32.3</x:v>
      </x:c>
      <x:c r="K362" s="130" t="n">
        <x:v>37</x:v>
      </x:c>
      <x:c r="L362" s="124"/>
      <x:c r="M362" s="124"/>
      <x:c r="N362" s="124" t="n">
        <x:v>69.3</x:v>
      </x:c>
      <x:c r="O362" s="69" t="str"/>
    </x:row>
    <x:row r="363" ht="21" customHeight="1">
      <x:c r="A363" s="100" t="n">
        <x:v>359</x:v>
      </x:c>
      <x:c r="B363" s="172" t="n">
        <x:v>95211005708</x:v>
      </x:c>
      <x:c r="C363" s="68" t="str">
        <x:v>PHAN SĨ ANH</x:v>
      </x:c>
      <x:c r="D363" s="106" t="str"/>
      <x:c r="E363" s="118" t="n">
        <x:v>40854</x:v>
      </x:c>
      <x:c r="F363" s="106" t="str">
        <x:v>Kinh</x:v>
      </x:c>
      <x:c r="G363" s="68" t="str">
        <x:v>Xã Vĩnh Thanh</x:v>
      </x:c>
      <x:c r="H363" s="68" t="str">
        <x:v>THCS Hưng Phú</x:v>
      </x:c>
      <x:c r="I363" s="68" t="str">
        <x:v>Xã Vĩnh Thanh</x:v>
      </x:c>
      <x:c r="J363" s="124" t="n">
        <x:v>32.3</x:v>
      </x:c>
      <x:c r="K363" s="130" t="n">
        <x:v>37</x:v>
      </x:c>
      <x:c r="L363" s="124"/>
      <x:c r="M363" s="124"/>
      <x:c r="N363" s="124" t="n">
        <x:v>69.3</x:v>
      </x:c>
      <x:c r="O363" s="69" t="str"/>
    </x:row>
    <x:row r="364" ht="21" customHeight="1">
      <x:c r="A364" s="100" t="n">
        <x:v>360</x:v>
      </x:c>
      <x:c r="B364" s="172" t="n">
        <x:v>95211003342</x:v>
      </x:c>
      <x:c r="C364" s="68" t="str">
        <x:v>THẠCH HOÀNG THÁI</x:v>
      </x:c>
      <x:c r="D364" s="106" t="str"/>
      <x:c r="E364" s="118" t="n">
        <x:v>40825</x:v>
      </x:c>
      <x:c r="F364" s="106" t="str">
        <x:v>Khmer</x:v>
      </x:c>
      <x:c r="G364" s="68" t="str">
        <x:v>Xã Vĩnh Thanh</x:v>
      </x:c>
      <x:c r="H364" s="68" t="str">
        <x:v>THCS Hưng Phú</x:v>
      </x:c>
      <x:c r="I364" s="68" t="str">
        <x:v>Xã Vĩnh Thanh</x:v>
      </x:c>
      <x:c r="J364" s="124" t="n">
        <x:v>31.3</x:v>
      </x:c>
      <x:c r="K364" s="130" t="n">
        <x:v>37</x:v>
      </x:c>
      <x:c r="L364" s="124" t="n">
        <x:v>1</x:v>
      </x:c>
      <x:c r="M364" s="124"/>
      <x:c r="N364" s="124" t="n">
        <x:v>69.3</x:v>
      </x:c>
      <x:c r="O364" s="69" t="str"/>
    </x:row>
    <x:row r="365" ht="21" customHeight="1">
      <x:c r="A365" s="100" t="n">
        <x:v>361</x:v>
      </x:c>
      <x:c r="B365" s="172" t="n">
        <x:v>95311002032</x:v>
      </x:c>
      <x:c r="C365" s="68" t="str">
        <x:v>NGUYỄN THÚY VY</x:v>
      </x:c>
      <x:c r="D365" s="106" t="str">
        <x:v>X</x:v>
      </x:c>
      <x:c r="E365" s="118" t="n">
        <x:v>40763</x:v>
      </x:c>
      <x:c r="F365" s="106" t="str">
        <x:v>Kinh</x:v>
      </x:c>
      <x:c r="G365" s="68" t="str">
        <x:v>Xã Vĩnh Thanh</x:v>
      </x:c>
      <x:c r="H365" s="68" t="str">
        <x:v>THCS Vĩnh Thanh</x:v>
      </x:c>
      <x:c r="I365" s="68" t="str">
        <x:v>Xã Vĩnh Thanh</x:v>
      </x:c>
      <x:c r="J365" s="124" t="n">
        <x:v>32.3</x:v>
      </x:c>
      <x:c r="K365" s="130" t="n">
        <x:v>37</x:v>
      </x:c>
      <x:c r="L365" s="124"/>
      <x:c r="M365" s="124"/>
      <x:c r="N365" s="124" t="n">
        <x:v>69.3</x:v>
      </x:c>
      <x:c r="O365" s="69" t="str"/>
    </x:row>
    <x:row r="366" ht="21" customHeight="1">
      <x:c r="A366" s="100" t="n">
        <x:v>362</x:v>
      </x:c>
      <x:c r="B366" s="172" t="n">
        <x:v>95311001705</x:v>
      </x:c>
      <x:c r="C366" s="68" t="str">
        <x:v>LÊ THẢO DUY</x:v>
      </x:c>
      <x:c r="D366" s="106" t="str">
        <x:v>X</x:v>
      </x:c>
      <x:c r="E366" s="118" t="n">
        <x:v>40859</x:v>
      </x:c>
      <x:c r="F366" s="106" t="str">
        <x:v>Kinh</x:v>
      </x:c>
      <x:c r="G366" s="68" t="str">
        <x:v>Xã Hồng Dân</x:v>
      </x:c>
      <x:c r="H366" s="68" t="str">
        <x:v>THCS Trương Vĩnh Ký</x:v>
      </x:c>
      <x:c r="I366" s="68" t="str">
        <x:v>Xã Hồng Dân</x:v>
      </x:c>
      <x:c r="J366" s="124" t="n">
        <x:v>32.3</x:v>
      </x:c>
      <x:c r="K366" s="130" t="n">
        <x:v>37</x:v>
      </x:c>
      <x:c r="L366" s="124"/>
      <x:c r="M366" s="124"/>
      <x:c r="N366" s="124" t="n">
        <x:v>69.3</x:v>
      </x:c>
      <x:c r="O366" s="69" t="str"/>
    </x:row>
    <x:row r="367" ht="21" customHeight="1">
      <x:c r="A367" s="100" t="n">
        <x:v>363</x:v>
      </x:c>
      <x:c r="B367" s="172" t="n">
        <x:v>95311008763</x:v>
      </x:c>
      <x:c r="C367" s="68" t="str">
        <x:v>LÊ MỸ PHỤNG</x:v>
      </x:c>
      <x:c r="D367" s="106" t="str">
        <x:v>X</x:v>
      </x:c>
      <x:c r="E367" s="118" t="n">
        <x:v>40546</x:v>
      </x:c>
      <x:c r="F367" s="106" t="str">
        <x:v>Kinh</x:v>
      </x:c>
      <x:c r="G367" s="68" t="str">
        <x:v>Xã Vĩnh Phước</x:v>
      </x:c>
      <x:c r="H367" s="68" t="str">
        <x:v>THCS Vương Hữu Nhơn</x:v>
      </x:c>
      <x:c r="I367" s="68" t="str">
        <x:v>Xã Phước Long</x:v>
      </x:c>
      <x:c r="J367" s="124" t="n">
        <x:v>32.3</x:v>
      </x:c>
      <x:c r="K367" s="130" t="n">
        <x:v>37</x:v>
      </x:c>
      <x:c r="L367" s="124"/>
      <x:c r="M367" s="124"/>
      <x:c r="N367" s="124" t="n">
        <x:v>69.3</x:v>
      </x:c>
      <x:c r="O367" s="69" t="str"/>
    </x:row>
    <x:row r="368" ht="21" customHeight="1">
      <x:c r="A368" s="100" t="n">
        <x:v>364</x:v>
      </x:c>
      <x:c r="B368" s="172" t="n">
        <x:v>95211003964</x:v>
      </x:c>
      <x:c r="C368" s="68" t="str">
        <x:v>VÕ NGUYỄN TRƯỜNG GIANG</x:v>
      </x:c>
      <x:c r="D368" s="106" t="str"/>
      <x:c r="E368" s="118" t="n">
        <x:v>40549</x:v>
      </x:c>
      <x:c r="F368" s="106" t="str">
        <x:v>Kinh</x:v>
      </x:c>
      <x:c r="G368" s="68" t="str">
        <x:v>Xã Phước Long</x:v>
      </x:c>
      <x:c r="H368" s="68" t="str">
        <x:v>THCS Phước Long</x:v>
      </x:c>
      <x:c r="I368" s="68" t="str">
        <x:v>Xã Phước Long</x:v>
      </x:c>
      <x:c r="J368" s="124" t="n">
        <x:v>32.2</x:v>
      </x:c>
      <x:c r="K368" s="130" t="n">
        <x:v>37</x:v>
      </x:c>
      <x:c r="L368" s="124"/>
      <x:c r="M368" s="124"/>
      <x:c r="N368" s="124" t="n">
        <x:v>69.2</x:v>
      </x:c>
      <x:c r="O368" s="69" t="str"/>
    </x:row>
    <x:row r="369" ht="21" customHeight="1">
      <x:c r="A369" s="100" t="n">
        <x:v>365</x:v>
      </x:c>
      <x:c r="B369" s="172" t="n">
        <x:v>95211005776</x:v>
      </x:c>
      <x:c r="C369" s="68" t="str">
        <x:v>PHAN VĂN NHỰT</x:v>
      </x:c>
      <x:c r="D369" s="106" t="str"/>
      <x:c r="E369" s="118" t="n">
        <x:v>40846</x:v>
      </x:c>
      <x:c r="F369" s="106" t="str">
        <x:v>Kinh</x:v>
      </x:c>
      <x:c r="G369" s="68" t="str">
        <x:v>Xã Phước Long</x:v>
      </x:c>
      <x:c r="H369" s="68" t="str">
        <x:v>THCS Phước Long</x:v>
      </x:c>
      <x:c r="I369" s="68" t="str">
        <x:v>Xã Phước Long</x:v>
      </x:c>
      <x:c r="J369" s="124" t="n">
        <x:v>32.2</x:v>
      </x:c>
      <x:c r="K369" s="130" t="n">
        <x:v>37</x:v>
      </x:c>
      <x:c r="L369" s="124"/>
      <x:c r="M369" s="124"/>
      <x:c r="N369" s="124" t="n">
        <x:v>69.2</x:v>
      </x:c>
      <x:c r="O369" s="69" t="str"/>
    </x:row>
    <x:row r="370" ht="21" customHeight="1">
      <x:c r="A370" s="100" t="n">
        <x:v>366</x:v>
      </x:c>
      <x:c r="B370" s="172" t="n">
        <x:v>95311004778</x:v>
      </x:c>
      <x:c r="C370" s="68" t="str">
        <x:v>LÊ THÚY DUY</x:v>
      </x:c>
      <x:c r="D370" s="106" t="str">
        <x:v>X</x:v>
      </x:c>
      <x:c r="E370" s="118" t="n">
        <x:v>40615</x:v>
      </x:c>
      <x:c r="F370" s="106" t="str">
        <x:v>Khmer</x:v>
      </x:c>
      <x:c r="G370" s="68" t="str">
        <x:v>Xã Vĩnh Phước</x:v>
      </x:c>
      <x:c r="H370" s="68" t="str">
        <x:v>THCS Vĩnh Phú Tây</x:v>
      </x:c>
      <x:c r="I370" s="68" t="str">
        <x:v>Xã Vĩnh Phước</x:v>
      </x:c>
      <x:c r="J370" s="124" t="n">
        <x:v>31.2</x:v>
      </x:c>
      <x:c r="K370" s="130" t="n">
        <x:v>37</x:v>
      </x:c>
      <x:c r="L370" s="124" t="n">
        <x:v>1</x:v>
      </x:c>
      <x:c r="M370" s="124"/>
      <x:c r="N370" s="124" t="n">
        <x:v>69.2</x:v>
      </x:c>
      <x:c r="O370" s="69" t="str"/>
    </x:row>
    <x:row r="371" ht="21" customHeight="1">
      <x:c r="A371" s="100" t="n">
        <x:v>367</x:v>
      </x:c>
      <x:c r="B371" s="172" t="n">
        <x:v>95211005167</x:v>
      </x:c>
      <x:c r="C371" s="68" t="str">
        <x:v>NGUYỄN HỮU ĐẠT</x:v>
      </x:c>
      <x:c r="D371" s="106" t="str"/>
      <x:c r="E371" s="118" t="n">
        <x:v>40635</x:v>
      </x:c>
      <x:c r="F371" s="106" t="str">
        <x:v>Kinh</x:v>
      </x:c>
      <x:c r="G371" s="68" t="str">
        <x:v>Xã Vĩnh Thanh</x:v>
      </x:c>
      <x:c r="H371" s="68" t="str">
        <x:v>THCS Hưng Phú</x:v>
      </x:c>
      <x:c r="I371" s="68" t="str">
        <x:v>Xã Vĩnh Thanh</x:v>
      </x:c>
      <x:c r="J371" s="124" t="n">
        <x:v>32.2</x:v>
      </x:c>
      <x:c r="K371" s="130" t="n">
        <x:v>37</x:v>
      </x:c>
      <x:c r="L371" s="124"/>
      <x:c r="M371" s="124"/>
      <x:c r="N371" s="124" t="n">
        <x:v>69.2</x:v>
      </x:c>
      <x:c r="O371" s="69" t="str"/>
    </x:row>
    <x:row r="372" ht="21" customHeight="1">
      <x:c r="A372" s="100" t="n">
        <x:v>368</x:v>
      </x:c>
      <x:c r="B372" s="172" t="n">
        <x:v>95311001587</x:v>
      </x:c>
      <x:c r="C372" s="68" t="str">
        <x:v>NGUYỄN NGỌC HÂN</x:v>
      </x:c>
      <x:c r="D372" s="106" t="str">
        <x:v>X</x:v>
      </x:c>
      <x:c r="E372" s="118" t="n">
        <x:v>40564</x:v>
      </x:c>
      <x:c r="F372" s="106" t="str">
        <x:v>Kinh</x:v>
      </x:c>
      <x:c r="G372" s="68" t="str">
        <x:v>Xã Phước Long</x:v>
      </x:c>
      <x:c r="H372" s="68" t="str">
        <x:v>THCS Vương Hữu Nhơn</x:v>
      </x:c>
      <x:c r="I372" s="68" t="str">
        <x:v>Xã Phước Long</x:v>
      </x:c>
      <x:c r="J372" s="124" t="n">
        <x:v>31.7</x:v>
      </x:c>
      <x:c r="K372" s="130" t="n">
        <x:v>36</x:v>
      </x:c>
      <x:c r="L372" s="124"/>
      <x:c r="M372" s="124" t="n">
        <x:v>1.5</x:v>
      </x:c>
      <x:c r="N372" s="124" t="n">
        <x:v>69.2</x:v>
      </x:c>
      <x:c r="O372" s="69" t="str"/>
    </x:row>
    <x:row r="373" ht="21" customHeight="1">
      <x:c r="A373" s="100" t="n">
        <x:v>369</x:v>
      </x:c>
      <x:c r="B373" s="172" t="n">
        <x:v>95311003181</x:v>
      </x:c>
      <x:c r="C373" s="68" t="str">
        <x:v>VÕ THỊ NGỌC HÂN</x:v>
      </x:c>
      <x:c r="D373" s="106" t="str">
        <x:v>X</x:v>
      </x:c>
      <x:c r="E373" s="118" t="n">
        <x:v>40841</x:v>
      </x:c>
      <x:c r="F373" s="106" t="str">
        <x:v>Kinh</x:v>
      </x:c>
      <x:c r="G373" s="68" t="str">
        <x:v>Xã Phước Long</x:v>
      </x:c>
      <x:c r="H373" s="68" t="str">
        <x:v>THCS Vương Hữu Nhơn</x:v>
      </x:c>
      <x:c r="I373" s="68" t="str">
        <x:v>Xã Phước Long</x:v>
      </x:c>
      <x:c r="J373" s="124" t="n">
        <x:v>32.2</x:v>
      </x:c>
      <x:c r="K373" s="130" t="n">
        <x:v>37</x:v>
      </x:c>
      <x:c r="L373" s="124"/>
      <x:c r="M373" s="124"/>
      <x:c r="N373" s="124" t="n">
        <x:v>69.2</x:v>
      </x:c>
      <x:c r="O373" s="69" t="str"/>
    </x:row>
    <x:row r="374" ht="21" customHeight="1">
      <x:c r="A374" s="100" t="n">
        <x:v>370</x:v>
      </x:c>
      <x:c r="B374" s="172" t="n">
        <x:v>95211001112</x:v>
      </x:c>
      <x:c r="C374" s="68" t="str">
        <x:v>DIỆP HOÀNG VỌNG</x:v>
      </x:c>
      <x:c r="D374" s="106" t="str"/>
      <x:c r="E374" s="118" t="n">
        <x:v>40737</x:v>
      </x:c>
      <x:c r="F374" s="106" t="str">
        <x:v>Kinh</x:v>
      </x:c>
      <x:c r="G374" s="68" t="str">
        <x:v>Xã Vĩnh Thanh</x:v>
      </x:c>
      <x:c r="H374" s="68" t="str">
        <x:v>THCS Hưng Phú</x:v>
      </x:c>
      <x:c r="I374" s="68" t="str">
        <x:v>Xã Vĩnh Thanh</x:v>
      </x:c>
      <x:c r="J374" s="124" t="n">
        <x:v>32.1</x:v>
      </x:c>
      <x:c r="K374" s="130" t="n">
        <x:v>37</x:v>
      </x:c>
      <x:c r="L374" s="124"/>
      <x:c r="M374" s="124"/>
      <x:c r="N374" s="124" t="n">
        <x:v>69.1</x:v>
      </x:c>
      <x:c r="O374" s="69" t="str"/>
    </x:row>
    <x:row r="375" ht="21" customHeight="1">
      <x:c r="A375" s="100" t="n">
        <x:v>371</x:v>
      </x:c>
      <x:c r="B375" s="172" t="n">
        <x:v>95311006231</x:v>
      </x:c>
      <x:c r="C375" s="68" t="str">
        <x:v>THÁI NGỌC ÁI</x:v>
      </x:c>
      <x:c r="D375" s="106" t="str">
        <x:v>X</x:v>
      </x:c>
      <x:c r="E375" s="118" t="n">
        <x:v>40719</x:v>
      </x:c>
      <x:c r="F375" s="106" t="str">
        <x:v>Kinh</x:v>
      </x:c>
      <x:c r="G375" s="68" t="str">
        <x:v>Xã Vĩnh Thanh</x:v>
      </x:c>
      <x:c r="H375" s="68" t="str">
        <x:v>THCS Vĩnh Thanh</x:v>
      </x:c>
      <x:c r="I375" s="68" t="str">
        <x:v>Xã Vĩnh Thanh</x:v>
      </x:c>
      <x:c r="J375" s="124" t="n">
        <x:v>32.1</x:v>
      </x:c>
      <x:c r="K375" s="130" t="n">
        <x:v>37</x:v>
      </x:c>
      <x:c r="L375" s="124"/>
      <x:c r="M375" s="124"/>
      <x:c r="N375" s="124" t="n">
        <x:v>69.1</x:v>
      </x:c>
      <x:c r="O375" s="69" t="str"/>
    </x:row>
    <x:row r="376" ht="21" customHeight="1">
      <x:c r="A376" s="100" t="n">
        <x:v>372</x:v>
      </x:c>
      <x:c r="B376" s="172" t="n">
        <x:v>95211007484</x:v>
      </x:c>
      <x:c r="C376" s="68" t="str">
        <x:v>NGUYỄN TẤN LỘC</x:v>
      </x:c>
      <x:c r="D376" s="106" t="str"/>
      <x:c r="E376" s="118" t="n">
        <x:v>40610</x:v>
      </x:c>
      <x:c r="F376" s="106" t="str">
        <x:v>Kinh</x:v>
      </x:c>
      <x:c r="G376" s="68" t="str">
        <x:v>Xã Phước Long</x:v>
      </x:c>
      <x:c r="H376" s="68" t="str">
        <x:v>THCS Vương Hữu Nhơn</x:v>
      </x:c>
      <x:c r="I376" s="68" t="str">
        <x:v>Xã Phước Long</x:v>
      </x:c>
      <x:c r="J376" s="124" t="n">
        <x:v>32.1</x:v>
      </x:c>
      <x:c r="K376" s="130" t="n">
        <x:v>37</x:v>
      </x:c>
      <x:c r="L376" s="124"/>
      <x:c r="M376" s="124"/>
      <x:c r="N376" s="124" t="n">
        <x:v>69.1</x:v>
      </x:c>
      <x:c r="O376" s="69" t="str"/>
    </x:row>
    <x:row r="377" ht="21" customHeight="1">
      <x:c r="A377" s="100" t="n">
        <x:v>373</x:v>
      </x:c>
      <x:c r="B377" s="172" t="n">
        <x:v>95311006022</x:v>
      </x:c>
      <x:c r="C377" s="68" t="str">
        <x:v>NGUYỄN TRẦN KIM LINH</x:v>
      </x:c>
      <x:c r="D377" s="106" t="str">
        <x:v>X</x:v>
      </x:c>
      <x:c r="E377" s="118" t="n">
        <x:v>40823</x:v>
      </x:c>
      <x:c r="F377" s="106" t="str">
        <x:v>Kinh</x:v>
      </x:c>
      <x:c r="G377" s="68" t="str">
        <x:v>Xã Phước Long</x:v>
      </x:c>
      <x:c r="H377" s="68" t="str">
        <x:v>THCS Vương Hữu Nhơn</x:v>
      </x:c>
      <x:c r="I377" s="68" t="str">
        <x:v>Xã Phước Long</x:v>
      </x:c>
      <x:c r="J377" s="124" t="n">
        <x:v>32.1</x:v>
      </x:c>
      <x:c r="K377" s="130" t="n">
        <x:v>37</x:v>
      </x:c>
      <x:c r="L377" s="124"/>
      <x:c r="M377" s="124"/>
      <x:c r="N377" s="124" t="n">
        <x:v>69.1</x:v>
      </x:c>
      <x:c r="O377" s="69" t="str"/>
    </x:row>
    <x:row r="378" ht="21" customHeight="1">
      <x:c r="A378" s="100" t="n">
        <x:v>374</x:v>
      </x:c>
      <x:c r="B378" s="172" t="n">
        <x:v>95311008809</x:v>
      </x:c>
      <x:c r="C378" s="68" t="str">
        <x:v>THÁI TÔ LINH</x:v>
      </x:c>
      <x:c r="D378" s="106" t="str">
        <x:v>X</x:v>
      </x:c>
      <x:c r="E378" s="118" t="n">
        <x:v>40809</x:v>
      </x:c>
      <x:c r="F378" s="106" t="str">
        <x:v>Kinh</x:v>
      </x:c>
      <x:c r="G378" s="68" t="str">
        <x:v>Xã Vĩnh Phước</x:v>
      </x:c>
      <x:c r="H378" s="68" t="str">
        <x:v>THCS Vĩnh Phú Tây</x:v>
      </x:c>
      <x:c r="I378" s="68" t="str">
        <x:v>Xã Vĩnh Phước</x:v>
      </x:c>
      <x:c r="J378" s="124" t="n">
        <x:v>32</x:v>
      </x:c>
      <x:c r="K378" s="130" t="n">
        <x:v>37</x:v>
      </x:c>
      <x:c r="L378" s="124"/>
      <x:c r="M378" s="124"/>
      <x:c r="N378" s="124" t="n">
        <x:v>69</x:v>
      </x:c>
      <x:c r="O378" s="69" t="str"/>
    </x:row>
    <x:row r="379" ht="21" customHeight="1">
      <x:c r="A379" s="100" t="n">
        <x:v>375</x:v>
      </x:c>
      <x:c r="B379" s="172" t="n">
        <x:v>95211004249</x:v>
      </x:c>
      <x:c r="C379" s="68" t="str">
        <x:v>NGUYỄN THANH VI</x:v>
      </x:c>
      <x:c r="D379" s="106" t="str"/>
      <x:c r="E379" s="118" t="n">
        <x:v>40549</x:v>
      </x:c>
      <x:c r="F379" s="106" t="str">
        <x:v>Kinh</x:v>
      </x:c>
      <x:c r="G379" s="68" t="str">
        <x:v>Xã Vĩnh Thanh</x:v>
      </x:c>
      <x:c r="H379" s="68" t="str">
        <x:v>THCS Hưng Phú</x:v>
      </x:c>
      <x:c r="I379" s="68" t="str">
        <x:v>Xã Vĩnh Thanh</x:v>
      </x:c>
      <x:c r="J379" s="124" t="n">
        <x:v>32</x:v>
      </x:c>
      <x:c r="K379" s="130" t="n">
        <x:v>37</x:v>
      </x:c>
      <x:c r="L379" s="124"/>
      <x:c r="M379" s="124"/>
      <x:c r="N379" s="124" t="n">
        <x:v>69</x:v>
      </x:c>
      <x:c r="O379" s="69" t="str"/>
    </x:row>
    <x:row r="380" ht="21" customHeight="1">
      <x:c r="A380" s="100" t="n">
        <x:v>376</x:v>
      </x:c>
      <x:c r="B380" s="172" t="n">
        <x:v>95211004898</x:v>
      </x:c>
      <x:c r="C380" s="68" t="str">
        <x:v>NGUYỄN VŨ KHOA</x:v>
      </x:c>
      <x:c r="D380" s="106" t="str"/>
      <x:c r="E380" s="118" t="n">
        <x:v>40554</x:v>
      </x:c>
      <x:c r="F380" s="106" t="str">
        <x:v>Kinh</x:v>
      </x:c>
      <x:c r="G380" s="68" t="str">
        <x:v>Xã Vĩnh Thanh</x:v>
      </x:c>
      <x:c r="H380" s="68" t="str">
        <x:v>THCS Hưng Phú</x:v>
      </x:c>
      <x:c r="I380" s="68" t="str">
        <x:v>Xã Vĩnh Thanh</x:v>
      </x:c>
      <x:c r="J380" s="124" t="n">
        <x:v>32</x:v>
      </x:c>
      <x:c r="K380" s="130" t="n">
        <x:v>37</x:v>
      </x:c>
      <x:c r="L380" s="124"/>
      <x:c r="M380" s="124"/>
      <x:c r="N380" s="124" t="n">
        <x:v>69</x:v>
      </x:c>
      <x:c r="O380" s="69" t="str"/>
    </x:row>
    <x:row r="381" ht="21" customHeight="1">
      <x:c r="A381" s="100" t="n">
        <x:v>377</x:v>
      </x:c>
      <x:c r="B381" s="172" t="n">
        <x:v>95311006872</x:v>
      </x:c>
      <x:c r="C381" s="68" t="str">
        <x:v>ĐINH CHÚC NI</x:v>
      </x:c>
      <x:c r="D381" s="106" t="str">
        <x:v>X</x:v>
      </x:c>
      <x:c r="E381" s="118" t="n">
        <x:v>40870</x:v>
      </x:c>
      <x:c r="F381" s="106" t="str">
        <x:v>Kinh</x:v>
      </x:c>
      <x:c r="G381" s="68" t="str">
        <x:v>Xã Phước Long</x:v>
      </x:c>
      <x:c r="H381" s="68" t="str">
        <x:v>THCS Hưng Phú</x:v>
      </x:c>
      <x:c r="I381" s="68" t="str">
        <x:v>Xã Vĩnh Thanh</x:v>
      </x:c>
      <x:c r="J381" s="124" t="n">
        <x:v>32</x:v>
      </x:c>
      <x:c r="K381" s="130" t="n">
        <x:v>37</x:v>
      </x:c>
      <x:c r="L381" s="124"/>
      <x:c r="M381" s="124"/>
      <x:c r="N381" s="124" t="n">
        <x:v>69</x:v>
      </x:c>
      <x:c r="O381" s="69" t="str"/>
    </x:row>
    <x:row r="382" ht="21" customHeight="1">
      <x:c r="A382" s="100" t="n">
        <x:v>378</x:v>
      </x:c>
      <x:c r="B382" s="172" t="n">
        <x:v>95211002165</x:v>
      </x:c>
      <x:c r="C382" s="68" t="str">
        <x:v>DƯƠNG TRỌNG KHANG</x:v>
      </x:c>
      <x:c r="D382" s="106" t="str"/>
      <x:c r="E382" s="118" t="n">
        <x:v>40834</x:v>
      </x:c>
      <x:c r="F382" s="106" t="str">
        <x:v>Kinh</x:v>
      </x:c>
      <x:c r="G382" s="68" t="str">
        <x:v>Xã Vĩnh Thanh</x:v>
      </x:c>
      <x:c r="H382" s="68" t="str">
        <x:v>THCS Hưng Phú</x:v>
      </x:c>
      <x:c r="I382" s="68" t="str">
        <x:v>Xã Vĩnh Thanh</x:v>
      </x:c>
      <x:c r="J382" s="124" t="n">
        <x:v>32</x:v>
      </x:c>
      <x:c r="K382" s="130" t="n">
        <x:v>37</x:v>
      </x:c>
      <x:c r="L382" s="124"/>
      <x:c r="M382" s="124"/>
      <x:c r="N382" s="124" t="n">
        <x:v>69</x:v>
      </x:c>
      <x:c r="O382" s="69" t="str"/>
    </x:row>
    <x:row r="383" ht="21" customHeight="1">
      <x:c r="A383" s="100" t="n">
        <x:v>379</x:v>
      </x:c>
      <x:c r="B383" s="172" t="n">
        <x:v>95311004021</x:v>
      </x:c>
      <x:c r="C383" s="68" t="str">
        <x:v>NGUYỄN THỊ THÙY GẤM</x:v>
      </x:c>
      <x:c r="D383" s="106" t="str">
        <x:v>X</x:v>
      </x:c>
      <x:c r="E383" s="118" t="n">
        <x:v>40547</x:v>
      </x:c>
      <x:c r="F383" s="106" t="str">
        <x:v>Kinh</x:v>
      </x:c>
      <x:c r="G383" s="68" t="str">
        <x:v>Xã Phước Long</x:v>
      </x:c>
      <x:c r="H383" s="68" t="str">
        <x:v>THCS Vĩnh Thanh</x:v>
      </x:c>
      <x:c r="I383" s="68" t="str">
        <x:v>Xã Vĩnh Thanh</x:v>
      </x:c>
      <x:c r="J383" s="124" t="n">
        <x:v>32</x:v>
      </x:c>
      <x:c r="K383" s="130" t="n">
        <x:v>37</x:v>
      </x:c>
      <x:c r="L383" s="124"/>
      <x:c r="M383" s="124"/>
      <x:c r="N383" s="124" t="n">
        <x:v>69</x:v>
      </x:c>
      <x:c r="O383" s="69" t="str"/>
    </x:row>
    <x:row r="384" ht="21" customHeight="1">
      <x:c r="A384" s="100" t="n">
        <x:v>380</x:v>
      </x:c>
      <x:c r="B384" s="172" t="n">
        <x:v>95311007990</x:v>
      </x:c>
      <x:c r="C384" s="68" t="str">
        <x:v>NGUYỄN THỊ MỸ XUYÊN</x:v>
      </x:c>
      <x:c r="D384" s="106" t="str">
        <x:v>X</x:v>
      </x:c>
      <x:c r="E384" s="118" t="n">
        <x:v>40645</x:v>
      </x:c>
      <x:c r="F384" s="106" t="str">
        <x:v>Kinh</x:v>
      </x:c>
      <x:c r="G384" s="68" t="str">
        <x:v>Xã Phước Long</x:v>
      </x:c>
      <x:c r="H384" s="68" t="str">
        <x:v>THCS Phước Long</x:v>
      </x:c>
      <x:c r="I384" s="68" t="str">
        <x:v>Xã Vĩnh Phước</x:v>
      </x:c>
      <x:c r="J384" s="124" t="n">
        <x:v>33</x:v>
      </x:c>
      <x:c r="K384" s="130" t="n">
        <x:v>36</x:v>
      </x:c>
      <x:c r="L384" s="124"/>
      <x:c r="M384" s="124"/>
      <x:c r="N384" s="124" t="n">
        <x:v>69</x:v>
      </x:c>
      <x:c r="O384" s="69" t="str"/>
    </x:row>
    <x:row r="385" ht="21" customHeight="1">
      <x:c r="A385" s="100" t="n">
        <x:v>381</x:v>
      </x:c>
      <x:c r="B385" s="172" t="n">
        <x:v>95211005388</x:v>
      </x:c>
      <x:c r="C385" s="68" t="str">
        <x:v>HUỲNH TẤN HẢI</x:v>
      </x:c>
      <x:c r="D385" s="106" t="str"/>
      <x:c r="E385" s="118" t="n">
        <x:v>40766</x:v>
      </x:c>
      <x:c r="F385" s="106" t="str">
        <x:v>Kinh</x:v>
      </x:c>
      <x:c r="G385" s="68" t="str">
        <x:v>Xã Phước Long</x:v>
      </x:c>
      <x:c r="H385" s="68" t="str">
        <x:v>THCS Phước Long</x:v>
      </x:c>
      <x:c r="I385" s="68" t="str">
        <x:v>Xã Phước Long</x:v>
      </x:c>
      <x:c r="J385" s="124" t="n">
        <x:v>32.4</x:v>
      </x:c>
      <x:c r="K385" s="130" t="n">
        <x:v>36</x:v>
      </x:c>
      <x:c r="L385" s="124"/>
      <x:c r="M385" s="124" t="n">
        <x:v>0.5</x:v>
      </x:c>
      <x:c r="N385" s="124" t="n">
        <x:v>68.9</x:v>
      </x:c>
      <x:c r="O385" s="69" t="str"/>
    </x:row>
    <x:row r="386" ht="21" customHeight="1">
      <x:c r="A386" s="100" t="n">
        <x:v>382</x:v>
      </x:c>
      <x:c r="B386" s="172" t="n">
        <x:v>95311005194</x:v>
      </x:c>
      <x:c r="C386" s="68" t="str">
        <x:v>TRẦN NGỌC DIỆP</x:v>
      </x:c>
      <x:c r="D386" s="106" t="str">
        <x:v>X</x:v>
      </x:c>
      <x:c r="E386" s="118" t="n">
        <x:v>40832</x:v>
      </x:c>
      <x:c r="F386" s="106" t="str">
        <x:v>Kinh</x:v>
      </x:c>
      <x:c r="G386" s="68" t="str">
        <x:v>Xã Vĩnh Phước</x:v>
      </x:c>
      <x:c r="H386" s="68" t="str">
        <x:v>THCS Vĩnh Phú Tây</x:v>
      </x:c>
      <x:c r="I386" s="68" t="str">
        <x:v>Xã Vĩnh Phước</x:v>
      </x:c>
      <x:c r="J386" s="124" t="n">
        <x:v>30.9</x:v>
      </x:c>
      <x:c r="K386" s="130" t="n">
        <x:v>36</x:v>
      </x:c>
      <x:c r="L386" s="124" t="n">
        <x:v>1</x:v>
      </x:c>
      <x:c r="M386" s="124" t="n">
        <x:v>1</x:v>
      </x:c>
      <x:c r="N386" s="124" t="n">
        <x:v>68.9</x:v>
      </x:c>
      <x:c r="O386" s="69" t="str"/>
    </x:row>
    <x:row r="387" ht="21" customHeight="1">
      <x:c r="A387" s="100" t="n">
        <x:v>383</x:v>
      </x:c>
      <x:c r="B387" s="172" t="n">
        <x:v>95311003902</x:v>
      </x:c>
      <x:c r="C387" s="68" t="str">
        <x:v>TRẦN THỊ THẢO AN</x:v>
      </x:c>
      <x:c r="D387" s="106" t="str">
        <x:v>X</x:v>
      </x:c>
      <x:c r="E387" s="118" t="n">
        <x:v>40595</x:v>
      </x:c>
      <x:c r="F387" s="106" t="str">
        <x:v>Kinh</x:v>
      </x:c>
      <x:c r="G387" s="68" t="str">
        <x:v>Xã Ninh Thạnh Lợi</x:v>
      </x:c>
      <x:c r="H387" s="68" t="str">
        <x:v>THCS Phước Long</x:v>
      </x:c>
      <x:c r="I387" s="68" t="str">
        <x:v>Xã Vĩnh Phước</x:v>
      </x:c>
      <x:c r="J387" s="124" t="n">
        <x:v>31.9</x:v>
      </x:c>
      <x:c r="K387" s="130" t="n">
        <x:v>36</x:v>
      </x:c>
      <x:c r="L387" s="124" t="n">
        <x:v>1</x:v>
      </x:c>
      <x:c r="M387" s="124"/>
      <x:c r="N387" s="124" t="n">
        <x:v>68.9</x:v>
      </x:c>
      <x:c r="O387" s="69" t="str"/>
    </x:row>
    <x:row r="388" ht="21" customHeight="1">
      <x:c r="A388" s="100" t="n">
        <x:v>384</x:v>
      </x:c>
      <x:c r="B388" s="172" t="n">
        <x:v>95211009102</x:v>
      </x:c>
      <x:c r="C388" s="68" t="str">
        <x:v>TRƯƠNG GIA MINH</x:v>
      </x:c>
      <x:c r="D388" s="106" t="str">
        <x:v>X</x:v>
      </x:c>
      <x:c r="E388" s="118" t="n">
        <x:v>40750</x:v>
      </x:c>
      <x:c r="F388" s="106" t="str">
        <x:v>Kinh</x:v>
      </x:c>
      <x:c r="G388" s="68" t="str">
        <x:v>Xã Phước Long</x:v>
      </x:c>
      <x:c r="H388" s="68" t="str">
        <x:v>THCS Phước Long</x:v>
      </x:c>
      <x:c r="I388" s="68" t="str">
        <x:v>Xã Vĩnh Phước</x:v>
      </x:c>
      <x:c r="J388" s="124" t="n">
        <x:v>32.9</x:v>
      </x:c>
      <x:c r="K388" s="130" t="n">
        <x:v>36</x:v>
      </x:c>
      <x:c r="L388" s="124"/>
      <x:c r="M388" s="124"/>
      <x:c r="N388" s="124" t="n">
        <x:v>68.9</x:v>
      </x:c>
      <x:c r="O388" s="69" t="str"/>
    </x:row>
    <x:row r="389" ht="21" customHeight="1">
      <x:c r="A389" s="100" t="n">
        <x:v>385</x:v>
      </x:c>
      <x:c r="B389" s="172" t="n">
        <x:v>95311007711</x:v>
      </x:c>
      <x:c r="C389" s="68" t="str">
        <x:v>TRẦN THỊ DIỄM HẰNG</x:v>
      </x:c>
      <x:c r="D389" s="106" t="str">
        <x:v>X</x:v>
      </x:c>
      <x:c r="E389" s="118" t="n">
        <x:v>40614</x:v>
      </x:c>
      <x:c r="F389" s="106" t="str">
        <x:v>Kinh</x:v>
      </x:c>
      <x:c r="G389" s="68" t="str">
        <x:v>Xã Phước Long</x:v>
      </x:c>
      <x:c r="H389" s="68" t="str">
        <x:v>THCS Vĩnh Thanh</x:v>
      </x:c>
      <x:c r="I389" s="68" t="str">
        <x:v>Xã Vĩnh Thanh</x:v>
      </x:c>
      <x:c r="J389" s="124" t="n">
        <x:v>31.8</x:v>
      </x:c>
      <x:c r="K389" s="130" t="n">
        <x:v>37</x:v>
      </x:c>
      <x:c r="L389" s="124"/>
      <x:c r="M389" s="124"/>
      <x:c r="N389" s="124" t="n">
        <x:v>68.8</x:v>
      </x:c>
      <x:c r="O389" s="69" t="str"/>
    </x:row>
    <x:row r="390" ht="21" customHeight="1">
      <x:c r="A390" s="100" t="n">
        <x:v>386</x:v>
      </x:c>
      <x:c r="B390" s="172" t="n">
        <x:v>95211007244</x:v>
      </x:c>
      <x:c r="C390" s="68" t="str">
        <x:v>TRƯƠNG HOÀNG LỮ</x:v>
      </x:c>
      <x:c r="D390" s="106" t="str"/>
      <x:c r="E390" s="118" t="n">
        <x:v>40871</x:v>
      </x:c>
      <x:c r="F390" s="106" t="str">
        <x:v>Kinh</x:v>
      </x:c>
      <x:c r="G390" s="68" t="str">
        <x:v>Xã Phước Long</x:v>
      </x:c>
      <x:c r="H390" s="68" t="str">
        <x:v>THCS Vương Hữu Nhơn</x:v>
      </x:c>
      <x:c r="I390" s="68" t="str">
        <x:v>Xã Phước Long</x:v>
      </x:c>
      <x:c r="J390" s="124" t="n">
        <x:v>32.8</x:v>
      </x:c>
      <x:c r="K390" s="130" t="n">
        <x:v>36</x:v>
      </x:c>
      <x:c r="L390" s="124"/>
      <x:c r="M390" s="124"/>
      <x:c r="N390" s="124" t="n">
        <x:v>68.8</x:v>
      </x:c>
      <x:c r="O390" s="69" t="str"/>
    </x:row>
    <x:row r="391" ht="21" customHeight="1">
      <x:c r="A391" s="100" t="n">
        <x:v>387</x:v>
      </x:c>
      <x:c r="B391" s="172" t="n">
        <x:v>95311006559</x:v>
      </x:c>
      <x:c r="C391" s="68" t="str">
        <x:v>ĐẶNG PHƯƠNG VY</x:v>
      </x:c>
      <x:c r="D391" s="106" t="str">
        <x:v>X</x:v>
      </x:c>
      <x:c r="E391" s="118" t="n">
        <x:v>40632</x:v>
      </x:c>
      <x:c r="F391" s="106" t="str">
        <x:v>Kinh</x:v>
      </x:c>
      <x:c r="G391" s="68" t="str">
        <x:v>Xã Phước Long</x:v>
      </x:c>
      <x:c r="H391" s="68" t="str">
        <x:v>THCS Phước Long</x:v>
      </x:c>
      <x:c r="I391" s="68" t="str">
        <x:v>Xã Phước Long</x:v>
      </x:c>
      <x:c r="J391" s="124" t="n">
        <x:v>31.8</x:v>
      </x:c>
      <x:c r="K391" s="130" t="n">
        <x:v>37</x:v>
      </x:c>
      <x:c r="L391" s="124"/>
      <x:c r="M391" s="124"/>
      <x:c r="N391" s="124" t="n">
        <x:v>68.8</x:v>
      </x:c>
      <x:c r="O391" s="69" t="str"/>
    </x:row>
    <x:row r="392" ht="21" customHeight="1">
      <x:c r="A392" s="100" t="n">
        <x:v>388</x:v>
      </x:c>
      <x:c r="B392" s="172" t="n">
        <x:v>95211009286</x:v>
      </x:c>
      <x:c r="C392" s="68" t="str">
        <x:v>NGUYỄN GIA HUY</x:v>
      </x:c>
      <x:c r="D392" s="106" t="str"/>
      <x:c r="E392" s="118" t="n">
        <x:v>40643</x:v>
      </x:c>
      <x:c r="F392" s="106" t="str">
        <x:v>Kinh</x:v>
      </x:c>
      <x:c r="G392" s="68" t="str">
        <x:v>Xã Vĩnh Thanh</x:v>
      </x:c>
      <x:c r="H392" s="68" t="str">
        <x:v>THCS Hưng Phú</x:v>
      </x:c>
      <x:c r="I392" s="68" t="str">
        <x:v>Xã Vĩnh Thanh</x:v>
      </x:c>
      <x:c r="J392" s="124" t="n">
        <x:v>31.8</x:v>
      </x:c>
      <x:c r="K392" s="130" t="n">
        <x:v>37</x:v>
      </x:c>
      <x:c r="L392" s="124"/>
      <x:c r="M392" s="124"/>
      <x:c r="N392" s="124" t="n">
        <x:v>68.8</x:v>
      </x:c>
      <x:c r="O392" s="69" t="str"/>
    </x:row>
    <x:row r="393" ht="21" customHeight="1">
      <x:c r="A393" s="100" t="n">
        <x:v>389</x:v>
      </x:c>
      <x:c r="B393" s="172" t="n">
        <x:v>95211008694</x:v>
      </x:c>
      <x:c r="C393" s="68" t="str">
        <x:v>NGÔ TRÚC KHÁNG</x:v>
      </x:c>
      <x:c r="D393" s="106" t="str"/>
      <x:c r="E393" s="118" t="n">
        <x:v>40670</x:v>
      </x:c>
      <x:c r="F393" s="106" t="str">
        <x:v>Kinh</x:v>
      </x:c>
      <x:c r="G393" s="68" t="str">
        <x:v>Xã Phước Long</x:v>
      </x:c>
      <x:c r="H393" s="68" t="str">
        <x:v>THCS Trương Vĩnh Ký</x:v>
      </x:c>
      <x:c r="I393" s="68" t="str">
        <x:v>Xã Hồng Dân</x:v>
      </x:c>
      <x:c r="J393" s="124" t="n">
        <x:v>31.8</x:v>
      </x:c>
      <x:c r="K393" s="130" t="n">
        <x:v>37</x:v>
      </x:c>
      <x:c r="L393" s="124"/>
      <x:c r="M393" s="124"/>
      <x:c r="N393" s="124" t="n">
        <x:v>68.8</x:v>
      </x:c>
      <x:c r="O393" s="69" t="str"/>
    </x:row>
    <x:row r="394" ht="21" customHeight="1">
      <x:c r="A394" s="100" t="n">
        <x:v>390</x:v>
      </x:c>
      <x:c r="B394" s="172" t="n">
        <x:v>95311006889</x:v>
      </x:c>
      <x:c r="C394" s="68" t="str">
        <x:v>HOA NGỌC TRÂN</x:v>
      </x:c>
      <x:c r="D394" s="106" t="str">
        <x:v>X</x:v>
      </x:c>
      <x:c r="E394" s="118" t="n">
        <x:v>40588</x:v>
      </x:c>
      <x:c r="F394" s="106" t="str">
        <x:v>Kinh</x:v>
      </x:c>
      <x:c r="G394" s="68" t="str">
        <x:v>Xã Phước Long</x:v>
      </x:c>
      <x:c r="H394" s="68" t="str">
        <x:v>THCS Vương Hữu Nhơn</x:v>
      </x:c>
      <x:c r="I394" s="68" t="str">
        <x:v>Xã Phước Long</x:v>
      </x:c>
      <x:c r="J394" s="124" t="n">
        <x:v>31.8</x:v>
      </x:c>
      <x:c r="K394" s="130" t="n">
        <x:v>37</x:v>
      </x:c>
      <x:c r="L394" s="124"/>
      <x:c r="M394" s="124"/>
      <x:c r="N394" s="124" t="n">
        <x:v>68.8</x:v>
      </x:c>
      <x:c r="O394" s="69" t="str"/>
    </x:row>
    <x:row r="395" ht="21" customHeight="1">
      <x:c r="A395" s="100" t="n">
        <x:v>391</x:v>
      </x:c>
      <x:c r="B395" s="172" t="n">
        <x:v>75211002447</x:v>
      </x:c>
      <x:c r="C395" s="68" t="str">
        <x:v>LÊ THANH KHOA</x:v>
      </x:c>
      <x:c r="D395" s="106" t="str"/>
      <x:c r="E395" s="118" t="n">
        <x:v>40782</x:v>
      </x:c>
      <x:c r="F395" s="106" t="str">
        <x:v>Kinh</x:v>
      </x:c>
      <x:c r="G395" s="68" t="str">
        <x:v>Xã Vĩnh Phước</x:v>
      </x:c>
      <x:c r="H395" s="68" t="str">
        <x:v>THCS Vĩnh Phú Tây</x:v>
      </x:c>
      <x:c r="I395" s="68" t="str">
        <x:v>Xã Vĩnh Phước</x:v>
      </x:c>
      <x:c r="J395" s="124" t="n">
        <x:v>32.7</x:v>
      </x:c>
      <x:c r="K395" s="130" t="n">
        <x:v>36</x:v>
      </x:c>
      <x:c r="L395" s="124"/>
      <x:c r="M395" s="124"/>
      <x:c r="N395" s="124" t="n">
        <x:v>68.7</x:v>
      </x:c>
      <x:c r="O395" s="69" t="str"/>
    </x:row>
    <x:row r="396" ht="21" customHeight="1">
      <x:c r="A396" s="100" t="n">
        <x:v>392</x:v>
      </x:c>
      <x:c r="B396" s="172" t="n">
        <x:v>95211006019</x:v>
      </x:c>
      <x:c r="C396" s="68" t="str">
        <x:v>TRẦN HOÀNG HUY</x:v>
      </x:c>
      <x:c r="D396" s="106" t="str"/>
      <x:c r="E396" s="118" t="n">
        <x:v>40789</x:v>
      </x:c>
      <x:c r="F396" s="106" t="str">
        <x:v>Kinh</x:v>
      </x:c>
      <x:c r="G396" s="68" t="str">
        <x:v>Xã Vĩnh Thanh</x:v>
      </x:c>
      <x:c r="H396" s="68" t="str">
        <x:v>THCS Hưng Phú</x:v>
      </x:c>
      <x:c r="I396" s="68" t="str">
        <x:v>Xã Vĩnh Thanh</x:v>
      </x:c>
      <x:c r="J396" s="124" t="n">
        <x:v>31.7</x:v>
      </x:c>
      <x:c r="K396" s="130" t="n">
        <x:v>37</x:v>
      </x:c>
      <x:c r="L396" s="124"/>
      <x:c r="M396" s="124"/>
      <x:c r="N396" s="124" t="n">
        <x:v>68.7</x:v>
      </x:c>
      <x:c r="O396" s="69" t="str"/>
    </x:row>
    <x:row r="397" ht="21" customHeight="1">
      <x:c r="A397" s="100" t="n">
        <x:v>393</x:v>
      </x:c>
      <x:c r="B397" s="172" t="n">
        <x:v>95311001880</x:v>
      </x:c>
      <x:c r="C397" s="68" t="str">
        <x:v>NGUYỄN DIỄM KIM LOAN</x:v>
      </x:c>
      <x:c r="D397" s="106" t="str">
        <x:v>X</x:v>
      </x:c>
      <x:c r="E397" s="118" t="n">
        <x:v>40754</x:v>
      </x:c>
      <x:c r="F397" s="106" t="str">
        <x:v>Kinh</x:v>
      </x:c>
      <x:c r="G397" s="68" t="str">
        <x:v>Xã Hồng Dân</x:v>
      </x:c>
      <x:c r="H397" s="68" t="str">
        <x:v>THCS Phước Long</x:v>
      </x:c>
      <x:c r="I397" s="68" t="str">
        <x:v>Xã Vĩnh Phước</x:v>
      </x:c>
      <x:c r="J397" s="124" t="n">
        <x:v>31.7</x:v>
      </x:c>
      <x:c r="K397" s="130" t="n">
        <x:v>37</x:v>
      </x:c>
      <x:c r="L397" s="124"/>
      <x:c r="M397" s="124"/>
      <x:c r="N397" s="124" t="n">
        <x:v>68.7</x:v>
      </x:c>
      <x:c r="O397" s="69" t="str"/>
    </x:row>
    <x:row r="398" ht="21" customHeight="1">
      <x:c r="A398" s="100" t="n">
        <x:v>394</x:v>
      </x:c>
      <x:c r="B398" s="172" t="n">
        <x:v>95311005954</x:v>
      </x:c>
      <x:c r="C398" s="68" t="str">
        <x:v>NGUYỄN THỊ MỸ DUYÊN</x:v>
      </x:c>
      <x:c r="D398" s="106" t="str">
        <x:v>X</x:v>
      </x:c>
      <x:c r="E398" s="118" t="n">
        <x:v>40804</x:v>
      </x:c>
      <x:c r="F398" s="106" t="str">
        <x:v>Kinh</x:v>
      </x:c>
      <x:c r="G398" s="68" t="str">
        <x:v>Xã Phước Long</x:v>
      </x:c>
      <x:c r="H398" s="68" t="str">
        <x:v>THCS Vương Hữu Nhơn</x:v>
      </x:c>
      <x:c r="I398" s="68" t="str">
        <x:v>Xã Phước Long</x:v>
      </x:c>
      <x:c r="J398" s="124" t="n">
        <x:v>31.7</x:v>
      </x:c>
      <x:c r="K398" s="130" t="n">
        <x:v>37</x:v>
      </x:c>
      <x:c r="L398" s="124"/>
      <x:c r="M398" s="124"/>
      <x:c r="N398" s="124" t="n">
        <x:v>68.7</x:v>
      </x:c>
      <x:c r="O398" s="69" t="str"/>
    </x:row>
    <x:row r="399" ht="21" customHeight="1">
      <x:c r="A399" s="100" t="n">
        <x:v>395</x:v>
      </x:c>
      <x:c r="B399" s="172" t="n">
        <x:v>95211006593</x:v>
      </x:c>
      <x:c r="C399" s="68" t="str">
        <x:v>PHẠM MINH DUY</x:v>
      </x:c>
      <x:c r="D399" s="106" t="str"/>
      <x:c r="E399" s="118" t="n">
        <x:v>40812</x:v>
      </x:c>
      <x:c r="F399" s="106" t="str">
        <x:v>Kinh</x:v>
      </x:c>
      <x:c r="G399" s="68" t="str">
        <x:v>Xã Phước Long</x:v>
      </x:c>
      <x:c r="H399" s="68" t="str">
        <x:v>THCS Phước Long</x:v>
      </x:c>
      <x:c r="I399" s="68" t="str">
        <x:v>Xã Phước Long</x:v>
      </x:c>
      <x:c r="J399" s="124" t="n">
        <x:v>31.6</x:v>
      </x:c>
      <x:c r="K399" s="130" t="n">
        <x:v>37</x:v>
      </x:c>
      <x:c r="L399" s="124"/>
      <x:c r="M399" s="124"/>
      <x:c r="N399" s="124" t="n">
        <x:v>68.6</x:v>
      </x:c>
      <x:c r="O399" s="69" t="str"/>
    </x:row>
    <x:row r="400" ht="21" customHeight="1">
      <x:c r="A400" s="100" t="n">
        <x:v>396</x:v>
      </x:c>
      <x:c r="B400" s="172" t="n">
        <x:v>95311004284</x:v>
      </x:c>
      <x:c r="C400" s="68" t="str">
        <x:v>NGUYỄN THIÊN KIM</x:v>
      </x:c>
      <x:c r="D400" s="106" t="str">
        <x:v>X</x:v>
      </x:c>
      <x:c r="E400" s="118" t="n">
        <x:v>40674</x:v>
      </x:c>
      <x:c r="F400" s="106" t="str">
        <x:v>Kinh</x:v>
      </x:c>
      <x:c r="G400" s="68" t="str">
        <x:v>Xã Phước Long</x:v>
      </x:c>
      <x:c r="H400" s="68" t="str">
        <x:v>THCS Phước Long</x:v>
      </x:c>
      <x:c r="I400" s="68" t="str">
        <x:v>Xã Phước Long</x:v>
      </x:c>
      <x:c r="J400" s="124" t="n">
        <x:v>31.6</x:v>
      </x:c>
      <x:c r="K400" s="130" t="n">
        <x:v>37</x:v>
      </x:c>
      <x:c r="L400" s="124"/>
      <x:c r="M400" s="124"/>
      <x:c r="N400" s="124" t="n">
        <x:v>68.6</x:v>
      </x:c>
      <x:c r="O400" s="69" t="str"/>
    </x:row>
    <x:row r="401" ht="21" customHeight="1">
      <x:c r="A401" s="100" t="n">
        <x:v>397</x:v>
      </x:c>
      <x:c r="B401" s="172" t="n">
        <x:v>95311006608</x:v>
      </x:c>
      <x:c r="C401" s="68" t="str">
        <x:v>TRẦN THỊ YẾN NHI</x:v>
      </x:c>
      <x:c r="D401" s="106" t="str">
        <x:v>X</x:v>
      </x:c>
      <x:c r="E401" s="118" t="n">
        <x:v>40839</x:v>
      </x:c>
      <x:c r="F401" s="106" t="str">
        <x:v>Kinh</x:v>
      </x:c>
      <x:c r="G401" s="68" t="str">
        <x:v>Xã Vĩnh Phước</x:v>
      </x:c>
      <x:c r="H401" s="68" t="str">
        <x:v>THCS Vĩnh Phú Tây</x:v>
      </x:c>
      <x:c r="I401" s="68" t="str">
        <x:v>Xã Vĩnh Phước</x:v>
      </x:c>
      <x:c r="J401" s="124" t="n">
        <x:v>31.6</x:v>
      </x:c>
      <x:c r="K401" s="130" t="n">
        <x:v>37</x:v>
      </x:c>
      <x:c r="L401" s="124"/>
      <x:c r="M401" s="124"/>
      <x:c r="N401" s="124" t="n">
        <x:v>68.6</x:v>
      </x:c>
      <x:c r="O401" s="69" t="str"/>
    </x:row>
    <x:row r="402" ht="21" customHeight="1">
      <x:c r="A402" s="100" t="n">
        <x:v>398</x:v>
      </x:c>
      <x:c r="B402" s="172" t="n">
        <x:v>95311006651</x:v>
      </x:c>
      <x:c r="C402" s="68" t="str">
        <x:v>DƯƠNG HUỲNH BẢO NGỌC</x:v>
      </x:c>
      <x:c r="D402" s="106" t="str">
        <x:v>X</x:v>
      </x:c>
      <x:c r="E402" s="118" t="n">
        <x:v>40871</x:v>
      </x:c>
      <x:c r="F402" s="106" t="str">
        <x:v>Kinh</x:v>
      </x:c>
      <x:c r="G402" s="68" t="str">
        <x:v>Xã Vĩnh Thanh</x:v>
      </x:c>
      <x:c r="H402" s="68" t="str">
        <x:v>THCS Hưng Phú</x:v>
      </x:c>
      <x:c r="I402" s="68" t="str">
        <x:v>Xã Vĩnh Thanh</x:v>
      </x:c>
      <x:c r="J402" s="124" t="n">
        <x:v>31.6</x:v>
      </x:c>
      <x:c r="K402" s="130" t="n">
        <x:v>37</x:v>
      </x:c>
      <x:c r="L402" s="124"/>
      <x:c r="M402" s="124"/>
      <x:c r="N402" s="124" t="n">
        <x:v>68.6</x:v>
      </x:c>
      <x:c r="O402" s="69" t="str"/>
    </x:row>
    <x:row r="403" ht="21" customHeight="1">
      <x:c r="A403" s="100" t="n">
        <x:v>399</x:v>
      </x:c>
      <x:c r="B403" s="172" t="n">
        <x:v>95211006560</x:v>
      </x:c>
      <x:c r="C403" s="68" t="str">
        <x:v>LÊ GIA HẠO</x:v>
      </x:c>
      <x:c r="D403" s="106" t="str"/>
      <x:c r="E403" s="118" t="n">
        <x:v>40904</x:v>
      </x:c>
      <x:c r="F403" s="106" t="str">
        <x:v>Kinh</x:v>
      </x:c>
      <x:c r="G403" s="68" t="str">
        <x:v>Xã Vĩnh Thanh</x:v>
      </x:c>
      <x:c r="H403" s="68" t="str">
        <x:v>THCS Hưng Phú</x:v>
      </x:c>
      <x:c r="I403" s="68" t="str">
        <x:v>Xã Vĩnh Thanh</x:v>
      </x:c>
      <x:c r="J403" s="124" t="n">
        <x:v>31.6</x:v>
      </x:c>
      <x:c r="K403" s="130" t="n">
        <x:v>37</x:v>
      </x:c>
      <x:c r="L403" s="124"/>
      <x:c r="M403" s="124"/>
      <x:c r="N403" s="124" t="n">
        <x:v>68.6</x:v>
      </x:c>
      <x:c r="O403" s="69" t="str"/>
    </x:row>
    <x:row r="404" ht="21" customHeight="1">
      <x:c r="A404" s="100" t="n">
        <x:v>400</x:v>
      </x:c>
      <x:c r="B404" s="172" t="n">
        <x:v>95311005906</x:v>
      </x:c>
      <x:c r="C404" s="68" t="str">
        <x:v>HỒ LƯƠNG CẨM THY</x:v>
      </x:c>
      <x:c r="D404" s="106" t="str">
        <x:v>X</x:v>
      </x:c>
      <x:c r="E404" s="118" t="n">
        <x:v>40705</x:v>
      </x:c>
      <x:c r="F404" s="106" t="str">
        <x:v>Kinh</x:v>
      </x:c>
      <x:c r="G404" s="68" t="str">
        <x:v>Xã Phước Long</x:v>
      </x:c>
      <x:c r="H404" s="68" t="str">
        <x:v>THCS Vĩnh Thanh</x:v>
      </x:c>
      <x:c r="I404" s="68" t="str">
        <x:v>Xã Vĩnh Thanh</x:v>
      </x:c>
      <x:c r="J404" s="124" t="n">
        <x:v>31.6</x:v>
      </x:c>
      <x:c r="K404" s="130" t="n">
        <x:v>37</x:v>
      </x:c>
      <x:c r="L404" s="124"/>
      <x:c r="M404" s="124"/>
      <x:c r="N404" s="124" t="n">
        <x:v>68.6</x:v>
      </x:c>
      <x:c r="O404" s="69" t="str"/>
    </x:row>
    <x:row r="405" ht="21" customHeight="1">
      <x:c r="A405" s="100" t="n">
        <x:v>401</x:v>
      </x:c>
      <x:c r="B405" s="172" t="n">
        <x:v>95311004283</x:v>
      </x:c>
      <x:c r="C405" s="68" t="str">
        <x:v>PHAN THỊ NHÃ QUỲNH</x:v>
      </x:c>
      <x:c r="D405" s="106" t="str">
        <x:v>X</x:v>
      </x:c>
      <x:c r="E405" s="118" t="n">
        <x:v>40900</x:v>
      </x:c>
      <x:c r="F405" s="106" t="str">
        <x:v>Kinh</x:v>
      </x:c>
      <x:c r="G405" s="68" t="str">
        <x:v>Xã Phước Long</x:v>
      </x:c>
      <x:c r="H405" s="68" t="str">
        <x:v>THCS Vương Hữu Nhơn</x:v>
      </x:c>
      <x:c r="I405" s="68" t="str">
        <x:v>Xã Phước Long</x:v>
      </x:c>
      <x:c r="J405" s="124" t="n">
        <x:v>31.6</x:v>
      </x:c>
      <x:c r="K405" s="130" t="n">
        <x:v>37</x:v>
      </x:c>
      <x:c r="L405" s="124"/>
      <x:c r="M405" s="124"/>
      <x:c r="N405" s="124" t="n">
        <x:v>68.6</x:v>
      </x:c>
      <x:c r="O405" s="69" t="str"/>
    </x:row>
    <x:row r="406" ht="21" customHeight="1">
      <x:c r="A406" s="100" t="n">
        <x:v>402</x:v>
      </x:c>
      <x:c r="B406" s="172" t="n">
        <x:v>95311004660</x:v>
      </x:c>
      <x:c r="C406" s="68" t="str">
        <x:v>ĐỒNG NGUYỄN THANH TRÚC</x:v>
      </x:c>
      <x:c r="D406" s="106" t="str">
        <x:v>X</x:v>
      </x:c>
      <x:c r="E406" s="118" t="n">
        <x:v>40813</x:v>
      </x:c>
      <x:c r="F406" s="106" t="str">
        <x:v>Kinh</x:v>
      </x:c>
      <x:c r="G406" s="68" t="str">
        <x:v>Xã Vĩnh Lộc</x:v>
      </x:c>
      <x:c r="H406" s="68" t="str">
        <x:v>THCS Vĩnh Lộc</x:v>
      </x:c>
      <x:c r="I406" s="68" t="str">
        <x:v>Xã Vĩnh Lộc</x:v>
      </x:c>
      <x:c r="J406" s="124" t="n">
        <x:v>31.6</x:v>
      </x:c>
      <x:c r="K406" s="130" t="n">
        <x:v>37</x:v>
      </x:c>
      <x:c r="L406" s="124"/>
      <x:c r="M406" s="124"/>
      <x:c r="N406" s="124" t="n">
        <x:v>68.6</x:v>
      </x:c>
      <x:c r="O406" s="69" t="str"/>
    </x:row>
    <x:row r="407" ht="21" customHeight="1">
      <x:c r="A407" s="100" t="n">
        <x:v>403</x:v>
      </x:c>
      <x:c r="B407" s="172" t="n">
        <x:v>95311001218</x:v>
      </x:c>
      <x:c r="C407" s="68" t="str">
        <x:v>NGUYỄN TRẦN NGỌC ANH</x:v>
      </x:c>
      <x:c r="D407" s="106" t="str">
        <x:v>X</x:v>
      </x:c>
      <x:c r="E407" s="118" t="n">
        <x:v>40844</x:v>
      </x:c>
      <x:c r="F407" s="106" t="str">
        <x:v>Kinh</x:v>
      </x:c>
      <x:c r="G407" s="68" t="str">
        <x:v>Xã Phước Long</x:v>
      </x:c>
      <x:c r="H407" s="68" t="str">
        <x:v>THCS Phước Long</x:v>
      </x:c>
      <x:c r="I407" s="68" t="str">
        <x:v>Xã Phước Long</x:v>
      </x:c>
      <x:c r="J407" s="124" t="n">
        <x:v>32.5</x:v>
      </x:c>
      <x:c r="K407" s="130" t="n">
        <x:v>36</x:v>
      </x:c>
      <x:c r="L407" s="124"/>
      <x:c r="M407" s="124"/>
      <x:c r="N407" s="124" t="n">
        <x:v>68.5</x:v>
      </x:c>
      <x:c r="O407" s="69" t="str"/>
    </x:row>
    <x:row r="408" ht="21" customHeight="1">
      <x:c r="A408" s="100" t="n">
        <x:v>404</x:v>
      </x:c>
      <x:c r="B408" s="172" t="n">
        <x:v>95211005488</x:v>
      </x:c>
      <x:c r="C408" s="68" t="str">
        <x:v>TRỊNH VĂN QUÝ</x:v>
      </x:c>
      <x:c r="D408" s="106" t="str"/>
      <x:c r="E408" s="118" t="n">
        <x:v>40722</x:v>
      </x:c>
      <x:c r="F408" s="106" t="str">
        <x:v>Kinh</x:v>
      </x:c>
      <x:c r="G408" s="68" t="str">
        <x:v>Xã Vĩnh Thanh</x:v>
      </x:c>
      <x:c r="H408" s="68" t="str">
        <x:v>THCS Vĩnh Thanh</x:v>
      </x:c>
      <x:c r="I408" s="68" t="str">
        <x:v>Xã Vĩnh Thanh</x:v>
      </x:c>
      <x:c r="J408" s="124" t="n">
        <x:v>31.5</x:v>
      </x:c>
      <x:c r="K408" s="130" t="n">
        <x:v>37</x:v>
      </x:c>
      <x:c r="L408" s="124"/>
      <x:c r="M408" s="124"/>
      <x:c r="N408" s="124" t="n">
        <x:v>68.5</x:v>
      </x:c>
      <x:c r="O408" s="69" t="str"/>
    </x:row>
    <x:row r="409" ht="21" customHeight="1">
      <x:c r="A409" s="100" t="n">
        <x:v>405</x:v>
      </x:c>
      <x:c r="B409" s="172" t="n">
        <x:v>95211002282</x:v>
      </x:c>
      <x:c r="C409" s="68" t="str">
        <x:v>NGUYỄN ĐÌNH NGOAN</x:v>
      </x:c>
      <x:c r="D409" s="106" t="str"/>
      <x:c r="E409" s="118" t="n">
        <x:v>40669</x:v>
      </x:c>
      <x:c r="F409" s="106" t="str">
        <x:v>Kinh</x:v>
      </x:c>
      <x:c r="G409" s="68" t="str">
        <x:v>Xã Phước Long</x:v>
      </x:c>
      <x:c r="H409" s="68" t="str">
        <x:v>THCS Vương Hữu Nhơn</x:v>
      </x:c>
      <x:c r="I409" s="68" t="str">
        <x:v>Xã Phước Long</x:v>
      </x:c>
      <x:c r="J409" s="124" t="n">
        <x:v>31.5</x:v>
      </x:c>
      <x:c r="K409" s="130" t="n">
        <x:v>37</x:v>
      </x:c>
      <x:c r="L409" s="124"/>
      <x:c r="M409" s="124"/>
      <x:c r="N409" s="124" t="n">
        <x:v>68.5</x:v>
      </x:c>
      <x:c r="O409" s="69" t="str"/>
    </x:row>
    <x:row r="410" ht="21" customHeight="1">
      <x:c r="A410" s="100" t="n">
        <x:v>406</x:v>
      </x:c>
      <x:c r="B410" s="172" t="n">
        <x:v>95211006775</x:v>
      </x:c>
      <x:c r="C410" s="68" t="str">
        <x:v>TĂNG TRUNG TÍNH</x:v>
      </x:c>
      <x:c r="D410" s="106" t="str"/>
      <x:c r="E410" s="118" t="n">
        <x:v>40834</x:v>
      </x:c>
      <x:c r="F410" s="106" t="str">
        <x:v>Kinh</x:v>
      </x:c>
      <x:c r="G410" s="68" t="str">
        <x:v>Xã Phước Long</x:v>
      </x:c>
      <x:c r="H410" s="68" t="str">
        <x:v>THCS Phước Long</x:v>
      </x:c>
      <x:c r="I410" s="68" t="str">
        <x:v>Xã Phước Long</x:v>
      </x:c>
      <x:c r="J410" s="124" t="n">
        <x:v>31.4</x:v>
      </x:c>
      <x:c r="K410" s="130" t="n">
        <x:v>37</x:v>
      </x:c>
      <x:c r="L410" s="124"/>
      <x:c r="M410" s="124"/>
      <x:c r="N410" s="124" t="n">
        <x:v>68.4</x:v>
      </x:c>
      <x:c r="O410" s="69" t="str"/>
    </x:row>
    <x:row r="411" ht="21" customHeight="1">
      <x:c r="A411" s="100" t="n">
        <x:v>407</x:v>
      </x:c>
      <x:c r="B411" s="172" t="n">
        <x:v>95311006787</x:v>
      </x:c>
      <x:c r="C411" s="68" t="str">
        <x:v>TRẦN THIÊN ĐAY EN</x:v>
      </x:c>
      <x:c r="D411" s="106" t="str">
        <x:v>X</x:v>
      </x:c>
      <x:c r="E411" s="118" t="n">
        <x:v>40709</x:v>
      </x:c>
      <x:c r="F411" s="106" t="str">
        <x:v>Kinh</x:v>
      </x:c>
      <x:c r="G411" s="68" t="str">
        <x:v>Xã Phước Long</x:v>
      </x:c>
      <x:c r="H411" s="68" t="str">
        <x:v>THCS Phước Long</x:v>
      </x:c>
      <x:c r="I411" s="68" t="str">
        <x:v>Xã Phước Long</x:v>
      </x:c>
      <x:c r="J411" s="124" t="n">
        <x:v>31.4</x:v>
      </x:c>
      <x:c r="K411" s="130" t="n">
        <x:v>37</x:v>
      </x:c>
      <x:c r="L411" s="124"/>
      <x:c r="M411" s="124"/>
      <x:c r="N411" s="124" t="n">
        <x:v>68.4</x:v>
      </x:c>
      <x:c r="O411" s="69" t="str"/>
    </x:row>
    <x:row r="412" ht="21" customHeight="1">
      <x:c r="A412" s="100" t="n">
        <x:v>408</x:v>
      </x:c>
      <x:c r="B412" s="172" t="n">
        <x:v>95211000748</x:v>
      </x:c>
      <x:c r="C412" s="68" t="str">
        <x:v>HUỲNH CHÍ HÀO</x:v>
      </x:c>
      <x:c r="D412" s="106" t="str"/>
      <x:c r="E412" s="118" t="n">
        <x:v>40821</x:v>
      </x:c>
      <x:c r="F412" s="106" t="str">
        <x:v>Kinh</x:v>
      </x:c>
      <x:c r="G412" s="68" t="str">
        <x:v>Xã Vĩnh Phước</x:v>
      </x:c>
      <x:c r="H412" s="68" t="str">
        <x:v>THCS Vĩnh Phú Tây</x:v>
      </x:c>
      <x:c r="I412" s="68" t="str">
        <x:v>Xã Vĩnh Phước</x:v>
      </x:c>
      <x:c r="J412" s="124" t="n">
        <x:v>32.4</x:v>
      </x:c>
      <x:c r="K412" s="130" t="n">
        <x:v>36</x:v>
      </x:c>
      <x:c r="L412" s="124"/>
      <x:c r="M412" s="124"/>
      <x:c r="N412" s="124" t="n">
        <x:v>68.4</x:v>
      </x:c>
      <x:c r="O412" s="69" t="str"/>
    </x:row>
    <x:row r="413" ht="21" customHeight="1">
      <x:c r="A413" s="100" t="n">
        <x:v>409</x:v>
      </x:c>
      <x:c r="B413" s="172" t="n">
        <x:v>95311009058</x:v>
      </x:c>
      <x:c r="C413" s="68" t="str">
        <x:v>VÕ THỊ NGỌC TRÂM</x:v>
      </x:c>
      <x:c r="D413" s="106" t="str">
        <x:v>X</x:v>
      </x:c>
      <x:c r="E413" s="118" t="n">
        <x:v>40849</x:v>
      </x:c>
      <x:c r="F413" s="106" t="str">
        <x:v>Kinh</x:v>
      </x:c>
      <x:c r="G413" s="68" t="str">
        <x:v>Xã Vĩnh Phước</x:v>
      </x:c>
      <x:c r="H413" s="68" t="str">
        <x:v>THCS Hưng Phú</x:v>
      </x:c>
      <x:c r="I413" s="68" t="str">
        <x:v>Xã Vĩnh Thanh</x:v>
      </x:c>
      <x:c r="J413" s="124" t="n">
        <x:v>31.4</x:v>
      </x:c>
      <x:c r="K413" s="130" t="n">
        <x:v>37</x:v>
      </x:c>
      <x:c r="L413" s="124"/>
      <x:c r="M413" s="124"/>
      <x:c r="N413" s="124" t="n">
        <x:v>68.4</x:v>
      </x:c>
      <x:c r="O413" s="69" t="str"/>
    </x:row>
    <x:row r="414" ht="21" customHeight="1">
      <x:c r="A414" s="100" t="n">
        <x:v>410</x:v>
      </x:c>
      <x:c r="B414" s="172" t="n">
        <x:v>95311004923</x:v>
      </x:c>
      <x:c r="C414" s="68" t="str">
        <x:v>NGUYỄN HUỲNH ANH</x:v>
      </x:c>
      <x:c r="D414" s="106" t="str">
        <x:v>X</x:v>
      </x:c>
      <x:c r="E414" s="118" t="n">
        <x:v>40683</x:v>
      </x:c>
      <x:c r="F414" s="106" t="str">
        <x:v>Kinh</x:v>
      </x:c>
      <x:c r="G414" s="68" t="str">
        <x:v>Xã Vĩnh Thanh</x:v>
      </x:c>
      <x:c r="H414" s="68" t="str">
        <x:v>THCS Hưng Phú</x:v>
      </x:c>
      <x:c r="I414" s="68" t="str">
        <x:v>Xã Vĩnh Thanh</x:v>
      </x:c>
      <x:c r="J414" s="124" t="n">
        <x:v>31.4</x:v>
      </x:c>
      <x:c r="K414" s="130" t="n">
        <x:v>37</x:v>
      </x:c>
      <x:c r="L414" s="124"/>
      <x:c r="M414" s="124"/>
      <x:c r="N414" s="124" t="n">
        <x:v>68.4</x:v>
      </x:c>
      <x:c r="O414" s="69" t="str"/>
    </x:row>
    <x:row r="415" ht="21" customHeight="1">
      <x:c r="A415" s="100" t="n">
        <x:v>411</x:v>
      </x:c>
      <x:c r="B415" s="172" t="n">
        <x:v>95211006440</x:v>
      </x:c>
      <x:c r="C415" s="68" t="str">
        <x:v>ĐOÀN PHONG PHÚ</x:v>
      </x:c>
      <x:c r="D415" s="106" t="str"/>
      <x:c r="E415" s="118" t="n">
        <x:v>40594</x:v>
      </x:c>
      <x:c r="F415" s="106" t="str">
        <x:v>Kinh</x:v>
      </x:c>
      <x:c r="G415" s="68" t="str">
        <x:v>Xã Phước Long</x:v>
      </x:c>
      <x:c r="H415" s="68" t="str">
        <x:v>THCS Phước Long</x:v>
      </x:c>
      <x:c r="I415" s="68" t="str">
        <x:v>Xã Phước Long</x:v>
      </x:c>
      <x:c r="J415" s="124" t="n">
        <x:v>32.3</x:v>
      </x:c>
      <x:c r="K415" s="130" t="n">
        <x:v>36</x:v>
      </x:c>
      <x:c r="L415" s="124"/>
      <x:c r="M415" s="124"/>
      <x:c r="N415" s="124" t="n">
        <x:v>68.3</x:v>
      </x:c>
      <x:c r="O415" s="69" t="str"/>
    </x:row>
    <x:row r="416" ht="21" customHeight="1">
      <x:c r="A416" s="100" t="n">
        <x:v>412</x:v>
      </x:c>
      <x:c r="B416" s="172" t="n">
        <x:v>95311001564</x:v>
      </x:c>
      <x:c r="C416" s="68" t="str">
        <x:v>DƯƠNG THÚY VY</x:v>
      </x:c>
      <x:c r="D416" s="106" t="str">
        <x:v>X</x:v>
      </x:c>
      <x:c r="E416" s="118" t="n">
        <x:v>40622</x:v>
      </x:c>
      <x:c r="F416" s="106" t="str">
        <x:v>Kinh</x:v>
      </x:c>
      <x:c r="G416" s="68" t="str">
        <x:v>Xã Vĩnh Thanh</x:v>
      </x:c>
      <x:c r="H416" s="68" t="str">
        <x:v>THCS Vĩnh Thanh</x:v>
      </x:c>
      <x:c r="I416" s="68" t="str">
        <x:v>Xã Vĩnh Thanh</x:v>
      </x:c>
      <x:c r="J416" s="124" t="n">
        <x:v>31.3</x:v>
      </x:c>
      <x:c r="K416" s="130" t="n">
        <x:v>37</x:v>
      </x:c>
      <x:c r="L416" s="124"/>
      <x:c r="M416" s="124"/>
      <x:c r="N416" s="124" t="n">
        <x:v>68.3</x:v>
      </x:c>
      <x:c r="O416" s="69" t="str"/>
    </x:row>
    <x:row r="417" ht="21" customHeight="1">
      <x:c r="A417" s="100" t="n">
        <x:v>413</x:v>
      </x:c>
      <x:c r="B417" s="172" t="n">
        <x:v>95311007411</x:v>
      </x:c>
      <x:c r="C417" s="68" t="str">
        <x:v>LÊ DIỄM TRINH</x:v>
      </x:c>
      <x:c r="D417" s="106" t="str">
        <x:v>X</x:v>
      </x:c>
      <x:c r="E417" s="118" t="n">
        <x:v>40861</x:v>
      </x:c>
      <x:c r="F417" s="106" t="str">
        <x:v>Kinh</x:v>
      </x:c>
      <x:c r="G417" s="68" t="str">
        <x:v>Xã Ninh Thạnh Lợi</x:v>
      </x:c>
      <x:c r="H417" s="68" t="str">
        <x:v>THCS Phước Long</x:v>
      </x:c>
      <x:c r="I417" s="68" t="str">
        <x:v>Xã Vĩnh Phước</x:v>
      </x:c>
      <x:c r="J417" s="124" t="n">
        <x:v>31.3</x:v>
      </x:c>
      <x:c r="K417" s="130" t="n">
        <x:v>36</x:v>
      </x:c>
      <x:c r="L417" s="124" t="n">
        <x:v>1</x:v>
      </x:c>
      <x:c r="M417" s="124"/>
      <x:c r="N417" s="124" t="n">
        <x:v>68.3</x:v>
      </x:c>
      <x:c r="O417" s="69" t="str"/>
    </x:row>
    <x:row r="418" ht="21" customHeight="1">
      <x:c r="A418" s="100" t="n">
        <x:v>414</x:v>
      </x:c>
      <x:c r="B418" s="172" t="n">
        <x:v>95311010075</x:v>
      </x:c>
      <x:c r="C418" s="68" t="str">
        <x:v>HUỲNH THỊ DIỄM HẰNG</x:v>
      </x:c>
      <x:c r="D418" s="106" t="str">
        <x:v>X</x:v>
      </x:c>
      <x:c r="E418" s="118" t="n">
        <x:v>40701</x:v>
      </x:c>
      <x:c r="F418" s="106" t="str">
        <x:v>Kinh</x:v>
      </x:c>
      <x:c r="G418" s="68" t="str">
        <x:v>Xã Phước Long</x:v>
      </x:c>
      <x:c r="H418" s="68" t="str">
        <x:v>THCS Vương Hữu Nhơn</x:v>
      </x:c>
      <x:c r="I418" s="68" t="str">
        <x:v>Xã Phước Long</x:v>
      </x:c>
      <x:c r="J418" s="124" t="n">
        <x:v>32.3</x:v>
      </x:c>
      <x:c r="K418" s="130" t="n">
        <x:v>36</x:v>
      </x:c>
      <x:c r="L418" s="124"/>
      <x:c r="M418" s="124"/>
      <x:c r="N418" s="124" t="n">
        <x:v>68.3</x:v>
      </x:c>
      <x:c r="O418" s="69" t="str"/>
    </x:row>
    <x:row r="419" ht="21" customHeight="1">
      <x:c r="A419" s="100" t="n">
        <x:v>415</x:v>
      </x:c>
      <x:c r="B419" s="172" t="n">
        <x:v>95311001414</x:v>
      </x:c>
      <x:c r="C419" s="68" t="str">
        <x:v>LÊ THỊ THẢO VI</x:v>
      </x:c>
      <x:c r="D419" s="106" t="str">
        <x:v>X</x:v>
      </x:c>
      <x:c r="E419" s="118" t="n">
        <x:v>40688</x:v>
      </x:c>
      <x:c r="F419" s="106" t="str">
        <x:v>Kinh</x:v>
      </x:c>
      <x:c r="G419" s="68" t="str">
        <x:v>Xã Định Thành</x:v>
      </x:c>
      <x:c r="H419" s="68" t="str">
        <x:v>THCS Lương Thế Vinh</x:v>
      </x:c>
      <x:c r="I419" s="68" t="str">
        <x:v>Xã Định Thành</x:v>
      </x:c>
      <x:c r="J419" s="124" t="n">
        <x:v>31.3</x:v>
      </x:c>
      <x:c r="K419" s="130" t="n">
        <x:v>37</x:v>
      </x:c>
      <x:c r="L419" s="124"/>
      <x:c r="M419" s="124"/>
      <x:c r="N419" s="124" t="n">
        <x:v>68.3</x:v>
      </x:c>
      <x:c r="O419" s="69" t="str"/>
    </x:row>
    <x:row r="420" ht="21" customHeight="1">
      <x:c r="A420" s="100" t="n">
        <x:v>416</x:v>
      </x:c>
      <x:c r="B420" s="172" t="n">
        <x:v>95311001991</x:v>
      </x:c>
      <x:c r="C420" s="68" t="str">
        <x:v>TRANG HỒNG ANH THƯ</x:v>
      </x:c>
      <x:c r="D420" s="106" t="str">
        <x:v>X</x:v>
      </x:c>
      <x:c r="E420" s="118" t="n">
        <x:v>40773</x:v>
      </x:c>
      <x:c r="F420" s="106" t="str">
        <x:v>Kinh</x:v>
      </x:c>
      <x:c r="G420" s="68" t="str">
        <x:v>Xã Phước Long</x:v>
      </x:c>
      <x:c r="H420" s="68" t="str">
        <x:v>THCS Phạm Đình Hổ</x:v>
      </x:c>
      <x:c r="I420" s="68" t="str">
        <x:v>Phường Bình Tiên</x:v>
      </x:c>
      <x:c r="J420" s="124" t="n">
        <x:v>32.3</x:v>
      </x:c>
      <x:c r="K420" s="130" t="n">
        <x:v>36</x:v>
      </x:c>
      <x:c r="L420" s="124"/>
      <x:c r="M420" s="124"/>
      <x:c r="N420" s="124" t="n">
        <x:v>68.3</x:v>
      </x:c>
      <x:c r="O420" s="69" t="str"/>
    </x:row>
    <x:row r="421" ht="21" customHeight="1">
      <x:c r="A421" s="100" t="n">
        <x:v>417</x:v>
      </x:c>
      <x:c r="B421" s="172" t="n">
        <x:v>95211009894</x:v>
      </x:c>
      <x:c r="C421" s="68" t="str">
        <x:v>NGUYỄN HOÀNG KHANG</x:v>
      </x:c>
      <x:c r="D421" s="106" t="str"/>
      <x:c r="E421" s="118" t="n">
        <x:v>40659</x:v>
      </x:c>
      <x:c r="F421" s="106" t="str">
        <x:v>Kinh</x:v>
      </x:c>
      <x:c r="G421" s="68" t="str">
        <x:v>Xã Phước Long</x:v>
      </x:c>
      <x:c r="H421" s="68" t="str">
        <x:v>THCS Phước Long</x:v>
      </x:c>
      <x:c r="I421" s="68" t="str">
        <x:v>Xã Phước Long</x:v>
      </x:c>
      <x:c r="J421" s="124" t="n">
        <x:v>31.2</x:v>
      </x:c>
      <x:c r="K421" s="130" t="n">
        <x:v>37</x:v>
      </x:c>
      <x:c r="L421" s="124"/>
      <x:c r="M421" s="124"/>
      <x:c r="N421" s="124" t="n">
        <x:v>68.2</x:v>
      </x:c>
      <x:c r="O421" s="69" t="str"/>
    </x:row>
    <x:row r="422" ht="21" customHeight="1">
      <x:c r="A422" s="100" t="n">
        <x:v>418</x:v>
      </x:c>
      <x:c r="B422" s="172" t="n">
        <x:v>95311003211</x:v>
      </x:c>
      <x:c r="C422" s="68" t="str">
        <x:v>LÊ THU THẢO</x:v>
      </x:c>
      <x:c r="D422" s="106" t="str">
        <x:v>X</x:v>
      </x:c>
      <x:c r="E422" s="118" t="n">
        <x:v>40682</x:v>
      </x:c>
      <x:c r="F422" s="106" t="str">
        <x:v>Kinh</x:v>
      </x:c>
      <x:c r="G422" s="68" t="str">
        <x:v>Xã Phước Long</x:v>
      </x:c>
      <x:c r="H422" s="68" t="str">
        <x:v>THCS Phước Long</x:v>
      </x:c>
      <x:c r="I422" s="68" t="str">
        <x:v>Xã Phước Long</x:v>
      </x:c>
      <x:c r="J422" s="124" t="n">
        <x:v>31.2</x:v>
      </x:c>
      <x:c r="K422" s="130" t="n">
        <x:v>37</x:v>
      </x:c>
      <x:c r="L422" s="124"/>
      <x:c r="M422" s="124"/>
      <x:c r="N422" s="124" t="n">
        <x:v>68.2</x:v>
      </x:c>
      <x:c r="O422" s="69" t="str"/>
    </x:row>
    <x:row r="423" ht="21" customHeight="1">
      <x:c r="A423" s="100" t="n">
        <x:v>419</x:v>
      </x:c>
      <x:c r="B423" s="172" t="n">
        <x:v>95311002034</x:v>
      </x:c>
      <x:c r="C423" s="68" t="str">
        <x:v>LÊ THẢO VY</x:v>
      </x:c>
      <x:c r="D423" s="106" t="str">
        <x:v>X</x:v>
      </x:c>
      <x:c r="E423" s="118" t="n">
        <x:v>40764</x:v>
      </x:c>
      <x:c r="F423" s="106" t="str">
        <x:v>Kinh</x:v>
      </x:c>
      <x:c r="G423" s="68" t="str">
        <x:v>Xã Vĩnh Thanh</x:v>
      </x:c>
      <x:c r="H423" s="68" t="str">
        <x:v>THCS Hưng Phú</x:v>
      </x:c>
      <x:c r="I423" s="68" t="str">
        <x:v>Xã Vĩnh Thanh</x:v>
      </x:c>
      <x:c r="J423" s="124" t="n">
        <x:v>31.2</x:v>
      </x:c>
      <x:c r="K423" s="130" t="n">
        <x:v>37</x:v>
      </x:c>
      <x:c r="L423" s="124"/>
      <x:c r="M423" s="124"/>
      <x:c r="N423" s="124" t="n">
        <x:v>68.2</x:v>
      </x:c>
      <x:c r="O423" s="69" t="str"/>
    </x:row>
    <x:row r="424" ht="21" customHeight="1">
      <x:c r="A424" s="100" t="n">
        <x:v>420</x:v>
      </x:c>
      <x:c r="B424" s="172" t="n">
        <x:v>95311006256</x:v>
      </x:c>
      <x:c r="C424" s="68" t="str">
        <x:v>DƯƠNG ĐÌNH ĐÌNH</x:v>
      </x:c>
      <x:c r="D424" s="106" t="str">
        <x:v>X</x:v>
      </x:c>
      <x:c r="E424" s="118" t="n">
        <x:v>40566</x:v>
      </x:c>
      <x:c r="F424" s="106" t="str">
        <x:v>Kinh</x:v>
      </x:c>
      <x:c r="G424" s="68" t="str">
        <x:v>Xã Vĩnh Phước</x:v>
      </x:c>
      <x:c r="H424" s="68" t="str">
        <x:v>THCS Phước Long</x:v>
      </x:c>
      <x:c r="I424" s="68" t="str">
        <x:v>Xã Vĩnh Phước</x:v>
      </x:c>
      <x:c r="J424" s="124" t="n">
        <x:v>32.2</x:v>
      </x:c>
      <x:c r="K424" s="130" t="n">
        <x:v>35</x:v>
      </x:c>
      <x:c r="L424" s="124" t="n">
        <x:v>1</x:v>
      </x:c>
      <x:c r="M424" s="124"/>
      <x:c r="N424" s="124" t="n">
        <x:v>68.2</x:v>
      </x:c>
      <x:c r="O424" s="69" t="str"/>
    </x:row>
    <x:row r="425" ht="21" customHeight="1">
      <x:c r="A425" s="100" t="n">
        <x:v>421</x:v>
      </x:c>
      <x:c r="B425" s="172" t="n">
        <x:v>95211001159</x:v>
      </x:c>
      <x:c r="C425" s="68" t="str">
        <x:v>LÊ HOÀNG PHÚC</x:v>
      </x:c>
      <x:c r="D425" s="106" t="str"/>
      <x:c r="E425" s="118" t="n">
        <x:v>40602</x:v>
      </x:c>
      <x:c r="F425" s="106" t="str">
        <x:v>Kinh</x:v>
      </x:c>
      <x:c r="G425" s="68" t="str">
        <x:v>Xã Vĩnh Phước</x:v>
      </x:c>
      <x:c r="H425" s="68" t="str">
        <x:v>THCS Vĩnh Phú Tây</x:v>
      </x:c>
      <x:c r="I425" s="68" t="str">
        <x:v>Xã Vĩnh Phước</x:v>
      </x:c>
      <x:c r="J425" s="124" t="n">
        <x:v>31.6</x:v>
      </x:c>
      <x:c r="K425" s="130" t="n">
        <x:v>34</x:v>
      </x:c>
      <x:c r="L425" s="124" t="n">
        <x:v>1</x:v>
      </x:c>
      <x:c r="M425" s="124" t="n">
        <x:v>1.5</x:v>
      </x:c>
      <x:c r="N425" s="124" t="n">
        <x:v>68.1</x:v>
      </x:c>
      <x:c r="O425" s="69" t="str"/>
    </x:row>
    <x:row r="426" ht="21" customHeight="1">
      <x:c r="A426" s="100" t="n">
        <x:v>422</x:v>
      </x:c>
      <x:c r="B426" s="172" t="n">
        <x:v>95311008050</x:v>
      </x:c>
      <x:c r="C426" s="68" t="str">
        <x:v>LÊ THỊ THÚY NHI</x:v>
      </x:c>
      <x:c r="D426" s="106" t="str">
        <x:v>X</x:v>
      </x:c>
      <x:c r="E426" s="118" t="n">
        <x:v>40766</x:v>
      </x:c>
      <x:c r="F426" s="106" t="str">
        <x:v>Khmer</x:v>
      </x:c>
      <x:c r="G426" s="68" t="str">
        <x:v>Xã Vĩnh Phước</x:v>
      </x:c>
      <x:c r="H426" s="68" t="str">
        <x:v>THCS Vĩnh Phú Tây</x:v>
      </x:c>
      <x:c r="I426" s="68" t="str">
        <x:v>Xã Vĩnh Phước</x:v>
      </x:c>
      <x:c r="J426" s="124" t="n">
        <x:v>31.1</x:v>
      </x:c>
      <x:c r="K426" s="130" t="n">
        <x:v>36</x:v>
      </x:c>
      <x:c r="L426" s="124" t="n">
        <x:v>1</x:v>
      </x:c>
      <x:c r="M426" s="124"/>
      <x:c r="N426" s="124" t="n">
        <x:v>68.1</x:v>
      </x:c>
      <x:c r="O426" s="69" t="str"/>
    </x:row>
    <x:row r="427" ht="21" customHeight="1">
      <x:c r="A427" s="100" t="n">
        <x:v>423</x:v>
      </x:c>
      <x:c r="B427" s="172" t="n">
        <x:v>95311001080</x:v>
      </x:c>
      <x:c r="C427" s="68" t="str">
        <x:v>TRẦN NGỌC MUỘI</x:v>
      </x:c>
      <x:c r="D427" s="106" t="str">
        <x:v>X</x:v>
      </x:c>
      <x:c r="E427" s="118" t="n">
        <x:v>40774</x:v>
      </x:c>
      <x:c r="F427" s="106" t="str">
        <x:v>Kinh</x:v>
      </x:c>
      <x:c r="G427" s="68" t="str">
        <x:v>Xã Vĩnh Thanh</x:v>
      </x:c>
      <x:c r="H427" s="68" t="str">
        <x:v>THCS Hưng Phú</x:v>
      </x:c>
      <x:c r="I427" s="68" t="str">
        <x:v>Xã Vĩnh Thanh</x:v>
      </x:c>
      <x:c r="J427" s="124" t="n">
        <x:v>32.1</x:v>
      </x:c>
      <x:c r="K427" s="130" t="n">
        <x:v>36</x:v>
      </x:c>
      <x:c r="L427" s="124"/>
      <x:c r="M427" s="124"/>
      <x:c r="N427" s="124" t="n">
        <x:v>68.1</x:v>
      </x:c>
      <x:c r="O427" s="69" t="str"/>
    </x:row>
    <x:row r="428" ht="21" customHeight="1">
      <x:c r="A428" s="100" t="n">
        <x:v>424</x:v>
      </x:c>
      <x:c r="B428" s="172" t="n">
        <x:v>95311005458</x:v>
      </x:c>
      <x:c r="C428" s="68" t="str">
        <x:v>TRẦN NGỌC HÂN</x:v>
      </x:c>
      <x:c r="D428" s="106" t="str">
        <x:v>X</x:v>
      </x:c>
      <x:c r="E428" s="118" t="n">
        <x:v>40817</x:v>
      </x:c>
      <x:c r="F428" s="106" t="str">
        <x:v>Kinh</x:v>
      </x:c>
      <x:c r="G428" s="68" t="str">
        <x:v>Xã Vĩnh Thanh</x:v>
      </x:c>
      <x:c r="H428" s="68" t="str">
        <x:v>THCS Hưng Phú</x:v>
      </x:c>
      <x:c r="I428" s="68" t="str">
        <x:v>Xã Vĩnh Thanh</x:v>
      </x:c>
      <x:c r="J428" s="124" t="n">
        <x:v>31.1</x:v>
      </x:c>
      <x:c r="K428" s="130" t="n">
        <x:v>37</x:v>
      </x:c>
      <x:c r="L428" s="124"/>
      <x:c r="M428" s="124"/>
      <x:c r="N428" s="124" t="n">
        <x:v>68.1</x:v>
      </x:c>
      <x:c r="O428" s="69" t="str"/>
    </x:row>
    <x:row r="429" ht="21" customHeight="1">
      <x:c r="A429" s="100" t="n">
        <x:v>425</x:v>
      </x:c>
      <x:c r="B429" s="172" t="n">
        <x:v>96311003366</x:v>
      </x:c>
      <x:c r="C429" s="68" t="str">
        <x:v>LÂM MINH HẰNG</x:v>
      </x:c>
      <x:c r="D429" s="106" t="str">
        <x:v>X</x:v>
      </x:c>
      <x:c r="E429" s="118" t="n">
        <x:v>40548</x:v>
      </x:c>
      <x:c r="F429" s="106" t="str">
        <x:v>Kinh</x:v>
      </x:c>
      <x:c r="G429" s="68" t="str">
        <x:v>Xã Vĩnh Thanh</x:v>
      </x:c>
      <x:c r="H429" s="68" t="str">
        <x:v>THCS Hưng Phú</x:v>
      </x:c>
      <x:c r="I429" s="68" t="str">
        <x:v>Xã Vĩnh Thanh</x:v>
      </x:c>
      <x:c r="J429" s="124" t="n">
        <x:v>32.1</x:v>
      </x:c>
      <x:c r="K429" s="130" t="n">
        <x:v>36</x:v>
      </x:c>
      <x:c r="L429" s="124"/>
      <x:c r="M429" s="124"/>
      <x:c r="N429" s="124" t="n">
        <x:v>68.1</x:v>
      </x:c>
      <x:c r="O429" s="69" t="str"/>
    </x:row>
    <x:row r="430" ht="21" customHeight="1">
      <x:c r="A430" s="100" t="n">
        <x:v>426</x:v>
      </x:c>
      <x:c r="B430" s="172" t="n">
        <x:v>95211004717</x:v>
      </x:c>
      <x:c r="C430" s="68" t="str">
        <x:v>LÊ CHÍ TÂM</x:v>
      </x:c>
      <x:c r="D430" s="106" t="str"/>
      <x:c r="E430" s="118" t="n">
        <x:v>40565</x:v>
      </x:c>
      <x:c r="F430" s="106" t="str">
        <x:v>Kinh</x:v>
      </x:c>
      <x:c r="G430" s="68" t="str">
        <x:v>Xã Vĩnh Phước</x:v>
      </x:c>
      <x:c r="H430" s="68" t="str">
        <x:v>THCS Vĩnh Phú Tây</x:v>
      </x:c>
      <x:c r="I430" s="68" t="str">
        <x:v>Xã Vĩnh Phước</x:v>
      </x:c>
      <x:c r="J430" s="124" t="n">
        <x:v>32</x:v>
      </x:c>
      <x:c r="K430" s="130" t="n">
        <x:v>35</x:v>
      </x:c>
      <x:c r="L430" s="124" t="n">
        <x:v>1</x:v>
      </x:c>
      <x:c r="M430" s="124"/>
      <x:c r="N430" s="124" t="n">
        <x:v>68</x:v>
      </x:c>
      <x:c r="O430" s="69" t="str"/>
    </x:row>
    <x:row r="431" ht="21" customHeight="1">
      <x:c r="A431" s="100" t="n">
        <x:v>427</x:v>
      </x:c>
      <x:c r="B431" s="172" t="n">
        <x:v>95211007412</x:v>
      </x:c>
      <x:c r="C431" s="68" t="str">
        <x:v>LÊ ĐĂNG KHÔI</x:v>
      </x:c>
      <x:c r="D431" s="106" t="str"/>
      <x:c r="E431" s="118" t="n">
        <x:v>40876</x:v>
      </x:c>
      <x:c r="F431" s="106" t="str">
        <x:v>Kinh</x:v>
      </x:c>
      <x:c r="G431" s="68" t="str">
        <x:v>Xã Vĩnh Phước</x:v>
      </x:c>
      <x:c r="H431" s="68" t="str">
        <x:v>THCS Vĩnh Phú Tây</x:v>
      </x:c>
      <x:c r="I431" s="68" t="str">
        <x:v>Xã Vĩnh Phước</x:v>
      </x:c>
      <x:c r="J431" s="124" t="n">
        <x:v>32</x:v>
      </x:c>
      <x:c r="K431" s="130" t="n">
        <x:v>36</x:v>
      </x:c>
      <x:c r="L431" s="124"/>
      <x:c r="M431" s="124"/>
      <x:c r="N431" s="124" t="n">
        <x:v>68</x:v>
      </x:c>
      <x:c r="O431" s="69" t="str"/>
    </x:row>
    <x:row r="432" ht="21" customHeight="1">
      <x:c r="A432" s="100" t="n">
        <x:v>428</x:v>
      </x:c>
      <x:c r="B432" s="172" t="n">
        <x:v>95311009866</x:v>
      </x:c>
      <x:c r="C432" s="68" t="str">
        <x:v>BÙI YẾN MỤI</x:v>
      </x:c>
      <x:c r="D432" s="106" t="str">
        <x:v>X</x:v>
      </x:c>
      <x:c r="E432" s="118" t="n">
        <x:v>40878</x:v>
      </x:c>
      <x:c r="F432" s="106" t="str">
        <x:v>Kinh</x:v>
      </x:c>
      <x:c r="G432" s="68" t="str">
        <x:v>Xã Vĩnh Thanh</x:v>
      </x:c>
      <x:c r="H432" s="68" t="str">
        <x:v>THCS Hưng Phú</x:v>
      </x:c>
      <x:c r="I432" s="68" t="str">
        <x:v>Xã Vĩnh Thanh</x:v>
      </x:c>
      <x:c r="J432" s="124" t="n">
        <x:v>31</x:v>
      </x:c>
      <x:c r="K432" s="130" t="n">
        <x:v>37</x:v>
      </x:c>
      <x:c r="L432" s="124"/>
      <x:c r="M432" s="124"/>
      <x:c r="N432" s="124" t="n">
        <x:v>68</x:v>
      </x:c>
      <x:c r="O432" s="69" t="str"/>
    </x:row>
    <x:row r="433" ht="21" customHeight="1">
      <x:c r="A433" s="100" t="n">
        <x:v>429</x:v>
      </x:c>
      <x:c r="B433" s="172" t="n">
        <x:v>95311005068</x:v>
      </x:c>
      <x:c r="C433" s="68" t="str">
        <x:v>DƯƠNG THANH THOẢNG</x:v>
      </x:c>
      <x:c r="D433" s="106" t="str">
        <x:v>X</x:v>
      </x:c>
      <x:c r="E433" s="118" t="n">
        <x:v>40671</x:v>
      </x:c>
      <x:c r="F433" s="106" t="str">
        <x:v>Kinh</x:v>
      </x:c>
      <x:c r="G433" s="68" t="str">
        <x:v>Xã Phước Long</x:v>
      </x:c>
      <x:c r="H433" s="68" t="str">
        <x:v>THCS Vương Hữu Nhơn</x:v>
      </x:c>
      <x:c r="I433" s="68" t="str">
        <x:v>Xã Phước Long</x:v>
      </x:c>
      <x:c r="J433" s="124" t="n">
        <x:v>31</x:v>
      </x:c>
      <x:c r="K433" s="130" t="n">
        <x:v>37</x:v>
      </x:c>
      <x:c r="L433" s="124"/>
      <x:c r="M433" s="124"/>
      <x:c r="N433" s="124" t="n">
        <x:v>68</x:v>
      </x:c>
      <x:c r="O433" s="69" t="str"/>
    </x:row>
    <x:row r="434" ht="21" customHeight="1">
      <x:c r="A434" s="100" t="n">
        <x:v>430</x:v>
      </x:c>
      <x:c r="B434" s="172" t="n">
        <x:v>95211002150</x:v>
      </x:c>
      <x:c r="C434" s="68" t="str">
        <x:v>NGUYỄN HỮU THỊNH</x:v>
      </x:c>
      <x:c r="D434" s="106" t="str"/>
      <x:c r="E434" s="118" t="n">
        <x:v>40813</x:v>
      </x:c>
      <x:c r="F434" s="106" t="str">
        <x:v>Kinh</x:v>
      </x:c>
      <x:c r="G434" s="68" t="str">
        <x:v>Xã Phước Long</x:v>
      </x:c>
      <x:c r="H434" s="68" t="str">
        <x:v>THCS Vương Hữu Nhơn</x:v>
      </x:c>
      <x:c r="I434" s="68" t="str">
        <x:v>Xã Phước Long</x:v>
      </x:c>
      <x:c r="J434" s="124" t="n">
        <x:v>31</x:v>
      </x:c>
      <x:c r="K434" s="130" t="n">
        <x:v>37</x:v>
      </x:c>
      <x:c r="L434" s="124"/>
      <x:c r="M434" s="124"/>
      <x:c r="N434" s="124" t="n">
        <x:v>68</x:v>
      </x:c>
      <x:c r="O434" s="69" t="str"/>
    </x:row>
    <x:row r="435" ht="21" customHeight="1">
      <x:c r="A435" s="100" t="n">
        <x:v>431</x:v>
      </x:c>
      <x:c r="B435" s="172" t="n">
        <x:v>95311008970</x:v>
      </x:c>
      <x:c r="C435" s="68" t="str">
        <x:v>ĐOÀN NGỌC TRÂN</x:v>
      </x:c>
      <x:c r="D435" s="106" t="str">
        <x:v>X</x:v>
      </x:c>
      <x:c r="E435" s="118" t="n">
        <x:v>40843</x:v>
      </x:c>
      <x:c r="F435" s="106" t="str">
        <x:v>Kinh</x:v>
      </x:c>
      <x:c r="G435" s="68" t="str">
        <x:v>Xã Phước Long</x:v>
      </x:c>
      <x:c r="H435" s="68" t="str">
        <x:v>THCS Phước Long</x:v>
      </x:c>
      <x:c r="I435" s="68" t="str">
        <x:v>Xã Phước Long</x:v>
      </x:c>
      <x:c r="J435" s="124" t="n">
        <x:v>31.9</x:v>
      </x:c>
      <x:c r="K435" s="130" t="n">
        <x:v>36</x:v>
      </x:c>
      <x:c r="L435" s="124"/>
      <x:c r="M435" s="124"/>
      <x:c r="N435" s="124" t="n">
        <x:v>67.9</x:v>
      </x:c>
      <x:c r="O435" s="69" t="str"/>
    </x:row>
    <x:row r="436" ht="21" customHeight="1">
      <x:c r="A436" s="100" t="n">
        <x:v>432</x:v>
      </x:c>
      <x:c r="B436" s="172" t="n">
        <x:v>77311005136</x:v>
      </x:c>
      <x:c r="C436" s="68" t="str">
        <x:v>NGUYỄN NGỌC KIM NGÂN</x:v>
      </x:c>
      <x:c r="D436" s="106" t="str">
        <x:v>X</x:v>
      </x:c>
      <x:c r="E436" s="118" t="n">
        <x:v>40884</x:v>
      </x:c>
      <x:c r="F436" s="106" t="str">
        <x:v>Kinh</x:v>
      </x:c>
      <x:c r="G436" s="68" t="str">
        <x:v>Xã Phước Long</x:v>
      </x:c>
      <x:c r="H436" s="68" t="str">
        <x:v>THCS Phước Long</x:v>
      </x:c>
      <x:c r="I436" s="68" t="str">
        <x:v>Xã Phước Long</x:v>
      </x:c>
      <x:c r="J436" s="124" t="n">
        <x:v>31.8</x:v>
      </x:c>
      <x:c r="K436" s="130" t="n">
        <x:v>36</x:v>
      </x:c>
      <x:c r="L436" s="124"/>
      <x:c r="M436" s="124"/>
      <x:c r="N436" s="124" t="n">
        <x:v>67.8</x:v>
      </x:c>
      <x:c r="O436" s="69" t="str"/>
    </x:row>
    <x:row r="437" ht="21" customHeight="1">
      <x:c r="A437" s="100" t="n">
        <x:v>433</x:v>
      </x:c>
      <x:c r="B437" s="172" t="n">
        <x:v>95311007827</x:v>
      </x:c>
      <x:c r="C437" s="68" t="str">
        <x:v>TRẦN NGỌC ĐAN THANH</x:v>
      </x:c>
      <x:c r="D437" s="106" t="str">
        <x:v>X</x:v>
      </x:c>
      <x:c r="E437" s="118" t="n">
        <x:v>40891</x:v>
      </x:c>
      <x:c r="F437" s="106" t="str">
        <x:v>Kinh</x:v>
      </x:c>
      <x:c r="G437" s="68" t="str">
        <x:v>Xã Phước Long</x:v>
      </x:c>
      <x:c r="H437" s="68" t="str">
        <x:v>THCS Phước Long</x:v>
      </x:c>
      <x:c r="I437" s="68" t="str">
        <x:v>Xã Phước Long</x:v>
      </x:c>
      <x:c r="J437" s="124" t="n">
        <x:v>30.8</x:v>
      </x:c>
      <x:c r="K437" s="130" t="n">
        <x:v>37</x:v>
      </x:c>
      <x:c r="L437" s="124"/>
      <x:c r="M437" s="124"/>
      <x:c r="N437" s="124" t="n">
        <x:v>67.8</x:v>
      </x:c>
      <x:c r="O437" s="69" t="str"/>
    </x:row>
    <x:row r="438" ht="21" customHeight="1">
      <x:c r="A438" s="100" t="n">
        <x:v>434</x:v>
      </x:c>
      <x:c r="B438" s="172" t="n">
        <x:v>95311003465</x:v>
      </x:c>
      <x:c r="C438" s="68" t="str">
        <x:v>NGUYỄN CHÂU TRÀ MY</x:v>
      </x:c>
      <x:c r="D438" s="106" t="str">
        <x:v>X</x:v>
      </x:c>
      <x:c r="E438" s="118" t="n">
        <x:v>40685</x:v>
      </x:c>
      <x:c r="F438" s="106" t="str">
        <x:v>Kinh</x:v>
      </x:c>
      <x:c r="G438" s="68" t="str">
        <x:v>Xã Vĩnh Thanh</x:v>
      </x:c>
      <x:c r="H438" s="68" t="str">
        <x:v>THCS Hưng Phú</x:v>
      </x:c>
      <x:c r="I438" s="68" t="str">
        <x:v>Xã Vĩnh Thanh</x:v>
      </x:c>
      <x:c r="J438" s="124" t="n">
        <x:v>32.8</x:v>
      </x:c>
      <x:c r="K438" s="130" t="n">
        <x:v>35</x:v>
      </x:c>
      <x:c r="L438" s="124"/>
      <x:c r="M438" s="124"/>
      <x:c r="N438" s="124" t="n">
        <x:v>67.8</x:v>
      </x:c>
      <x:c r="O438" s="69" t="str"/>
    </x:row>
    <x:row r="439" ht="21" customHeight="1">
      <x:c r="A439" s="100" t="n">
        <x:v>435</x:v>
      </x:c>
      <x:c r="B439" s="172" t="n">
        <x:v>95311008994</x:v>
      </x:c>
      <x:c r="C439" s="68" t="str">
        <x:v>CA NGỌC DIỄM</x:v>
      </x:c>
      <x:c r="D439" s="106" t="str">
        <x:v>X</x:v>
      </x:c>
      <x:c r="E439" s="118" t="n">
        <x:v>40671</x:v>
      </x:c>
      <x:c r="F439" s="106" t="str">
        <x:v>Kinh</x:v>
      </x:c>
      <x:c r="G439" s="68" t="str">
        <x:v>Xã Vĩnh Thanh</x:v>
      </x:c>
      <x:c r="H439" s="68" t="str">
        <x:v>THCS Hưng Phú</x:v>
      </x:c>
      <x:c r="I439" s="68" t="str">
        <x:v>Xã Vĩnh Thanh</x:v>
      </x:c>
      <x:c r="J439" s="124" t="n">
        <x:v>31.8</x:v>
      </x:c>
      <x:c r="K439" s="130" t="n">
        <x:v>36</x:v>
      </x:c>
      <x:c r="L439" s="124"/>
      <x:c r="M439" s="124"/>
      <x:c r="N439" s="124" t="n">
        <x:v>67.8</x:v>
      </x:c>
      <x:c r="O439" s="69" t="str"/>
    </x:row>
    <x:row r="440" ht="21" customHeight="1">
      <x:c r="A440" s="100" t="n">
        <x:v>436</x:v>
      </x:c>
      <x:c r="B440" s="172" t="n">
        <x:v>95310003411</x:v>
      </x:c>
      <x:c r="C440" s="68" t="str">
        <x:v>TRƯƠNG NGỌC THẢO</x:v>
      </x:c>
      <x:c r="D440" s="106" t="str">
        <x:v>X</x:v>
      </x:c>
      <x:c r="E440" s="118" t="n">
        <x:v>40323</x:v>
      </x:c>
      <x:c r="F440" s="106" t="str">
        <x:v>Kinh</x:v>
      </x:c>
      <x:c r="G440" s="68" t="str">
        <x:v>Xã Vĩnh Thanh</x:v>
      </x:c>
      <x:c r="H440" s="68" t="str">
        <x:v>THCS Hưng Phú</x:v>
      </x:c>
      <x:c r="I440" s="68" t="str">
        <x:v>Xã Vĩnh Thanh</x:v>
      </x:c>
      <x:c r="J440" s="124" t="n">
        <x:v>31.8</x:v>
      </x:c>
      <x:c r="K440" s="130" t="n">
        <x:v>36</x:v>
      </x:c>
      <x:c r="L440" s="124"/>
      <x:c r="M440" s="124"/>
      <x:c r="N440" s="124" t="n">
        <x:v>67.8</x:v>
      </x:c>
      <x:c r="O440" s="69" t="str"/>
    </x:row>
    <x:row r="441" ht="21" customHeight="1">
      <x:c r="A441" s="100" t="n">
        <x:v>437</x:v>
      </x:c>
      <x:c r="B441" s="172" t="n">
        <x:v>95311001009</x:v>
      </x:c>
      <x:c r="C441" s="68" t="str">
        <x:v>PHAN THỊ QUỲNH NHƯ</x:v>
      </x:c>
      <x:c r="D441" s="106" t="str">
        <x:v>X</x:v>
      </x:c>
      <x:c r="E441" s="118" t="n">
        <x:v>40551</x:v>
      </x:c>
      <x:c r="F441" s="106" t="str">
        <x:v>Kinh</x:v>
      </x:c>
      <x:c r="G441" s="68" t="str">
        <x:v>Xã Vĩnh Thanh</x:v>
      </x:c>
      <x:c r="H441" s="68" t="str">
        <x:v>THCS Vĩnh Thanh</x:v>
      </x:c>
      <x:c r="I441" s="68" t="str">
        <x:v>Xã Vĩnh Thanh</x:v>
      </x:c>
      <x:c r="J441" s="124" t="n">
        <x:v>30.8</x:v>
      </x:c>
      <x:c r="K441" s="130" t="n">
        <x:v>37</x:v>
      </x:c>
      <x:c r="L441" s="124"/>
      <x:c r="M441" s="124"/>
      <x:c r="N441" s="124" t="n">
        <x:v>67.8</x:v>
      </x:c>
      <x:c r="O441" s="69" t="str"/>
    </x:row>
    <x:row r="442" ht="21" customHeight="1">
      <x:c r="A442" s="100" t="n">
        <x:v>438</x:v>
      </x:c>
      <x:c r="B442" s="172" t="n">
        <x:v>95311003245</x:v>
      </x:c>
      <x:c r="C442" s="68" t="str">
        <x:v>NGUYỄN THỊ HUỲNH HÂN</x:v>
      </x:c>
      <x:c r="D442" s="106" t="str">
        <x:v>X</x:v>
      </x:c>
      <x:c r="E442" s="118" t="n">
        <x:v>40692</x:v>
      </x:c>
      <x:c r="F442" s="106" t="str">
        <x:v>Kinh</x:v>
      </x:c>
      <x:c r="G442" s="68" t="str">
        <x:v>Xã Phước Long</x:v>
      </x:c>
      <x:c r="H442" s="68" t="str">
        <x:v>THCS Vương Hữu Nhơn</x:v>
      </x:c>
      <x:c r="I442" s="68" t="str">
        <x:v>Xã Phước Long</x:v>
      </x:c>
      <x:c r="J442" s="124" t="n">
        <x:v>31.8</x:v>
      </x:c>
      <x:c r="K442" s="130" t="n">
        <x:v>36</x:v>
      </x:c>
      <x:c r="L442" s="124"/>
      <x:c r="M442" s="124"/>
      <x:c r="N442" s="124" t="n">
        <x:v>67.8</x:v>
      </x:c>
      <x:c r="O442" s="69" t="str"/>
    </x:row>
    <x:row r="443" ht="21" customHeight="1">
      <x:c r="A443" s="100" t="n">
        <x:v>439</x:v>
      </x:c>
      <x:c r="B443" s="172" t="n">
        <x:v>95311004928</x:v>
      </x:c>
      <x:c r="C443" s="68" t="str">
        <x:v>NGUYỄN CẨM HIỀN</x:v>
      </x:c>
      <x:c r="D443" s="106" t="str">
        <x:v>X</x:v>
      </x:c>
      <x:c r="E443" s="118" t="n">
        <x:v>40720</x:v>
      </x:c>
      <x:c r="F443" s="106" t="str">
        <x:v>Kinh</x:v>
      </x:c>
      <x:c r="G443" s="68" t="str">
        <x:v>Xã Phước Long</x:v>
      </x:c>
      <x:c r="H443" s="68" t="str">
        <x:v>THCS Phước Long</x:v>
      </x:c>
      <x:c r="I443" s="68" t="str">
        <x:v>Xã Phước Long</x:v>
      </x:c>
      <x:c r="J443" s="124" t="n">
        <x:v>30.7</x:v>
      </x:c>
      <x:c r="K443" s="130" t="n">
        <x:v>37</x:v>
      </x:c>
      <x:c r="L443" s="124"/>
      <x:c r="M443" s="124"/>
      <x:c r="N443" s="124" t="n">
        <x:v>67.7</x:v>
      </x:c>
      <x:c r="O443" s="69" t="str"/>
    </x:row>
    <x:row r="444" ht="21" customHeight="1">
      <x:c r="A444" s="100" t="n">
        <x:v>440</x:v>
      </x:c>
      <x:c r="B444" s="172" t="n">
        <x:v>95311005907</x:v>
      </x:c>
      <x:c r="C444" s="68" t="str">
        <x:v>SƠN HỒNG NHỚ</x:v>
      </x:c>
      <x:c r="D444" s="106" t="str">
        <x:v>X</x:v>
      </x:c>
      <x:c r="E444" s="118" t="n">
        <x:v>40855</x:v>
      </x:c>
      <x:c r="F444" s="106" t="str">
        <x:v>Khmer</x:v>
      </x:c>
      <x:c r="G444" s="68" t="str">
        <x:v>Xã Vĩnh Phước</x:v>
      </x:c>
      <x:c r="H444" s="68" t="str">
        <x:v>THCS Vĩnh Phú Tây</x:v>
      </x:c>
      <x:c r="I444" s="68" t="str">
        <x:v>Xã Vĩnh Phước</x:v>
      </x:c>
      <x:c r="J444" s="124" t="n">
        <x:v>30.7</x:v>
      </x:c>
      <x:c r="K444" s="130" t="n">
        <x:v>36</x:v>
      </x:c>
      <x:c r="L444" s="124" t="n">
        <x:v>1</x:v>
      </x:c>
      <x:c r="M444" s="124"/>
      <x:c r="N444" s="124" t="n">
        <x:v>67.7</x:v>
      </x:c>
      <x:c r="O444" s="69" t="str"/>
    </x:row>
    <x:row r="445" ht="21" customHeight="1">
      <x:c r="A445" s="100" t="n">
        <x:v>441</x:v>
      </x:c>
      <x:c r="B445" s="172" t="n">
        <x:v>95311005007</x:v>
      </x:c>
      <x:c r="C445" s="68" t="str">
        <x:v>NGUYỄN THỊ KIM CƯƠNG</x:v>
      </x:c>
      <x:c r="D445" s="106" t="str">
        <x:v>X</x:v>
      </x:c>
      <x:c r="E445" s="118" t="n">
        <x:v>40666</x:v>
      </x:c>
      <x:c r="F445" s="106" t="str">
        <x:v>Kinh</x:v>
      </x:c>
      <x:c r="G445" s="68" t="str">
        <x:v>Xã Phước Long</x:v>
      </x:c>
      <x:c r="H445" s="68" t="str">
        <x:v>THCS Hưng Phú</x:v>
      </x:c>
      <x:c r="I445" s="68" t="str">
        <x:v>Xã Vĩnh Thanh</x:v>
      </x:c>
      <x:c r="J445" s="124" t="n">
        <x:v>30.7</x:v>
      </x:c>
      <x:c r="K445" s="130" t="n">
        <x:v>37</x:v>
      </x:c>
      <x:c r="L445" s="124"/>
      <x:c r="M445" s="124"/>
      <x:c r="N445" s="124" t="n">
        <x:v>67.7</x:v>
      </x:c>
      <x:c r="O445" s="69" t="str"/>
    </x:row>
    <x:row r="446" ht="21" customHeight="1">
      <x:c r="A446" s="100" t="n">
        <x:v>442</x:v>
      </x:c>
      <x:c r="B446" s="172" t="n">
        <x:v>83211006509</x:v>
      </x:c>
      <x:c r="C446" s="68" t="str">
        <x:v>NGUYỄN NHỰT QUANG</x:v>
      </x:c>
      <x:c r="D446" s="106" t="str"/>
      <x:c r="E446" s="118" t="n">
        <x:v>40665</x:v>
      </x:c>
      <x:c r="F446" s="106" t="str">
        <x:v>Kinh</x:v>
      </x:c>
      <x:c r="G446" s="68" t="str">
        <x:v>Xã Vĩnh Thanh</x:v>
      </x:c>
      <x:c r="H446" s="68" t="str">
        <x:v>THCS Hưng Phú</x:v>
      </x:c>
      <x:c r="I446" s="68" t="str">
        <x:v>Xã Vĩnh Thanh</x:v>
      </x:c>
      <x:c r="J446" s="124" t="n">
        <x:v>30.7</x:v>
      </x:c>
      <x:c r="K446" s="130" t="n">
        <x:v>37</x:v>
      </x:c>
      <x:c r="L446" s="124"/>
      <x:c r="M446" s="124"/>
      <x:c r="N446" s="124" t="n">
        <x:v>67.7</x:v>
      </x:c>
      <x:c r="O446" s="69" t="str"/>
    </x:row>
    <x:row r="447" ht="21" customHeight="1">
      <x:c r="A447" s="100" t="n">
        <x:v>443</x:v>
      </x:c>
      <x:c r="B447" s="172" t="n">
        <x:v>95311001552</x:v>
      </x:c>
      <x:c r="C447" s="68" t="str">
        <x:v>LƯU THỊ BẢO TRẦN</x:v>
      </x:c>
      <x:c r="D447" s="106" t="str">
        <x:v>X</x:v>
      </x:c>
      <x:c r="E447" s="118" t="n">
        <x:v>40768</x:v>
      </x:c>
      <x:c r="F447" s="106" t="str">
        <x:v>Kinh</x:v>
      </x:c>
      <x:c r="G447" s="68" t="str">
        <x:v>Xã Vĩnh Thanh</x:v>
      </x:c>
      <x:c r="H447" s="68" t="str">
        <x:v>THCS Vĩnh Thanh</x:v>
      </x:c>
      <x:c r="I447" s="68" t="str">
        <x:v>Xã Vĩnh Thanh</x:v>
      </x:c>
      <x:c r="J447" s="124" t="n">
        <x:v>30.7</x:v>
      </x:c>
      <x:c r="K447" s="130" t="n">
        <x:v>37</x:v>
      </x:c>
      <x:c r="L447" s="124"/>
      <x:c r="M447" s="124"/>
      <x:c r="N447" s="124" t="n">
        <x:v>67.7</x:v>
      </x:c>
      <x:c r="O447" s="69" t="str"/>
    </x:row>
    <x:row r="448" ht="21" customHeight="1">
      <x:c r="A448" s="100" t="n">
        <x:v>444</x:v>
      </x:c>
      <x:c r="B448" s="172" t="n">
        <x:v>95211009494</x:v>
      </x:c>
      <x:c r="C448" s="68" t="str">
        <x:v>ĐOÀN VĂN LUẬN</x:v>
      </x:c>
      <x:c r="D448" s="106" t="str"/>
      <x:c r="E448" s="118" t="n">
        <x:v>40613</x:v>
      </x:c>
      <x:c r="F448" s="106" t="str">
        <x:v>Kinh</x:v>
      </x:c>
      <x:c r="G448" s="68" t="str">
        <x:v>Xã Phước Long</x:v>
      </x:c>
      <x:c r="H448" s="68" t="str">
        <x:v>THCS Trương Vĩnh Ký</x:v>
      </x:c>
      <x:c r="I448" s="68" t="str">
        <x:v>Xã Hồng Dân</x:v>
      </x:c>
      <x:c r="J448" s="124" t="n">
        <x:v>31.7</x:v>
      </x:c>
      <x:c r="K448" s="130" t="n">
        <x:v>36</x:v>
      </x:c>
      <x:c r="L448" s="124"/>
      <x:c r="M448" s="124"/>
      <x:c r="N448" s="124" t="n">
        <x:v>67.7</x:v>
      </x:c>
      <x:c r="O448" s="69" t="str"/>
    </x:row>
    <x:row r="449" ht="21" customHeight="1">
      <x:c r="A449" s="100" t="n">
        <x:v>445</x:v>
      </x:c>
      <x:c r="B449" s="172" t="n">
        <x:v>95311001245</x:v>
      </x:c>
      <x:c r="C449" s="68" t="str">
        <x:v>TRẦN THỊ ANH THƯ</x:v>
      </x:c>
      <x:c r="D449" s="106" t="str">
        <x:v>X</x:v>
      </x:c>
      <x:c r="E449" s="118" t="n">
        <x:v>40616</x:v>
      </x:c>
      <x:c r="F449" s="106" t="str">
        <x:v>Kinh</x:v>
      </x:c>
      <x:c r="G449" s="68" t="str">
        <x:v>Xã Phước Long</x:v>
      </x:c>
      <x:c r="H449" s="68" t="str">
        <x:v>THCS Vương Hữu Nhơn</x:v>
      </x:c>
      <x:c r="I449" s="68" t="str">
        <x:v>Xã Phước Long</x:v>
      </x:c>
      <x:c r="J449" s="124" t="n">
        <x:v>31.7</x:v>
      </x:c>
      <x:c r="K449" s="130" t="n">
        <x:v>36</x:v>
      </x:c>
      <x:c r="L449" s="124"/>
      <x:c r="M449" s="124"/>
      <x:c r="N449" s="124" t="n">
        <x:v>67.7</x:v>
      </x:c>
      <x:c r="O449" s="69" t="str"/>
    </x:row>
    <x:row r="450" ht="21" customHeight="1">
      <x:c r="A450" s="100" t="n">
        <x:v>446</x:v>
      </x:c>
      <x:c r="B450" s="172" t="n">
        <x:v>96211011593</x:v>
      </x:c>
      <x:c r="C450" s="68" t="str">
        <x:v>VĂN MINH KHÔI</x:v>
      </x:c>
      <x:c r="D450" s="106" t="str"/>
      <x:c r="E450" s="118" t="n">
        <x:v>40736</x:v>
      </x:c>
      <x:c r="F450" s="106" t="str">
        <x:v>Kinh</x:v>
      </x:c>
      <x:c r="G450" s="68" t="str">
        <x:v>Xã Vĩnh Thanh</x:v>
      </x:c>
      <x:c r="H450" s="68" t="str">
        <x:v>THCS Bạc Liêu - Ninh Bình</x:v>
      </x:c>
      <x:c r="I450" s="68" t="str">
        <x:v>Phường Bạc Liêu</x:v>
      </x:c>
      <x:c r="J450" s="124" t="n">
        <x:v>31.7</x:v>
      </x:c>
      <x:c r="K450" s="130" t="n">
        <x:v>36</x:v>
      </x:c>
      <x:c r="L450" s="124"/>
      <x:c r="M450" s="124"/>
      <x:c r="N450" s="124" t="n">
        <x:v>67.7</x:v>
      </x:c>
      <x:c r="O450" s="69" t="str"/>
    </x:row>
    <x:row r="451" ht="21" customHeight="1">
      <x:c r="A451" s="100" t="n">
        <x:v>447</x:v>
      </x:c>
      <x:c r="B451" s="172" t="n">
        <x:v>95311009032</x:v>
      </x:c>
      <x:c r="C451" s="68" t="str">
        <x:v>NGÔ MỸ Á</x:v>
      </x:c>
      <x:c r="D451" s="106" t="str">
        <x:v>X</x:v>
      </x:c>
      <x:c r="E451" s="118" t="n">
        <x:v>40653</x:v>
      </x:c>
      <x:c r="F451" s="106" t="str">
        <x:v>Kinh</x:v>
      </x:c>
      <x:c r="G451" s="68" t="str">
        <x:v>Xã Hồng Dân</x:v>
      </x:c>
      <x:c r="H451" s="68" t="str">
        <x:v>THCS Nguyễn Du</x:v>
      </x:c>
      <x:c r="I451" s="68" t="str">
        <x:v>Xã Hồng Dân</x:v>
      </x:c>
      <x:c r="J451" s="124" t="n">
        <x:v>31.7</x:v>
      </x:c>
      <x:c r="K451" s="130" t="n">
        <x:v>36</x:v>
      </x:c>
      <x:c r="L451" s="124"/>
      <x:c r="M451" s="124"/>
      <x:c r="N451" s="124" t="n">
        <x:v>67.7</x:v>
      </x:c>
      <x:c r="O451" s="69" t="str"/>
    </x:row>
    <x:row r="452" ht="21" customHeight="1">
      <x:c r="A452" s="100" t="n">
        <x:v>448</x:v>
      </x:c>
      <x:c r="B452" s="172" t="n">
        <x:v>95211005591</x:v>
      </x:c>
      <x:c r="C452" s="68" t="str">
        <x:v>SỬ THÀNH MÃI</x:v>
      </x:c>
      <x:c r="D452" s="106" t="str"/>
      <x:c r="E452" s="118" t="n">
        <x:v>40853</x:v>
      </x:c>
      <x:c r="F452" s="106" t="str">
        <x:v>Kinh</x:v>
      </x:c>
      <x:c r="G452" s="68" t="str">
        <x:v>Xã Vĩnh Phước</x:v>
      </x:c>
      <x:c r="H452" s="68" t="str">
        <x:v>THCS Phước Long</x:v>
      </x:c>
      <x:c r="I452" s="68" t="str">
        <x:v>Xã Phước Long</x:v>
      </x:c>
      <x:c r="J452" s="124" t="n">
        <x:v>30.7</x:v>
      </x:c>
      <x:c r="K452" s="130" t="n">
        <x:v>36</x:v>
      </x:c>
      <x:c r="L452" s="124" t="n">
        <x:v>1</x:v>
      </x:c>
      <x:c r="M452" s="124"/>
      <x:c r="N452" s="124" t="n">
        <x:v>67.7</x:v>
      </x:c>
      <x:c r="O452" s="69" t="str"/>
    </x:row>
    <x:row r="453" ht="21" customHeight="1">
      <x:c r="A453" s="100" t="n">
        <x:v>449</x:v>
      </x:c>
      <x:c r="B453" s="172" t="n">
        <x:v>95311005785</x:v>
      </x:c>
      <x:c r="C453" s="68" t="str">
        <x:v>PHẠM NGỌC ÁI</x:v>
      </x:c>
      <x:c r="D453" s="106" t="str">
        <x:v>X</x:v>
      </x:c>
      <x:c r="E453" s="118" t="n">
        <x:v>40690</x:v>
      </x:c>
      <x:c r="F453" s="106" t="str">
        <x:v>Kinh</x:v>
      </x:c>
      <x:c r="G453" s="68" t="str">
        <x:v>Xã Vĩnh Thanh</x:v>
      </x:c>
      <x:c r="H453" s="68" t="str">
        <x:v>THCS Vĩnh Thanh</x:v>
      </x:c>
      <x:c r="I453" s="68" t="str">
        <x:v>Xã Vĩnh Thanh</x:v>
      </x:c>
      <x:c r="J453" s="124" t="n">
        <x:v>31.6</x:v>
      </x:c>
      <x:c r="K453" s="130" t="n">
        <x:v>36</x:v>
      </x:c>
      <x:c r="L453" s="124"/>
      <x:c r="M453" s="124"/>
      <x:c r="N453" s="124" t="n">
        <x:v>67.6</x:v>
      </x:c>
      <x:c r="O453" s="69" t="str"/>
    </x:row>
    <x:row r="454" ht="21" customHeight="1">
      <x:c r="A454" s="100" t="n">
        <x:v>450</x:v>
      </x:c>
      <x:c r="B454" s="172" t="n">
        <x:v>95211007583</x:v>
      </x:c>
      <x:c r="C454" s="68" t="str">
        <x:v>HUỲNH PHÚC MÃI</x:v>
      </x:c>
      <x:c r="D454" s="106" t="str"/>
      <x:c r="E454" s="118" t="n">
        <x:v>40703</x:v>
      </x:c>
      <x:c r="F454" s="106" t="str">
        <x:v>Kinh</x:v>
      </x:c>
      <x:c r="G454" s="68" t="str">
        <x:v>Xã Phước Long</x:v>
      </x:c>
      <x:c r="H454" s="68" t="str">
        <x:v>THCS Vương Hữu Nhơn</x:v>
      </x:c>
      <x:c r="I454" s="68" t="str">
        <x:v>Xã Phước Long</x:v>
      </x:c>
      <x:c r="J454" s="124" t="n">
        <x:v>31.6</x:v>
      </x:c>
      <x:c r="K454" s="130" t="n">
        <x:v>36</x:v>
      </x:c>
      <x:c r="L454" s="124"/>
      <x:c r="M454" s="124"/>
      <x:c r="N454" s="124" t="n">
        <x:v>67.6</x:v>
      </x:c>
      <x:c r="O454" s="69" t="str"/>
    </x:row>
    <x:row r="455" ht="21" customHeight="1">
      <x:c r="A455" s="100" t="n">
        <x:v>451</x:v>
      </x:c>
      <x:c r="B455" s="172" t="n">
        <x:v>95311009772</x:v>
      </x:c>
      <x:c r="C455" s="68" t="str">
        <x:v>LÊ NGỌC NHƯ Ý</x:v>
      </x:c>
      <x:c r="D455" s="106" t="str">
        <x:v>X</x:v>
      </x:c>
      <x:c r="E455" s="118" t="n">
        <x:v>40550</x:v>
      </x:c>
      <x:c r="F455" s="106" t="str">
        <x:v>Kinh</x:v>
      </x:c>
      <x:c r="G455" s="68" t="str">
        <x:v>Xã Phước Long</x:v>
      </x:c>
      <x:c r="H455" s="68" t="str">
        <x:v>THCS Vương Hữu Nhơn</x:v>
      </x:c>
      <x:c r="I455" s="68" t="str">
        <x:v>Xã Phước Long</x:v>
      </x:c>
      <x:c r="J455" s="124" t="n">
        <x:v>30.6</x:v>
      </x:c>
      <x:c r="K455" s="130" t="n">
        <x:v>37</x:v>
      </x:c>
      <x:c r="L455" s="124"/>
      <x:c r="M455" s="124"/>
      <x:c r="N455" s="124" t="n">
        <x:v>67.6</x:v>
      </x:c>
      <x:c r="O455" s="69" t="str"/>
    </x:row>
    <x:row r="456" ht="21" customHeight="1">
      <x:c r="A456" s="100" t="n">
        <x:v>452</x:v>
      </x:c>
      <x:c r="B456" s="172" t="n">
        <x:v>95311004084</x:v>
      </x:c>
      <x:c r="C456" s="68" t="str">
        <x:v>HỒ NGUYỄN MỸ TIÊN</x:v>
      </x:c>
      <x:c r="D456" s="106" t="str">
        <x:v>X</x:v>
      </x:c>
      <x:c r="E456" s="118" t="n">
        <x:v>40797</x:v>
      </x:c>
      <x:c r="F456" s="106" t="str">
        <x:v>Kinh</x:v>
      </x:c>
      <x:c r="G456" s="68" t="str">
        <x:v>Xã Phước Long</x:v>
      </x:c>
      <x:c r="H456" s="68" t="str">
        <x:v>THCS Phước Long</x:v>
      </x:c>
      <x:c r="I456" s="68" t="str">
        <x:v>Xã Phước Long</x:v>
      </x:c>
      <x:c r="J456" s="124" t="n">
        <x:v>31.5</x:v>
      </x:c>
      <x:c r="K456" s="130" t="n">
        <x:v>36</x:v>
      </x:c>
      <x:c r="L456" s="124"/>
      <x:c r="M456" s="124"/>
      <x:c r="N456" s="124" t="n">
        <x:v>67.5</x:v>
      </x:c>
      <x:c r="O456" s="69" t="str"/>
    </x:row>
    <x:row r="457" ht="21" customHeight="1">
      <x:c r="A457" s="100" t="n">
        <x:v>453</x:v>
      </x:c>
      <x:c r="B457" s="172" t="n">
        <x:v>95211009658</x:v>
      </x:c>
      <x:c r="C457" s="68" t="str">
        <x:v>ĐINH QUỐC TRỌNG</x:v>
      </x:c>
      <x:c r="D457" s="106" t="str"/>
      <x:c r="E457" s="118" t="n">
        <x:v>40578</x:v>
      </x:c>
      <x:c r="F457" s="106" t="str">
        <x:v>Kinh</x:v>
      </x:c>
      <x:c r="G457" s="68" t="str">
        <x:v>Xã Vĩnh Phước</x:v>
      </x:c>
      <x:c r="H457" s="68" t="str">
        <x:v>THCS Vĩnh Phú Tây</x:v>
      </x:c>
      <x:c r="I457" s="68" t="str">
        <x:v>Xã Vĩnh Phước</x:v>
      </x:c>
      <x:c r="J457" s="124" t="n">
        <x:v>30.5</x:v>
      </x:c>
      <x:c r="K457" s="130" t="n">
        <x:v>36</x:v>
      </x:c>
      <x:c r="L457" s="124" t="n">
        <x:v>1</x:v>
      </x:c>
      <x:c r="M457" s="124"/>
      <x:c r="N457" s="124" t="n">
        <x:v>67.5</x:v>
      </x:c>
      <x:c r="O457" s="69" t="str"/>
    </x:row>
    <x:row r="458" ht="21" customHeight="1">
      <x:c r="A458" s="100" t="n">
        <x:v>454</x:v>
      </x:c>
      <x:c r="B458" s="172" t="n">
        <x:v>95310008254</x:v>
      </x:c>
      <x:c r="C458" s="68" t="str">
        <x:v>DANH ANH THƯ</x:v>
      </x:c>
      <x:c r="D458" s="106" t="str">
        <x:v>X</x:v>
      </x:c>
      <x:c r="E458" s="118" t="n">
        <x:v>40448</x:v>
      </x:c>
      <x:c r="F458" s="106" t="str">
        <x:v>Khmer</x:v>
      </x:c>
      <x:c r="G458" s="68" t="str">
        <x:v>Xã Vĩnh Phước</x:v>
      </x:c>
      <x:c r="H458" s="68" t="str">
        <x:v>THCS Vĩnh Phú Tây</x:v>
      </x:c>
      <x:c r="I458" s="68" t="str">
        <x:v>Xã Vĩnh Phước</x:v>
      </x:c>
      <x:c r="J458" s="124" t="n">
        <x:v>30.5</x:v>
      </x:c>
      <x:c r="K458" s="130" t="n">
        <x:v>36</x:v>
      </x:c>
      <x:c r="L458" s="124" t="n">
        <x:v>1</x:v>
      </x:c>
      <x:c r="M458" s="124"/>
      <x:c r="N458" s="124" t="n">
        <x:v>67.5</x:v>
      </x:c>
      <x:c r="O458" s="69" t="str"/>
    </x:row>
    <x:row r="459" ht="21" customHeight="1">
      <x:c r="A459" s="100" t="n">
        <x:v>455</x:v>
      </x:c>
      <x:c r="B459" s="172" t="n">
        <x:v>95311007667</x:v>
      </x:c>
      <x:c r="C459" s="68" t="str">
        <x:v>CAO ÁI NHÂN</x:v>
      </x:c>
      <x:c r="D459" s="106" t="str">
        <x:v>X</x:v>
      </x:c>
      <x:c r="E459" s="118" t="n">
        <x:v>40837</x:v>
      </x:c>
      <x:c r="F459" s="106" t="str">
        <x:v>Kinh</x:v>
      </x:c>
      <x:c r="G459" s="68" t="str">
        <x:v>Xã Vĩnh Phước</x:v>
      </x:c>
      <x:c r="H459" s="68" t="str">
        <x:v>THCS Vĩnh Phú Tây</x:v>
      </x:c>
      <x:c r="I459" s="68" t="str">
        <x:v>Xã Vĩnh Phước</x:v>
      </x:c>
      <x:c r="J459" s="124" t="n">
        <x:v>30.5</x:v>
      </x:c>
      <x:c r="K459" s="130" t="n">
        <x:v>37</x:v>
      </x:c>
      <x:c r="L459" s="124"/>
      <x:c r="M459" s="124"/>
      <x:c r="N459" s="124" t="n">
        <x:v>67.5</x:v>
      </x:c>
      <x:c r="O459" s="69" t="str"/>
    </x:row>
    <x:row r="460" ht="21" customHeight="1">
      <x:c r="A460" s="100" t="n">
        <x:v>456</x:v>
      </x:c>
      <x:c r="B460" s="172" t="n">
        <x:v>95311002672</x:v>
      </x:c>
      <x:c r="C460" s="68" t="str">
        <x:v>PHẠM HUỲNH THẢO NGUYỄN</x:v>
      </x:c>
      <x:c r="D460" s="106" t="str">
        <x:v>X</x:v>
      </x:c>
      <x:c r="E460" s="118" t="n">
        <x:v>40900</x:v>
      </x:c>
      <x:c r="F460" s="106" t="str">
        <x:v>Kinh</x:v>
      </x:c>
      <x:c r="G460" s="68" t="str">
        <x:v>Xã Vĩnh Thanh</x:v>
      </x:c>
      <x:c r="H460" s="68" t="str">
        <x:v>THCS Hưng Phú</x:v>
      </x:c>
      <x:c r="I460" s="68" t="str">
        <x:v>Xã Vĩnh Thanh</x:v>
      </x:c>
      <x:c r="J460" s="124" t="n">
        <x:v>31.5</x:v>
      </x:c>
      <x:c r="K460" s="130" t="n">
        <x:v>36</x:v>
      </x:c>
      <x:c r="L460" s="124"/>
      <x:c r="M460" s="124"/>
      <x:c r="N460" s="124" t="n">
        <x:v>67.5</x:v>
      </x:c>
      <x:c r="O460" s="69" t="str"/>
    </x:row>
    <x:row r="461" ht="21" customHeight="1">
      <x:c r="A461" s="100" t="n">
        <x:v>457</x:v>
      </x:c>
      <x:c r="B461" s="172" t="n">
        <x:v>95211003356</x:v>
      </x:c>
      <x:c r="C461" s="68" t="str">
        <x:v>PHẠM VĂN TỶ</x:v>
      </x:c>
      <x:c r="D461" s="106" t="str"/>
      <x:c r="E461" s="118" t="n">
        <x:v>40705</x:v>
      </x:c>
      <x:c r="F461" s="106" t="str">
        <x:v>Kinh</x:v>
      </x:c>
      <x:c r="G461" s="68" t="str">
        <x:v>Xã Hồng Dân</x:v>
      </x:c>
      <x:c r="H461" s="68" t="str">
        <x:v>THCS Trương Vĩnh Ký</x:v>
      </x:c>
      <x:c r="I461" s="68" t="str">
        <x:v>Xã Hồng Dân</x:v>
      </x:c>
      <x:c r="J461" s="124" t="n">
        <x:v>31.5</x:v>
      </x:c>
      <x:c r="K461" s="130" t="n">
        <x:v>36</x:v>
      </x:c>
      <x:c r="L461" s="124"/>
      <x:c r="M461" s="124"/>
      <x:c r="N461" s="124" t="n">
        <x:v>67.5</x:v>
      </x:c>
      <x:c r="O461" s="69" t="str"/>
    </x:row>
    <x:row r="462" ht="21" customHeight="1">
      <x:c r="A462" s="100" t="n">
        <x:v>458</x:v>
      </x:c>
      <x:c r="B462" s="172" t="n">
        <x:v>95211003705</x:v>
      </x:c>
      <x:c r="C462" s="68" t="str">
        <x:v>LÊ KHÁNH DUY</x:v>
      </x:c>
      <x:c r="D462" s="106" t="str"/>
      <x:c r="E462" s="118" t="n">
        <x:v>40802</x:v>
      </x:c>
      <x:c r="F462" s="106" t="str">
        <x:v>Kinh</x:v>
      </x:c>
      <x:c r="G462" s="68" t="str">
        <x:v>Phường Láng Tròn</x:v>
      </x:c>
      <x:c r="H462" s="68" t="str">
        <x:v>THCS Phong Thạnh Đông</x:v>
      </x:c>
      <x:c r="I462" s="68" t="str">
        <x:v>Phường Láng Tròn</x:v>
      </x:c>
      <x:c r="J462" s="124" t="n">
        <x:v>31.5</x:v>
      </x:c>
      <x:c r="K462" s="130" t="n">
        <x:v>36</x:v>
      </x:c>
      <x:c r="L462" s="124"/>
      <x:c r="M462" s="124"/>
      <x:c r="N462" s="124" t="n">
        <x:v>67.5</x:v>
      </x:c>
      <x:c r="O462" s="69" t="str"/>
    </x:row>
    <x:row r="463" ht="21" customHeight="1">
      <x:c r="A463" s="100" t="n">
        <x:v>459</x:v>
      </x:c>
      <x:c r="B463" s="172" t="n">
        <x:v>95211002691</x:v>
      </x:c>
      <x:c r="C463" s="68" t="str">
        <x:v>TRẦN TRÍ TƯỞNG</x:v>
      </x:c>
      <x:c r="D463" s="106" t="str"/>
      <x:c r="E463" s="118" t="n">
        <x:v>40644</x:v>
      </x:c>
      <x:c r="F463" s="106" t="str">
        <x:v>Kinh</x:v>
      </x:c>
      <x:c r="G463" s="68" t="str">
        <x:v>Xã Vĩnh Thanh</x:v>
      </x:c>
      <x:c r="H463" s="68" t="str">
        <x:v>THCS Hưng Phú</x:v>
      </x:c>
      <x:c r="I463" s="68" t="str">
        <x:v>Xã Vĩnh Thanh</x:v>
      </x:c>
      <x:c r="J463" s="124" t="n">
        <x:v>31.4</x:v>
      </x:c>
      <x:c r="K463" s="130" t="n">
        <x:v>36</x:v>
      </x:c>
      <x:c r="L463" s="124"/>
      <x:c r="M463" s="124"/>
      <x:c r="N463" s="124" t="n">
        <x:v>67.4</x:v>
      </x:c>
      <x:c r="O463" s="69" t="str"/>
    </x:row>
    <x:row r="464" ht="21" customHeight="1">
      <x:c r="A464" s="100" t="n">
        <x:v>460</x:v>
      </x:c>
      <x:c r="B464" s="172" t="n">
        <x:v>95311009154</x:v>
      </x:c>
      <x:c r="C464" s="68" t="str">
        <x:v>LÊ KHẢ ÁI</x:v>
      </x:c>
      <x:c r="D464" s="106" t="str">
        <x:v>X</x:v>
      </x:c>
      <x:c r="E464" s="118" t="n">
        <x:v>40874</x:v>
      </x:c>
      <x:c r="F464" s="106" t="str">
        <x:v>Kinh</x:v>
      </x:c>
      <x:c r="G464" s="68" t="str">
        <x:v>Xã Phước Long</x:v>
      </x:c>
      <x:c r="H464" s="68" t="str">
        <x:v>THCS Phước Long</x:v>
      </x:c>
      <x:c r="I464" s="68" t="str">
        <x:v>Xã Phước Long</x:v>
      </x:c>
      <x:c r="J464" s="124" t="n">
        <x:v>31.3</x:v>
      </x:c>
      <x:c r="K464" s="130" t="n">
        <x:v>36</x:v>
      </x:c>
      <x:c r="L464" s="124"/>
      <x:c r="M464" s="124"/>
      <x:c r="N464" s="124" t="n">
        <x:v>67.3</x:v>
      </x:c>
      <x:c r="O464" s="69" t="str"/>
    </x:row>
    <x:row r="465" ht="21" customHeight="1">
      <x:c r="A465" s="100" t="n">
        <x:v>461</x:v>
      </x:c>
      <x:c r="B465" s="172" t="n">
        <x:v>95311003984</x:v>
      </x:c>
      <x:c r="C465" s="68" t="str">
        <x:v>NGUYỄN HUỲNH NHƯ Ý</x:v>
      </x:c>
      <x:c r="D465" s="106" t="str">
        <x:v>X</x:v>
      </x:c>
      <x:c r="E465" s="118" t="n">
        <x:v>40859</x:v>
      </x:c>
      <x:c r="F465" s="106" t="str">
        <x:v>Kinh</x:v>
      </x:c>
      <x:c r="G465" s="68" t="str">
        <x:v>Xã Vĩnh Thanh</x:v>
      </x:c>
      <x:c r="H465" s="68" t="str">
        <x:v>THCS Hưng Phú</x:v>
      </x:c>
      <x:c r="I465" s="68" t="str">
        <x:v>Xã Vĩnh Thanh</x:v>
      </x:c>
      <x:c r="J465" s="124" t="n">
        <x:v>30.3</x:v>
      </x:c>
      <x:c r="K465" s="130" t="n">
        <x:v>37</x:v>
      </x:c>
      <x:c r="L465" s="124"/>
      <x:c r="M465" s="124"/>
      <x:c r="N465" s="124" t="n">
        <x:v>67.3</x:v>
      </x:c>
      <x:c r="O465" s="69" t="str"/>
    </x:row>
    <x:row r="466" ht="21" customHeight="1">
      <x:c r="A466" s="100" t="n">
        <x:v>462</x:v>
      </x:c>
      <x:c r="B466" s="172" t="n">
        <x:v>95311004160</x:v>
      </x:c>
      <x:c r="C466" s="68" t="str">
        <x:v>LÝ THỊ KHẢ ÁI</x:v>
      </x:c>
      <x:c r="D466" s="106" t="str">
        <x:v>X</x:v>
      </x:c>
      <x:c r="E466" s="118" t="n">
        <x:v>40903</x:v>
      </x:c>
      <x:c r="F466" s="106" t="str">
        <x:v>Kinh</x:v>
      </x:c>
      <x:c r="G466" s="68" t="str">
        <x:v>Xã Vĩnh Thanh</x:v>
      </x:c>
      <x:c r="H466" s="68" t="str">
        <x:v>THCS Hưng Phú</x:v>
      </x:c>
      <x:c r="I466" s="68" t="str">
        <x:v>Xã Vĩnh Thanh</x:v>
      </x:c>
      <x:c r="J466" s="124" t="n">
        <x:v>31.3</x:v>
      </x:c>
      <x:c r="K466" s="130" t="n">
        <x:v>36</x:v>
      </x:c>
      <x:c r="L466" s="124"/>
      <x:c r="M466" s="124"/>
      <x:c r="N466" s="124" t="n">
        <x:v>67.3</x:v>
      </x:c>
      <x:c r="O466" s="69" t="str"/>
    </x:row>
    <x:row r="467" ht="21" customHeight="1">
      <x:c r="A467" s="100" t="n">
        <x:v>463</x:v>
      </x:c>
      <x:c r="B467" s="172" t="n">
        <x:v>95311002113</x:v>
      </x:c>
      <x:c r="C467" s="68" t="str">
        <x:v>NGUYỄN THỊ KHÁNH BĂNG</x:v>
      </x:c>
      <x:c r="D467" s="106" t="str">
        <x:v>X</x:v>
      </x:c>
      <x:c r="E467" s="118" t="n">
        <x:v>40878</x:v>
      </x:c>
      <x:c r="F467" s="106" t="str">
        <x:v>Kinh</x:v>
      </x:c>
      <x:c r="G467" s="68" t="str">
        <x:v>Xã Vĩnh Thanh</x:v>
      </x:c>
      <x:c r="H467" s="68" t="str">
        <x:v>THCS Hưng Phú</x:v>
      </x:c>
      <x:c r="I467" s="68" t="str">
        <x:v>Xã Vĩnh Thanh</x:v>
      </x:c>
      <x:c r="J467" s="124" t="n">
        <x:v>31.3</x:v>
      </x:c>
      <x:c r="K467" s="130" t="n">
        <x:v>36</x:v>
      </x:c>
      <x:c r="L467" s="124"/>
      <x:c r="M467" s="124"/>
      <x:c r="N467" s="124" t="n">
        <x:v>67.3</x:v>
      </x:c>
      <x:c r="O467" s="69" t="str"/>
    </x:row>
    <x:row r="468" ht="21" customHeight="1">
      <x:c r="A468" s="100" t="n">
        <x:v>464</x:v>
      </x:c>
      <x:c r="B468" s="172" t="n">
        <x:v>95211006168</x:v>
      </x:c>
      <x:c r="C468" s="68" t="str">
        <x:v>DANH CHÍ HÀO</x:v>
      </x:c>
      <x:c r="D468" s="106" t="str"/>
      <x:c r="E468" s="118" t="n">
        <x:v>40888</x:v>
      </x:c>
      <x:c r="F468" s="106" t="str">
        <x:v>Khmer</x:v>
      </x:c>
      <x:c r="G468" s="68" t="str">
        <x:v>Xã Ninh Thạnh Lợi</x:v>
      </x:c>
      <x:c r="H468" s="68" t="str">
        <x:v>THCS Phước Long</x:v>
      </x:c>
      <x:c r="I468" s="68" t="str">
        <x:v>Xã Vĩnh Phước</x:v>
      </x:c>
      <x:c r="J468" s="124" t="n">
        <x:v>30.3</x:v>
      </x:c>
      <x:c r="K468" s="130" t="n">
        <x:v>36</x:v>
      </x:c>
      <x:c r="L468" s="124" t="n">
        <x:v>1</x:v>
      </x:c>
      <x:c r="M468" s="124"/>
      <x:c r="N468" s="124" t="n">
        <x:v>67.3</x:v>
      </x:c>
      <x:c r="O468" s="69" t="str"/>
    </x:row>
    <x:row r="469" ht="21" customHeight="1">
      <x:c r="A469" s="100" t="n">
        <x:v>465</x:v>
      </x:c>
      <x:c r="B469" s="172" t="n">
        <x:v>95311002094</x:v>
      </x:c>
      <x:c r="C469" s="68" t="str">
        <x:v>PHẠM KIM NGỌC</x:v>
      </x:c>
      <x:c r="D469" s="106" t="str">
        <x:v>X</x:v>
      </x:c>
      <x:c r="E469" s="118" t="n">
        <x:v>40609</x:v>
      </x:c>
      <x:c r="F469" s="106" t="str">
        <x:v>Kinh</x:v>
      </x:c>
      <x:c r="G469" s="68" t="str">
        <x:v>Xã Phước Long</x:v>
      </x:c>
      <x:c r="H469" s="68" t="str">
        <x:v>THCS Vương Hữu Nhơn</x:v>
      </x:c>
      <x:c r="I469" s="68" t="str">
        <x:v>Xã Phước Long</x:v>
      </x:c>
      <x:c r="J469" s="124" t="n">
        <x:v>31.3</x:v>
      </x:c>
      <x:c r="K469" s="130" t="n">
        <x:v>36</x:v>
      </x:c>
      <x:c r="L469" s="124"/>
      <x:c r="M469" s="124"/>
      <x:c r="N469" s="124" t="n">
        <x:v>67.3</x:v>
      </x:c>
      <x:c r="O469" s="69" t="str"/>
    </x:row>
    <x:row r="470" ht="21" customHeight="1">
      <x:c r="A470" s="100" t="n">
        <x:v>466</x:v>
      </x:c>
      <x:c r="B470" s="172" t="n">
        <x:v>95211005991</x:v>
      </x:c>
      <x:c r="C470" s="68" t="str">
        <x:v>DƯƠNG MINH KHANG</x:v>
      </x:c>
      <x:c r="D470" s="106" t="str"/>
      <x:c r="E470" s="118" t="n">
        <x:v>40865</x:v>
      </x:c>
      <x:c r="F470" s="106" t="str">
        <x:v>Kinh</x:v>
      </x:c>
      <x:c r="G470" s="68" t="str">
        <x:v>Xã Phước Long</x:v>
      </x:c>
      <x:c r="H470" s="68" t="str">
        <x:v>THCS Phước Long</x:v>
      </x:c>
      <x:c r="I470" s="68" t="str">
        <x:v>Xã Phước Long</x:v>
      </x:c>
      <x:c r="J470" s="124" t="n">
        <x:v>31.2</x:v>
      </x:c>
      <x:c r="K470" s="130" t="n">
        <x:v>36</x:v>
      </x:c>
      <x:c r="L470" s="124"/>
      <x:c r="M470" s="124"/>
      <x:c r="N470" s="124" t="n">
        <x:v>67.2</x:v>
      </x:c>
      <x:c r="O470" s="69" t="str"/>
    </x:row>
    <x:row r="471" ht="21" customHeight="1">
      <x:c r="A471" s="100" t="n">
        <x:v>467</x:v>
      </x:c>
      <x:c r="B471" s="172" t="n">
        <x:v>95311001086</x:v>
      </x:c>
      <x:c r="C471" s="68" t="str">
        <x:v>NGUYỄN THỊ KIM NHỚ</x:v>
      </x:c>
      <x:c r="D471" s="106" t="str">
        <x:v>X</x:v>
      </x:c>
      <x:c r="E471" s="118" t="n">
        <x:v>40834</x:v>
      </x:c>
      <x:c r="F471" s="106" t="str">
        <x:v>Kinh</x:v>
      </x:c>
      <x:c r="G471" s="68" t="str">
        <x:v>Xã Phước Long</x:v>
      </x:c>
      <x:c r="H471" s="68" t="str">
        <x:v>THCS Phước Long</x:v>
      </x:c>
      <x:c r="I471" s="68" t="str">
        <x:v>Xã Phước Long</x:v>
      </x:c>
      <x:c r="J471" s="124" t="n">
        <x:v>31.2</x:v>
      </x:c>
      <x:c r="K471" s="130" t="n">
        <x:v>36</x:v>
      </x:c>
      <x:c r="L471" s="124"/>
      <x:c r="M471" s="124"/>
      <x:c r="N471" s="124" t="n">
        <x:v>67.2</x:v>
      </x:c>
      <x:c r="O471" s="69" t="str"/>
    </x:row>
    <x:row r="472" ht="21" customHeight="1">
      <x:c r="A472" s="100" t="n">
        <x:v>468</x:v>
      </x:c>
      <x:c r="B472" s="172" t="n">
        <x:v>95211008610</x:v>
      </x:c>
      <x:c r="C472" s="68" t="str">
        <x:v>NGUYỄN VĂN BIÊN</x:v>
      </x:c>
      <x:c r="D472" s="106" t="str"/>
      <x:c r="E472" s="118" t="n">
        <x:v>40642</x:v>
      </x:c>
      <x:c r="F472" s="106" t="str">
        <x:v>Kinh</x:v>
      </x:c>
      <x:c r="G472" s="68" t="str">
        <x:v>Xã Vĩnh Phước</x:v>
      </x:c>
      <x:c r="H472" s="68" t="str">
        <x:v>THCS Vĩnh Phú Tây</x:v>
      </x:c>
      <x:c r="I472" s="68" t="str">
        <x:v>Xã Vĩnh Phước</x:v>
      </x:c>
      <x:c r="J472" s="124" t="n">
        <x:v>31.2</x:v>
      </x:c>
      <x:c r="K472" s="130" t="n">
        <x:v>36</x:v>
      </x:c>
      <x:c r="L472" s="124"/>
      <x:c r="M472" s="124"/>
      <x:c r="N472" s="124" t="n">
        <x:v>67.2</x:v>
      </x:c>
      <x:c r="O472" s="69" t="str"/>
    </x:row>
    <x:row r="473" ht="21" customHeight="1">
      <x:c r="A473" s="100" t="n">
        <x:v>469</x:v>
      </x:c>
      <x:c r="B473" s="172" t="n">
        <x:v>95211010024</x:v>
      </x:c>
      <x:c r="C473" s="68" t="str">
        <x:v>LÊ QUỐC VINH</x:v>
      </x:c>
      <x:c r="D473" s="106" t="str"/>
      <x:c r="E473" s="118" t="n">
        <x:v>40650</x:v>
      </x:c>
      <x:c r="F473" s="106" t="str">
        <x:v>Kinh</x:v>
      </x:c>
      <x:c r="G473" s="68" t="str">
        <x:v>Xã Vĩnh Thanh</x:v>
      </x:c>
      <x:c r="H473" s="68" t="str">
        <x:v>THCS Hưng Phú</x:v>
      </x:c>
      <x:c r="I473" s="68" t="str">
        <x:v>Xã Vĩnh Thanh</x:v>
      </x:c>
      <x:c r="J473" s="124" t="n">
        <x:v>31.2</x:v>
      </x:c>
      <x:c r="K473" s="130" t="n">
        <x:v>36</x:v>
      </x:c>
      <x:c r="L473" s="124"/>
      <x:c r="M473" s="124"/>
      <x:c r="N473" s="124" t="n">
        <x:v>67.2</x:v>
      </x:c>
      <x:c r="O473" s="69" t="str"/>
    </x:row>
    <x:row r="474" ht="21" customHeight="1">
      <x:c r="A474" s="100" t="n">
        <x:v>470</x:v>
      </x:c>
      <x:c r="B474" s="172" t="n">
        <x:v>95311006110</x:v>
      </x:c>
      <x:c r="C474" s="68" t="str">
        <x:v>LÊ BẢO NGỌC</x:v>
      </x:c>
      <x:c r="D474" s="106" t="str">
        <x:v>X</x:v>
      </x:c>
      <x:c r="E474" s="118" t="n">
        <x:v>40768</x:v>
      </x:c>
      <x:c r="F474" s="106" t="str">
        <x:v>Kinh</x:v>
      </x:c>
      <x:c r="G474" s="68" t="str">
        <x:v>Xã Vĩnh Thanh</x:v>
      </x:c>
      <x:c r="H474" s="68" t="str">
        <x:v>THCS Vĩnh Thanh</x:v>
      </x:c>
      <x:c r="I474" s="68" t="str">
        <x:v>Xã Vĩnh Thanh</x:v>
      </x:c>
      <x:c r="J474" s="124" t="n">
        <x:v>31.2</x:v>
      </x:c>
      <x:c r="K474" s="130" t="n">
        <x:v>36</x:v>
      </x:c>
      <x:c r="L474" s="124"/>
      <x:c r="M474" s="124"/>
      <x:c r="N474" s="124" t="n">
        <x:v>67.2</x:v>
      </x:c>
      <x:c r="O474" s="69" t="str"/>
    </x:row>
    <x:row r="475" ht="21" customHeight="1">
      <x:c r="A475" s="100" t="n">
        <x:v>471</x:v>
      </x:c>
      <x:c r="B475" s="172" t="n">
        <x:v>95211000453</x:v>
      </x:c>
      <x:c r="C475" s="68" t="str">
        <x:v>NGUYỄN LÊ MẠNH</x:v>
      </x:c>
      <x:c r="D475" s="106" t="str"/>
      <x:c r="E475" s="118" t="n">
        <x:v>40809</x:v>
      </x:c>
      <x:c r="F475" s="106" t="str">
        <x:v>Kinh</x:v>
      </x:c>
      <x:c r="G475" s="68" t="str">
        <x:v>Xã Hồng Dân</x:v>
      </x:c>
      <x:c r="H475" s="68" t="str">
        <x:v>THCS Trương Vĩnh Ký</x:v>
      </x:c>
      <x:c r="I475" s="68" t="str">
        <x:v>Xã Hồng Dân</x:v>
      </x:c>
      <x:c r="J475" s="124" t="n">
        <x:v>31.2</x:v>
      </x:c>
      <x:c r="K475" s="130" t="n">
        <x:v>36</x:v>
      </x:c>
      <x:c r="L475" s="124"/>
      <x:c r="M475" s="124"/>
      <x:c r="N475" s="124" t="n">
        <x:v>67.2</x:v>
      </x:c>
      <x:c r="O475" s="69" t="str"/>
    </x:row>
    <x:row r="476" ht="21" customHeight="1">
      <x:c r="A476" s="100" t="n">
        <x:v>472</x:v>
      </x:c>
      <x:c r="B476" s="172" t="n">
        <x:v>95311000230</x:v>
      </x:c>
      <x:c r="C476" s="68" t="str">
        <x:v>TRẦN THỊ HUỲNH NHƯ</x:v>
      </x:c>
      <x:c r="D476" s="106" t="str">
        <x:v>X</x:v>
      </x:c>
      <x:c r="E476" s="118" t="n">
        <x:v>40662</x:v>
      </x:c>
      <x:c r="F476" s="106" t="str">
        <x:v>Kinh</x:v>
      </x:c>
      <x:c r="G476" s="68" t="str">
        <x:v>Xã Phước Long</x:v>
      </x:c>
      <x:c r="H476" s="68" t="str">
        <x:v>THCS Vương Hữu Nhơn</x:v>
      </x:c>
      <x:c r="I476" s="68" t="str">
        <x:v>Xã Phước Long</x:v>
      </x:c>
      <x:c r="J476" s="124" t="n">
        <x:v>31.2</x:v>
      </x:c>
      <x:c r="K476" s="130" t="n">
        <x:v>36</x:v>
      </x:c>
      <x:c r="L476" s="124"/>
      <x:c r="M476" s="124"/>
      <x:c r="N476" s="124" t="n">
        <x:v>67.2</x:v>
      </x:c>
      <x:c r="O476" s="69" t="str"/>
    </x:row>
    <x:row r="477" ht="21" customHeight="1">
      <x:c r="A477" s="100" t="n">
        <x:v>473</x:v>
      </x:c>
      <x:c r="B477" s="172" t="n">
        <x:v>95211002148</x:v>
      </x:c>
      <x:c r="C477" s="68" t="str">
        <x:v>NGUYỄN VIỆT BẮC</x:v>
      </x:c>
      <x:c r="D477" s="106" t="str"/>
      <x:c r="E477" s="118" t="n">
        <x:v>40704</x:v>
      </x:c>
      <x:c r="F477" s="106" t="str">
        <x:v>Kinh</x:v>
      </x:c>
      <x:c r="G477" s="68" t="str">
        <x:v>Xã Phước Long</x:v>
      </x:c>
      <x:c r="H477" s="68" t="str">
        <x:v>THCS Vương Hữu Nhơn</x:v>
      </x:c>
      <x:c r="I477" s="68" t="str">
        <x:v>Xã Phước Long</x:v>
      </x:c>
      <x:c r="J477" s="124" t="n">
        <x:v>31.2</x:v>
      </x:c>
      <x:c r="K477" s="130" t="n">
        <x:v>36</x:v>
      </x:c>
      <x:c r="L477" s="124"/>
      <x:c r="M477" s="124"/>
      <x:c r="N477" s="124" t="n">
        <x:v>67.2</x:v>
      </x:c>
      <x:c r="O477" s="69" t="str"/>
    </x:row>
    <x:row r="478" ht="21" customHeight="1">
      <x:c r="A478" s="100" t="n">
        <x:v>474</x:v>
      </x:c>
      <x:c r="B478" s="172" t="n">
        <x:v>95211007742</x:v>
      </x:c>
      <x:c r="C478" s="68" t="str">
        <x:v>HUỲNH MINH TRÍ</x:v>
      </x:c>
      <x:c r="D478" s="106" t="str"/>
      <x:c r="E478" s="118" t="n">
        <x:v>40822</x:v>
      </x:c>
      <x:c r="F478" s="106" t="str">
        <x:v>Kinh</x:v>
      </x:c>
      <x:c r="G478" s="68" t="str">
        <x:v>Xã Vĩnh Phước</x:v>
      </x:c>
      <x:c r="H478" s="68" t="str">
        <x:v>THCS Vĩnh Phú Tây</x:v>
      </x:c>
      <x:c r="I478" s="68" t="str">
        <x:v>Xã Vĩnh Phước</x:v>
      </x:c>
      <x:c r="J478" s="124" t="n">
        <x:v>31.1</x:v>
      </x:c>
      <x:c r="K478" s="130" t="n">
        <x:v>36</x:v>
      </x:c>
      <x:c r="L478" s="124"/>
      <x:c r="M478" s="124"/>
      <x:c r="N478" s="124" t="n">
        <x:v>67.1</x:v>
      </x:c>
      <x:c r="O478" s="69" t="str"/>
    </x:row>
    <x:row r="479" ht="21" customHeight="1">
      <x:c r="A479" s="100" t="n">
        <x:v>475</x:v>
      </x:c>
      <x:c r="B479" s="172" t="n">
        <x:v>95311003585</x:v>
      </x:c>
      <x:c r="C479" s="68" t="str">
        <x:v>PHẠM THÚY NHU</x:v>
      </x:c>
      <x:c r="D479" s="106" t="str">
        <x:v>X</x:v>
      </x:c>
      <x:c r="E479" s="118" t="n">
        <x:v>40847</x:v>
      </x:c>
      <x:c r="F479" s="106" t="str">
        <x:v>Kinh</x:v>
      </x:c>
      <x:c r="G479" s="68" t="str">
        <x:v>Xã Vĩnh Thanh</x:v>
      </x:c>
      <x:c r="H479" s="68" t="str">
        <x:v>THCS Hưng Phú</x:v>
      </x:c>
      <x:c r="I479" s="68" t="str">
        <x:v>Xã Vĩnh Thanh</x:v>
      </x:c>
      <x:c r="J479" s="124" t="n">
        <x:v>30.1</x:v>
      </x:c>
      <x:c r="K479" s="130" t="n">
        <x:v>37</x:v>
      </x:c>
      <x:c r="L479" s="124"/>
      <x:c r="M479" s="124"/>
      <x:c r="N479" s="124" t="n">
        <x:v>67.1</x:v>
      </x:c>
      <x:c r="O479" s="69" t="str"/>
    </x:row>
    <x:row r="480" ht="21" customHeight="1">
      <x:c r="A480" s="100" t="n">
        <x:v>476</x:v>
      </x:c>
      <x:c r="B480" s="172" t="n">
        <x:v>95211005999</x:v>
      </x:c>
      <x:c r="C480" s="68" t="str">
        <x:v>NGÔ TIỂU LONG</x:v>
      </x:c>
      <x:c r="D480" s="106" t="str"/>
      <x:c r="E480" s="118" t="n">
        <x:v>40616</x:v>
      </x:c>
      <x:c r="F480" s="106" t="str">
        <x:v>Kinh</x:v>
      </x:c>
      <x:c r="G480" s="68" t="str">
        <x:v>Xã Vĩnh Thanh</x:v>
      </x:c>
      <x:c r="H480" s="68" t="str">
        <x:v>THCS Phong Thạnh Đông</x:v>
      </x:c>
      <x:c r="I480" s="68" t="str">
        <x:v>Phường Láng Tròn</x:v>
      </x:c>
      <x:c r="J480" s="124" t="n">
        <x:v>31.1</x:v>
      </x:c>
      <x:c r="K480" s="130" t="n">
        <x:v>36</x:v>
      </x:c>
      <x:c r="L480" s="124"/>
      <x:c r="M480" s="124"/>
      <x:c r="N480" s="124" t="n">
        <x:v>67.1</x:v>
      </x:c>
      <x:c r="O480" s="69" t="str"/>
    </x:row>
    <x:row r="481" ht="21" customHeight="1">
      <x:c r="A481" s="100" t="n">
        <x:v>477</x:v>
      </x:c>
      <x:c r="B481" s="172" t="n">
        <x:v>79311048100</x:v>
      </x:c>
      <x:c r="C481" s="68" t="str">
        <x:v>PHAN NGUYỄN ANH VY</x:v>
      </x:c>
      <x:c r="D481" s="106" t="str">
        <x:v>X</x:v>
      </x:c>
      <x:c r="E481" s="118" t="n">
        <x:v>40547</x:v>
      </x:c>
      <x:c r="F481" s="106" t="str">
        <x:v>Kinh</x:v>
      </x:c>
      <x:c r="G481" s="68" t="str">
        <x:v>Xã Phước Long</x:v>
      </x:c>
      <x:c r="H481" s="68" t="str">
        <x:v>THCS Phước Long</x:v>
      </x:c>
      <x:c r="I481" s="68" t="str">
        <x:v>Xã Phước Long</x:v>
      </x:c>
      <x:c r="J481" s="124" t="n">
        <x:v>29.4</x:v>
      </x:c>
      <x:c r="K481" s="130" t="n">
        <x:v>36</x:v>
      </x:c>
      <x:c r="L481" s="124"/>
      <x:c r="M481" s="124" t="n">
        <x:v>1.5</x:v>
      </x:c>
      <x:c r="N481" s="124" t="n">
        <x:v>66.9</x:v>
      </x:c>
      <x:c r="O481" s="69" t="str"/>
    </x:row>
    <x:row r="482" ht="21" customHeight="1">
      <x:c r="A482" s="100" t="n">
        <x:v>478</x:v>
      </x:c>
      <x:c r="B482" s="172" t="n">
        <x:v>95211010007</x:v>
      </x:c>
      <x:c r="C482" s="68" t="str">
        <x:v>TRẦN VĂN KHANG</x:v>
      </x:c>
      <x:c r="D482" s="106" t="str"/>
      <x:c r="E482" s="118" t="n">
        <x:v>40589</x:v>
      </x:c>
      <x:c r="F482" s="106" t="str">
        <x:v>Kinh</x:v>
      </x:c>
      <x:c r="G482" s="68" t="str">
        <x:v>Xã Vĩnh Phước</x:v>
      </x:c>
      <x:c r="H482" s="68" t="str">
        <x:v>THCS Phước Long</x:v>
      </x:c>
      <x:c r="I482" s="68" t="str">
        <x:v>Xã Vĩnh Phước</x:v>
      </x:c>
      <x:c r="J482" s="124" t="n">
        <x:v>31.9</x:v>
      </x:c>
      <x:c r="K482" s="130" t="n">
        <x:v>34</x:v>
      </x:c>
      <x:c r="L482" s="124" t="n">
        <x:v>1</x:v>
      </x:c>
      <x:c r="M482" s="124"/>
      <x:c r="N482" s="124" t="n">
        <x:v>66.9</x:v>
      </x:c>
      <x:c r="O482" s="69" t="str"/>
    </x:row>
    <x:row r="483" ht="21" customHeight="1">
      <x:c r="A483" s="100" t="n">
        <x:v>479</x:v>
      </x:c>
      <x:c r="B483" s="172" t="n">
        <x:v>95211006587</x:v>
      </x:c>
      <x:c r="C483" s="68" t="str">
        <x:v>ĐOÀN GIA HẠO</x:v>
      </x:c>
      <x:c r="D483" s="106" t="str"/>
      <x:c r="E483" s="118" t="n">
        <x:v>40615</x:v>
      </x:c>
      <x:c r="F483" s="106" t="str">
        <x:v>Kinh</x:v>
      </x:c>
      <x:c r="G483" s="68" t="str">
        <x:v>Xã Phước Long</x:v>
      </x:c>
      <x:c r="H483" s="68" t="str">
        <x:v>THCS Vương Hữu Nhơn</x:v>
      </x:c>
      <x:c r="I483" s="68" t="str">
        <x:v>Xã Phước Long</x:v>
      </x:c>
      <x:c r="J483" s="124" t="n">
        <x:v>30.9</x:v>
      </x:c>
      <x:c r="K483" s="130" t="n">
        <x:v>36</x:v>
      </x:c>
      <x:c r="L483" s="124"/>
      <x:c r="M483" s="124"/>
      <x:c r="N483" s="124" t="n">
        <x:v>66.9</x:v>
      </x:c>
      <x:c r="O483" s="69" t="str"/>
    </x:row>
    <x:row r="484" ht="21" customHeight="1">
      <x:c r="A484" s="100" t="n">
        <x:v>480</x:v>
      </x:c>
      <x:c r="B484" s="172" t="n">
        <x:v>95311004396</x:v>
      </x:c>
      <x:c r="C484" s="68" t="str">
        <x:v>HOÀNG THỊ BĂNG BĂNG</x:v>
      </x:c>
      <x:c r="D484" s="106" t="str">
        <x:v>X</x:v>
      </x:c>
      <x:c r="E484" s="118" t="n">
        <x:v>40838</x:v>
      </x:c>
      <x:c r="F484" s="106" t="str">
        <x:v>Kinh</x:v>
      </x:c>
      <x:c r="G484" s="68" t="str">
        <x:v>Xã Phước Long</x:v>
      </x:c>
      <x:c r="H484" s="68" t="str">
        <x:v>THCS Vương Hữu Nhơn</x:v>
      </x:c>
      <x:c r="I484" s="68" t="str">
        <x:v>Xã Phước Long</x:v>
      </x:c>
      <x:c r="J484" s="124" t="n">
        <x:v>30.9</x:v>
      </x:c>
      <x:c r="K484" s="130" t="n">
        <x:v>36</x:v>
      </x:c>
      <x:c r="L484" s="124"/>
      <x:c r="M484" s="124"/>
      <x:c r="N484" s="124" t="n">
        <x:v>66.9</x:v>
      </x:c>
      <x:c r="O484" s="69" t="str"/>
    </x:row>
    <x:row r="485" ht="21" customHeight="1">
      <x:c r="A485" s="100" t="n">
        <x:v>481</x:v>
      </x:c>
      <x:c r="B485" s="172" t="n">
        <x:v>95211007833</x:v>
      </x:c>
      <x:c r="C485" s="68" t="str">
        <x:v>TRƯƠNG CHÁN MINH</x:v>
      </x:c>
      <x:c r="D485" s="106" t="str"/>
      <x:c r="E485" s="118" t="n">
        <x:v>40880</x:v>
      </x:c>
      <x:c r="F485" s="106" t="str">
        <x:v>Kinh</x:v>
      </x:c>
      <x:c r="G485" s="68" t="str">
        <x:v>Xã Phước Long</x:v>
      </x:c>
      <x:c r="H485" s="68" t="str">
        <x:v>THCS Phước Long</x:v>
      </x:c>
      <x:c r="I485" s="68" t="str">
        <x:v>Xã Phước Long</x:v>
      </x:c>
      <x:c r="J485" s="124" t="n">
        <x:v>30.8</x:v>
      </x:c>
      <x:c r="K485" s="130" t="n">
        <x:v>36</x:v>
      </x:c>
      <x:c r="L485" s="124"/>
      <x:c r="M485" s="124"/>
      <x:c r="N485" s="124" t="n">
        <x:v>66.8</x:v>
      </x:c>
      <x:c r="O485" s="69" t="str"/>
    </x:row>
    <x:row r="486" ht="21" customHeight="1">
      <x:c r="A486" s="100" t="n">
        <x:v>482</x:v>
      </x:c>
      <x:c r="B486" s="172" t="n">
        <x:v>95211004187</x:v>
      </x:c>
      <x:c r="C486" s="68" t="str">
        <x:v>MAI CHÍ TÍNH</x:v>
      </x:c>
      <x:c r="D486" s="106" t="str"/>
      <x:c r="E486" s="118" t="n">
        <x:v>40743</x:v>
      </x:c>
      <x:c r="F486" s="106" t="str">
        <x:v>Kinh</x:v>
      </x:c>
      <x:c r="G486" s="68" t="str">
        <x:v>Xã Vĩnh Phước</x:v>
      </x:c>
      <x:c r="H486" s="68" t="str">
        <x:v>THCS Phước Long</x:v>
      </x:c>
      <x:c r="I486" s="68" t="str">
        <x:v>Xã Phước Long</x:v>
      </x:c>
      <x:c r="J486" s="124" t="n">
        <x:v>30.8</x:v>
      </x:c>
      <x:c r="K486" s="130" t="n">
        <x:v>36</x:v>
      </x:c>
      <x:c r="L486" s="124"/>
      <x:c r="M486" s="124"/>
      <x:c r="N486" s="124" t="n">
        <x:v>66.8</x:v>
      </x:c>
      <x:c r="O486" s="69" t="str"/>
    </x:row>
    <x:row r="487" ht="21" customHeight="1">
      <x:c r="A487" s="100" t="n">
        <x:v>483</x:v>
      </x:c>
      <x:c r="B487" s="172" t="n">
        <x:v>95311001788</x:v>
      </x:c>
      <x:c r="C487" s="68" t="str">
        <x:v>TRANG KIM HUỒI</x:v>
      </x:c>
      <x:c r="D487" s="106" t="str">
        <x:v>X</x:v>
      </x:c>
      <x:c r="E487" s="118" t="n">
        <x:v>40549</x:v>
      </x:c>
      <x:c r="F487" s="106" t="str">
        <x:v>Kinh</x:v>
      </x:c>
      <x:c r="G487" s="68" t="str">
        <x:v>Xã Phước Long</x:v>
      </x:c>
      <x:c r="H487" s="68" t="str">
        <x:v>THCS Phước Long</x:v>
      </x:c>
      <x:c r="I487" s="68" t="str">
        <x:v>Xã Phước Long</x:v>
      </x:c>
      <x:c r="J487" s="124" t="n">
        <x:v>30.8</x:v>
      </x:c>
      <x:c r="K487" s="130" t="n">
        <x:v>36</x:v>
      </x:c>
      <x:c r="L487" s="124"/>
      <x:c r="M487" s="124"/>
      <x:c r="N487" s="124" t="n">
        <x:v>66.8</x:v>
      </x:c>
      <x:c r="O487" s="69" t="str"/>
    </x:row>
    <x:row r="488" ht="21" customHeight="1">
      <x:c r="A488" s="100" t="n">
        <x:v>484</x:v>
      </x:c>
      <x:c r="B488" s="172" t="n">
        <x:v>95311007633</x:v>
      </x:c>
      <x:c r="C488" s="68" t="str">
        <x:v>TÔ NGỌC BỘI</x:v>
      </x:c>
      <x:c r="D488" s="106" t="str">
        <x:v>X</x:v>
      </x:c>
      <x:c r="E488" s="118" t="n">
        <x:v>40586</x:v>
      </x:c>
      <x:c r="F488" s="106" t="str">
        <x:v>Kinh</x:v>
      </x:c>
      <x:c r="G488" s="68" t="str">
        <x:v>Xã Phước Long</x:v>
      </x:c>
      <x:c r="H488" s="68" t="str">
        <x:v>THCS Phước Long</x:v>
      </x:c>
      <x:c r="I488" s="68" t="str">
        <x:v>Xã Phước Long</x:v>
      </x:c>
      <x:c r="J488" s="124" t="n">
        <x:v>30.8</x:v>
      </x:c>
      <x:c r="K488" s="130" t="n">
        <x:v>36</x:v>
      </x:c>
      <x:c r="L488" s="124"/>
      <x:c r="M488" s="124"/>
      <x:c r="N488" s="124" t="n">
        <x:v>66.8</x:v>
      </x:c>
      <x:c r="O488" s="69" t="str"/>
    </x:row>
    <x:row r="489" ht="21" customHeight="1">
      <x:c r="A489" s="100" t="n">
        <x:v>485</x:v>
      </x:c>
      <x:c r="B489" s="172" t="n">
        <x:v>95311006108</x:v>
      </x:c>
      <x:c r="C489" s="68" t="str">
        <x:v>NGUYỄN THỊ CẨM VY</x:v>
      </x:c>
      <x:c r="D489" s="106" t="str">
        <x:v>X</x:v>
      </x:c>
      <x:c r="E489" s="118" t="n">
        <x:v>40642</x:v>
      </x:c>
      <x:c r="F489" s="106" t="str">
        <x:v>Kinh</x:v>
      </x:c>
      <x:c r="G489" s="68" t="str">
        <x:v>Xã Vĩnh Phước</x:v>
      </x:c>
      <x:c r="H489" s="68" t="str">
        <x:v>THCS Phước Long</x:v>
      </x:c>
      <x:c r="I489" s="68" t="str">
        <x:v>Xã Phước Long</x:v>
      </x:c>
      <x:c r="J489" s="124" t="n">
        <x:v>30.8</x:v>
      </x:c>
      <x:c r="K489" s="130" t="n">
        <x:v>36</x:v>
      </x:c>
      <x:c r="L489" s="124"/>
      <x:c r="M489" s="124"/>
      <x:c r="N489" s="124" t="n">
        <x:v>66.8</x:v>
      </x:c>
      <x:c r="O489" s="69" t="str"/>
    </x:row>
    <x:row r="490" ht="21" customHeight="1">
      <x:c r="A490" s="100" t="n">
        <x:v>486</x:v>
      </x:c>
      <x:c r="B490" s="172" t="n">
        <x:v>95211003301</x:v>
      </x:c>
      <x:c r="C490" s="68" t="str">
        <x:v>LÊ CHÍ THÀNH</x:v>
      </x:c>
      <x:c r="D490" s="106" t="str"/>
      <x:c r="E490" s="118" t="n">
        <x:v>40810</x:v>
      </x:c>
      <x:c r="F490" s="106" t="str">
        <x:v>Kinh</x:v>
      </x:c>
      <x:c r="G490" s="68" t="str">
        <x:v>Xã Phước Long</x:v>
      </x:c>
      <x:c r="H490" s="68" t="str">
        <x:v>THCS Phước Long</x:v>
      </x:c>
      <x:c r="I490" s="68" t="str">
        <x:v>Xã Phước Long</x:v>
      </x:c>
      <x:c r="J490" s="124" t="n">
        <x:v>30.8</x:v>
      </x:c>
      <x:c r="K490" s="130" t="n">
        <x:v>36</x:v>
      </x:c>
      <x:c r="L490" s="124"/>
      <x:c r="M490" s="124"/>
      <x:c r="N490" s="124" t="n">
        <x:v>66.8</x:v>
      </x:c>
      <x:c r="O490" s="69" t="str"/>
    </x:row>
    <x:row r="491" ht="21" customHeight="1">
      <x:c r="A491" s="100" t="n">
        <x:v>487</x:v>
      </x:c>
      <x:c r="B491" s="172" t="n">
        <x:v>95210005729</x:v>
      </x:c>
      <x:c r="C491" s="68" t="str">
        <x:v>PHẠM CHÍ HÀO</x:v>
      </x:c>
      <x:c r="D491" s="106" t="str"/>
      <x:c r="E491" s="118" t="n">
        <x:v>40437</x:v>
      </x:c>
      <x:c r="F491" s="106" t="str">
        <x:v>Kinh</x:v>
      </x:c>
      <x:c r="G491" s="68" t="str">
        <x:v>Xã Phước Long</x:v>
      </x:c>
      <x:c r="H491" s="68" t="str">
        <x:v>THCS Hưng Phú</x:v>
      </x:c>
      <x:c r="I491" s="68" t="str">
        <x:v>Xã Vĩnh Thanh</x:v>
      </x:c>
      <x:c r="J491" s="124" t="n">
        <x:v>31.8</x:v>
      </x:c>
      <x:c r="K491" s="130" t="n">
        <x:v>35</x:v>
      </x:c>
      <x:c r="L491" s="124"/>
      <x:c r="M491" s="124"/>
      <x:c r="N491" s="124" t="n">
        <x:v>66.8</x:v>
      </x:c>
      <x:c r="O491" s="69" t="str"/>
    </x:row>
    <x:row r="492" ht="21" customHeight="1">
      <x:c r="A492" s="100" t="n">
        <x:v>488</x:v>
      </x:c>
      <x:c r="B492" s="172" t="n">
        <x:v>95311005909</x:v>
      </x:c>
      <x:c r="C492" s="68" t="str">
        <x:v>LÊ KIM ĐOAN</x:v>
      </x:c>
      <x:c r="D492" s="106" t="str">
        <x:v>X</x:v>
      </x:c>
      <x:c r="E492" s="118" t="n">
        <x:v>40845</x:v>
      </x:c>
      <x:c r="F492" s="106" t="str">
        <x:v>Kinh</x:v>
      </x:c>
      <x:c r="G492" s="68" t="str">
        <x:v>Xã Vĩnh Thanh</x:v>
      </x:c>
      <x:c r="H492" s="68" t="str">
        <x:v>THCS Hưng Phú</x:v>
      </x:c>
      <x:c r="I492" s="68" t="str">
        <x:v>Xã Vĩnh Thanh</x:v>
      </x:c>
      <x:c r="J492" s="124" t="n">
        <x:v>30.8</x:v>
      </x:c>
      <x:c r="K492" s="130" t="n">
        <x:v>36</x:v>
      </x:c>
      <x:c r="L492" s="124"/>
      <x:c r="M492" s="124"/>
      <x:c r="N492" s="124" t="n">
        <x:v>66.8</x:v>
      </x:c>
      <x:c r="O492" s="69" t="str"/>
    </x:row>
    <x:row r="493" ht="21" customHeight="1">
      <x:c r="A493" s="100" t="n">
        <x:v>489</x:v>
      </x:c>
      <x:c r="B493" s="172" t="n">
        <x:v>95311002280</x:v>
      </x:c>
      <x:c r="C493" s="68" t="str">
        <x:v>TRẦN NGỌC UYÊN</x:v>
      </x:c>
      <x:c r="D493" s="106" t="str">
        <x:v>X</x:v>
      </x:c>
      <x:c r="E493" s="118" t="n">
        <x:v>40819</x:v>
      </x:c>
      <x:c r="F493" s="106" t="str">
        <x:v>Kinh</x:v>
      </x:c>
      <x:c r="G493" s="68" t="str">
        <x:v>Xã Vĩnh Thanh</x:v>
      </x:c>
      <x:c r="H493" s="68" t="str">
        <x:v>THCS Hưng Phú</x:v>
      </x:c>
      <x:c r="I493" s="68" t="str">
        <x:v>Xã Vĩnh Thanh</x:v>
      </x:c>
      <x:c r="J493" s="124" t="n">
        <x:v>30.8</x:v>
      </x:c>
      <x:c r="K493" s="130" t="n">
        <x:v>36</x:v>
      </x:c>
      <x:c r="L493" s="124"/>
      <x:c r="M493" s="124"/>
      <x:c r="N493" s="124" t="n">
        <x:v>66.8</x:v>
      </x:c>
      <x:c r="O493" s="69" t="str"/>
    </x:row>
    <x:row r="494" ht="21" customHeight="1">
      <x:c r="A494" s="100" t="n">
        <x:v>490</x:v>
      </x:c>
      <x:c r="B494" s="172" t="n">
        <x:v>95311007530</x:v>
      </x:c>
      <x:c r="C494" s="68" t="str">
        <x:v>CHÂU THỊ NGỌC LÊNH</x:v>
      </x:c>
      <x:c r="D494" s="106" t="str">
        <x:v>X</x:v>
      </x:c>
      <x:c r="E494" s="118" t="n">
        <x:v>40596</x:v>
      </x:c>
      <x:c r="F494" s="106" t="str">
        <x:v>Kinh</x:v>
      </x:c>
      <x:c r="G494" s="68" t="str">
        <x:v>Xã Vĩnh Thanh</x:v>
      </x:c>
      <x:c r="H494" s="68" t="str">
        <x:v>THCS Hưng Phú</x:v>
      </x:c>
      <x:c r="I494" s="68" t="str">
        <x:v>Xã Vĩnh Thanh</x:v>
      </x:c>
      <x:c r="J494" s="124" t="n">
        <x:v>30.8</x:v>
      </x:c>
      <x:c r="K494" s="130" t="n">
        <x:v>36</x:v>
      </x:c>
      <x:c r="L494" s="124"/>
      <x:c r="M494" s="124"/>
      <x:c r="N494" s="124" t="n">
        <x:v>66.8</x:v>
      </x:c>
      <x:c r="O494" s="69" t="str"/>
    </x:row>
    <x:row r="495" ht="21" customHeight="1">
      <x:c r="A495" s="100" t="n">
        <x:v>491</x:v>
      </x:c>
      <x:c r="B495" s="172" t="n">
        <x:v>95111009267</x:v>
      </x:c>
      <x:c r="C495" s="68" t="str">
        <x:v>PHẠM YẾN NHI</x:v>
      </x:c>
      <x:c r="D495" s="106" t="str">
        <x:v>X</x:v>
      </x:c>
      <x:c r="E495" s="118" t="n">
        <x:v>40557</x:v>
      </x:c>
      <x:c r="F495" s="106" t="str">
        <x:v>Kinh</x:v>
      </x:c>
      <x:c r="G495" s="68" t="str">
        <x:v>Xã Vĩnh Thanh</x:v>
      </x:c>
      <x:c r="H495" s="68" t="str">
        <x:v>THCS Hưng Phú</x:v>
      </x:c>
      <x:c r="I495" s="68" t="str">
        <x:v>Xã Vĩnh Thanh</x:v>
      </x:c>
      <x:c r="J495" s="124" t="n">
        <x:v>30.8</x:v>
      </x:c>
      <x:c r="K495" s="130" t="n">
        <x:v>36</x:v>
      </x:c>
      <x:c r="L495" s="124"/>
      <x:c r="M495" s="124"/>
      <x:c r="N495" s="124" t="n">
        <x:v>66.8</x:v>
      </x:c>
      <x:c r="O495" s="69" t="str"/>
    </x:row>
    <x:row r="496" ht="21" customHeight="1">
      <x:c r="A496" s="100" t="n">
        <x:v>492</x:v>
      </x:c>
      <x:c r="B496" s="172" t="n">
        <x:v>95211007619</x:v>
      </x:c>
      <x:c r="C496" s="68" t="str">
        <x:v>TRẦN KHÁNH DUY</x:v>
      </x:c>
      <x:c r="D496" s="106" t="str"/>
      <x:c r="E496" s="118" t="n">
        <x:v>40845</x:v>
      </x:c>
      <x:c r="F496" s="106" t="str">
        <x:v>Kinh</x:v>
      </x:c>
      <x:c r="G496" s="68" t="str">
        <x:v>Xã Phước Long</x:v>
      </x:c>
      <x:c r="H496" s="68" t="str">
        <x:v>THCS Trương Vĩnh Ký</x:v>
      </x:c>
      <x:c r="I496" s="68" t="str">
        <x:v>Xã Hồng Dân</x:v>
      </x:c>
      <x:c r="J496" s="124" t="n">
        <x:v>30.8</x:v>
      </x:c>
      <x:c r="K496" s="130" t="n">
        <x:v>36</x:v>
      </x:c>
      <x:c r="L496" s="124"/>
      <x:c r="M496" s="124"/>
      <x:c r="N496" s="124" t="n">
        <x:v>66.8</x:v>
      </x:c>
      <x:c r="O496" s="69" t="str"/>
    </x:row>
    <x:row r="497" ht="21" customHeight="1">
      <x:c r="A497" s="100" t="n">
        <x:v>493</x:v>
      </x:c>
      <x:c r="B497" s="172" t="n">
        <x:v>95211007974</x:v>
      </x:c>
      <x:c r="C497" s="68" t="str">
        <x:v>LÊ HUY HOÀNG</x:v>
      </x:c>
      <x:c r="D497" s="106" t="str"/>
      <x:c r="E497" s="118" t="n">
        <x:v>40566</x:v>
      </x:c>
      <x:c r="F497" s="106" t="str">
        <x:v>Khmer</x:v>
      </x:c>
      <x:c r="G497" s="68" t="str">
        <x:v>Xã Phước Long</x:v>
      </x:c>
      <x:c r="H497" s="68" t="str">
        <x:v>THCS Vương Hữu Nhơn</x:v>
      </x:c>
      <x:c r="I497" s="68" t="str">
        <x:v>Xã Phước Long</x:v>
      </x:c>
      <x:c r="J497" s="124" t="n">
        <x:v>29.8</x:v>
      </x:c>
      <x:c r="K497" s="130" t="n">
        <x:v>36</x:v>
      </x:c>
      <x:c r="L497" s="124" t="n">
        <x:v>1</x:v>
      </x:c>
      <x:c r="M497" s="124"/>
      <x:c r="N497" s="124" t="n">
        <x:v>66.8</x:v>
      </x:c>
      <x:c r="O497" s="69" t="str"/>
    </x:row>
    <x:row r="498" ht="21" customHeight="1">
      <x:c r="A498" s="100" t="n">
        <x:v>494</x:v>
      </x:c>
      <x:c r="B498" s="172" t="n">
        <x:v>95311004590</x:v>
      </x:c>
      <x:c r="C498" s="68" t="str">
        <x:v>QUÁCH KIỀU TRANG</x:v>
      </x:c>
      <x:c r="D498" s="106" t="str">
        <x:v>X</x:v>
      </x:c>
      <x:c r="E498" s="118" t="n">
        <x:v>40807</x:v>
      </x:c>
      <x:c r="F498" s="106" t="str">
        <x:v>Kinh</x:v>
      </x:c>
      <x:c r="G498" s="68" t="str">
        <x:v>Xã Vĩnh Phước</x:v>
      </x:c>
      <x:c r="H498" s="68" t="str">
        <x:v>THCS Phước Long</x:v>
      </x:c>
      <x:c r="I498" s="68" t="str">
        <x:v>Xã Phước Long</x:v>
      </x:c>
      <x:c r="J498" s="124" t="n">
        <x:v>29.7</x:v>
      </x:c>
      <x:c r="K498" s="130" t="n">
        <x:v>36</x:v>
      </x:c>
      <x:c r="L498" s="124" t="n">
        <x:v>1</x:v>
      </x:c>
      <x:c r="M498" s="124"/>
      <x:c r="N498" s="124" t="n">
        <x:v>66.7</x:v>
      </x:c>
      <x:c r="O498" s="69" t="str"/>
    </x:row>
    <x:row r="499" ht="21" customHeight="1">
      <x:c r="A499" s="100" t="n">
        <x:v>495</x:v>
      </x:c>
      <x:c r="B499" s="172" t="n">
        <x:v>95311008369</x:v>
      </x:c>
      <x:c r="C499" s="68" t="str">
        <x:v>VĂN TRẦN THẢO ANH</x:v>
      </x:c>
      <x:c r="D499" s="106" t="str">
        <x:v>X</x:v>
      </x:c>
      <x:c r="E499" s="118" t="n">
        <x:v>40837</x:v>
      </x:c>
      <x:c r="F499" s="106" t="str">
        <x:v>Kinh</x:v>
      </x:c>
      <x:c r="G499" s="68" t="str">
        <x:v>Xã Phước Long</x:v>
      </x:c>
      <x:c r="H499" s="68" t="str">
        <x:v>THCS Phước Long</x:v>
      </x:c>
      <x:c r="I499" s="68" t="str">
        <x:v>Xã Phước Long</x:v>
      </x:c>
      <x:c r="J499" s="124" t="n">
        <x:v>30.7</x:v>
      </x:c>
      <x:c r="K499" s="130" t="n">
        <x:v>36</x:v>
      </x:c>
      <x:c r="L499" s="124"/>
      <x:c r="M499" s="124"/>
      <x:c r="N499" s="124" t="n">
        <x:v>66.7</x:v>
      </x:c>
      <x:c r="O499" s="69" t="str"/>
    </x:row>
    <x:row r="500" ht="21" customHeight="1">
      <x:c r="A500" s="100" t="n">
        <x:v>496</x:v>
      </x:c>
      <x:c r="B500" s="172" t="n">
        <x:v>95311007079</x:v>
      </x:c>
      <x:c r="C500" s="68" t="str">
        <x:v>ĐẶNG ÁI NGỌC</x:v>
      </x:c>
      <x:c r="D500" s="106" t="str">
        <x:v>X</x:v>
      </x:c>
      <x:c r="E500" s="118" t="n">
        <x:v>40721</x:v>
      </x:c>
      <x:c r="F500" s="106" t="str">
        <x:v>Kinh</x:v>
      </x:c>
      <x:c r="G500" s="68" t="str">
        <x:v>Xã Phước Long</x:v>
      </x:c>
      <x:c r="H500" s="68" t="str">
        <x:v>THCS Phước Long</x:v>
      </x:c>
      <x:c r="I500" s="68" t="str">
        <x:v>Xã Phước Long</x:v>
      </x:c>
      <x:c r="J500" s="124" t="n">
        <x:v>30.7</x:v>
      </x:c>
      <x:c r="K500" s="130" t="n">
        <x:v>36</x:v>
      </x:c>
      <x:c r="L500" s="124"/>
      <x:c r="M500" s="124"/>
      <x:c r="N500" s="124" t="n">
        <x:v>66.7</x:v>
      </x:c>
      <x:c r="O500" s="69" t="str"/>
    </x:row>
    <x:row r="501" ht="21" customHeight="1">
      <x:c r="A501" s="100" t="n">
        <x:v>497</x:v>
      </x:c>
      <x:c r="B501" s="172" t="n">
        <x:v>95311000136</x:v>
      </x:c>
      <x:c r="C501" s="68" t="str">
        <x:v>NGUYỄN THỊ MỊ</x:v>
      </x:c>
      <x:c r="D501" s="106" t="str">
        <x:v>X</x:v>
      </x:c>
      <x:c r="E501" s="118" t="n">
        <x:v>40730</x:v>
      </x:c>
      <x:c r="F501" s="106" t="str">
        <x:v>Kinh</x:v>
      </x:c>
      <x:c r="G501" s="68" t="str">
        <x:v>Xã Phước Long</x:v>
      </x:c>
      <x:c r="H501" s="68" t="str">
        <x:v>THCS Vĩnh Thanh</x:v>
      </x:c>
      <x:c r="I501" s="68" t="str">
        <x:v>Xã Vĩnh Thanh</x:v>
      </x:c>
      <x:c r="J501" s="124" t="n">
        <x:v>30.7</x:v>
      </x:c>
      <x:c r="K501" s="130" t="n">
        <x:v>36</x:v>
      </x:c>
      <x:c r="L501" s="124"/>
      <x:c r="M501" s="124"/>
      <x:c r="N501" s="124" t="n">
        <x:v>66.7</x:v>
      </x:c>
      <x:c r="O501" s="69" t="str"/>
    </x:row>
    <x:row r="502" ht="21" customHeight="1">
      <x:c r="A502" s="100" t="n">
        <x:v>498</x:v>
      </x:c>
      <x:c r="B502" s="172" t="n">
        <x:v>95211008776</x:v>
      </x:c>
      <x:c r="C502" s="68" t="str">
        <x:v>PHẠM HẢI ĐĂNG</x:v>
      </x:c>
      <x:c r="D502" s="106" t="str"/>
      <x:c r="E502" s="118" t="n">
        <x:v>40705</x:v>
      </x:c>
      <x:c r="F502" s="106" t="str">
        <x:v>Kinh</x:v>
      </x:c>
      <x:c r="G502" s="68" t="str">
        <x:v>Xã Hồng Dân</x:v>
      </x:c>
      <x:c r="H502" s="68" t="str">
        <x:v>THCS Trương Vĩnh Ký</x:v>
      </x:c>
      <x:c r="I502" s="68" t="str">
        <x:v>Xã Hồng Dân</x:v>
      </x:c>
      <x:c r="J502" s="124" t="n">
        <x:v>30.7</x:v>
      </x:c>
      <x:c r="K502" s="130" t="n">
        <x:v>36</x:v>
      </x:c>
      <x:c r="L502" s="124"/>
      <x:c r="M502" s="124"/>
      <x:c r="N502" s="124" t="n">
        <x:v>66.7</x:v>
      </x:c>
      <x:c r="O502" s="69" t="str"/>
    </x:row>
    <x:row r="503" ht="21" customHeight="1">
      <x:c r="A503" s="100" t="n">
        <x:v>499</x:v>
      </x:c>
      <x:c r="B503" s="172" t="n">
        <x:v>95311003446</x:v>
      </x:c>
      <x:c r="C503" s="68" t="str">
        <x:v>HUỲNH ÁNH DƯƠNG</x:v>
      </x:c>
      <x:c r="D503" s="106" t="str">
        <x:v>X</x:v>
      </x:c>
      <x:c r="E503" s="118" t="n">
        <x:v>40583</x:v>
      </x:c>
      <x:c r="F503" s="106" t="str">
        <x:v>Kinh</x:v>
      </x:c>
      <x:c r="G503" s="68" t="str">
        <x:v>Xã Phước Long</x:v>
      </x:c>
      <x:c r="H503" s="68" t="str">
        <x:v>THCS Vương Hữu Nhơn</x:v>
      </x:c>
      <x:c r="I503" s="68" t="str">
        <x:v>Xã Phước Long</x:v>
      </x:c>
      <x:c r="J503" s="124" t="n">
        <x:v>30.7</x:v>
      </x:c>
      <x:c r="K503" s="130" t="n">
        <x:v>36</x:v>
      </x:c>
      <x:c r="L503" s="124"/>
      <x:c r="M503" s="124"/>
      <x:c r="N503" s="124" t="n">
        <x:v>66.7</x:v>
      </x:c>
      <x:c r="O503" s="69" t="str"/>
    </x:row>
    <x:row r="504" ht="21" customHeight="1">
      <x:c r="A504" s="100" t="n">
        <x:v>500</x:v>
      </x:c>
      <x:c r="B504" s="172" t="n">
        <x:v>95211009881</x:v>
      </x:c>
      <x:c r="C504" s="68" t="str">
        <x:v>SƠN PHÚ TRỌNG</x:v>
      </x:c>
      <x:c r="D504" s="106" t="str"/>
      <x:c r="E504" s="118" t="n">
        <x:v>40701</x:v>
      </x:c>
      <x:c r="F504" s="106" t="str">
        <x:v>Khmer</x:v>
      </x:c>
      <x:c r="G504" s="68" t="str">
        <x:v>Xã Phước Long</x:v>
      </x:c>
      <x:c r="H504" s="68" t="str">
        <x:v>THCS Vương Hữu Nhơn</x:v>
      </x:c>
      <x:c r="I504" s="68" t="str">
        <x:v>Xã Phước Long</x:v>
      </x:c>
      <x:c r="J504" s="124" t="n">
        <x:v>29.7</x:v>
      </x:c>
      <x:c r="K504" s="130" t="n">
        <x:v>36</x:v>
      </x:c>
      <x:c r="L504" s="124" t="n">
        <x:v>1</x:v>
      </x:c>
      <x:c r="M504" s="124"/>
      <x:c r="N504" s="124" t="n">
        <x:v>66.7</x:v>
      </x:c>
      <x:c r="O504" s="69" t="str"/>
    </x:row>
    <x:row r="505" ht="21" customHeight="1">
      <x:c r="A505" s="100" t="n">
        <x:v>501</x:v>
      </x:c>
      <x:c r="B505" s="172" t="n">
        <x:v>95211002011</x:v>
      </x:c>
      <x:c r="C505" s="68" t="str">
        <x:v>NGÔ NHẬT KHANG</x:v>
      </x:c>
      <x:c r="D505" s="106" t="str"/>
      <x:c r="E505" s="118" t="n">
        <x:v>40548</x:v>
      </x:c>
      <x:c r="F505" s="106" t="str">
        <x:v>Kinh</x:v>
      </x:c>
      <x:c r="G505" s="68" t="str">
        <x:v>Xã Phước Long</x:v>
      </x:c>
      <x:c r="H505" s="68" t="str">
        <x:v>THCS Vương Hữu Nhơn</x:v>
      </x:c>
      <x:c r="I505" s="68" t="str">
        <x:v>Xã Phước Long</x:v>
      </x:c>
      <x:c r="J505" s="124" t="n">
        <x:v>30.7</x:v>
      </x:c>
      <x:c r="K505" s="130" t="n">
        <x:v>36</x:v>
      </x:c>
      <x:c r="L505" s="124"/>
      <x:c r="M505" s="124"/>
      <x:c r="N505" s="124" t="n">
        <x:v>66.7</x:v>
      </x:c>
      <x:c r="O505" s="69" t="str"/>
    </x:row>
    <x:row r="506" ht="21" customHeight="1">
      <x:c r="A506" s="100" t="n">
        <x:v>502</x:v>
      </x:c>
      <x:c r="B506" s="172" t="n">
        <x:v>95211002336</x:v>
      </x:c>
      <x:c r="C506" s="68" t="str">
        <x:v>VÕ TRƯỜNG VỸ</x:v>
      </x:c>
      <x:c r="D506" s="106" t="str"/>
      <x:c r="E506" s="118" t="n">
        <x:v>40760</x:v>
      </x:c>
      <x:c r="F506" s="106" t="str">
        <x:v>Kinh</x:v>
      </x:c>
      <x:c r="G506" s="68" t="str">
        <x:v>Xã Phước Long</x:v>
      </x:c>
      <x:c r="H506" s="68" t="str">
        <x:v>THCS Phước Long</x:v>
      </x:c>
      <x:c r="I506" s="68" t="str">
        <x:v>Xã Phước Long</x:v>
      </x:c>
      <x:c r="J506" s="124" t="n">
        <x:v>30.6</x:v>
      </x:c>
      <x:c r="K506" s="130" t="n">
        <x:v>36</x:v>
      </x:c>
      <x:c r="L506" s="124"/>
      <x:c r="M506" s="124"/>
      <x:c r="N506" s="124" t="n">
        <x:v>66.6</x:v>
      </x:c>
      <x:c r="O506" s="69" t="str"/>
    </x:row>
    <x:row r="507" ht="21" customHeight="1">
      <x:c r="A507" s="100" t="n">
        <x:v>503</x:v>
      </x:c>
      <x:c r="B507" s="172" t="n">
        <x:v>95211007145</x:v>
      </x:c>
      <x:c r="C507" s="68" t="str">
        <x:v>ĐẶNG CHÍ NGUYỄN</x:v>
      </x:c>
      <x:c r="D507" s="106" t="str"/>
      <x:c r="E507" s="118" t="n">
        <x:v>40705</x:v>
      </x:c>
      <x:c r="F507" s="106" t="str">
        <x:v>Kinh</x:v>
      </x:c>
      <x:c r="G507" s="68" t="str">
        <x:v>Xã Vĩnh Phước</x:v>
      </x:c>
      <x:c r="H507" s="68" t="str">
        <x:v>THCS Vĩnh Phú Tây</x:v>
      </x:c>
      <x:c r="I507" s="68" t="str">
        <x:v>Xã Vĩnh Phước</x:v>
      </x:c>
      <x:c r="J507" s="124" t="n">
        <x:v>30.6</x:v>
      </x:c>
      <x:c r="K507" s="130" t="n">
        <x:v>36</x:v>
      </x:c>
      <x:c r="L507" s="124"/>
      <x:c r="M507" s="124"/>
      <x:c r="N507" s="124" t="n">
        <x:v>66.6</x:v>
      </x:c>
      <x:c r="O507" s="69" t="str"/>
    </x:row>
    <x:row r="508" ht="21" customHeight="1">
      <x:c r="A508" s="100" t="n">
        <x:v>504</x:v>
      </x:c>
      <x:c r="B508" s="172" t="n">
        <x:v>95211011092</x:v>
      </x:c>
      <x:c r="C508" s="68" t="str">
        <x:v>VÕ TRƯỜNG THIÊN</x:v>
      </x:c>
      <x:c r="D508" s="106" t="str"/>
      <x:c r="E508" s="118" t="n">
        <x:v>40688</x:v>
      </x:c>
      <x:c r="F508" s="106" t="str">
        <x:v>Kinh</x:v>
      </x:c>
      <x:c r="G508" s="68" t="str">
        <x:v>Xã Phước Long</x:v>
      </x:c>
      <x:c r="H508" s="68" t="str">
        <x:v>THCS Vương Hữu Nhơn</x:v>
      </x:c>
      <x:c r="I508" s="68" t="str">
        <x:v>Xã Phước Long</x:v>
      </x:c>
      <x:c r="J508" s="124" t="n">
        <x:v>30.1</x:v>
      </x:c>
      <x:c r="K508" s="130" t="n">
        <x:v>36</x:v>
      </x:c>
      <x:c r="L508" s="124"/>
      <x:c r="M508" s="124" t="n">
        <x:v>0.5</x:v>
      </x:c>
      <x:c r="N508" s="124" t="n">
        <x:v>66.6</x:v>
      </x:c>
      <x:c r="O508" s="69" t="str"/>
    </x:row>
    <x:row r="509" ht="21" customHeight="1">
      <x:c r="A509" s="100" t="n">
        <x:v>505</x:v>
      </x:c>
      <x:c r="B509" s="172" t="n">
        <x:v>95211010100</x:v>
      </x:c>
      <x:c r="C509" s="68" t="str">
        <x:v>NGUYỄN CHÍ TÂM</x:v>
      </x:c>
      <x:c r="D509" s="106" t="str"/>
      <x:c r="E509" s="118" t="n">
        <x:v>40848</x:v>
      </x:c>
      <x:c r="F509" s="106" t="str">
        <x:v>Kinh</x:v>
      </x:c>
      <x:c r="G509" s="68" t="str">
        <x:v>Xã Phước Long</x:v>
      </x:c>
      <x:c r="H509" s="68" t="str">
        <x:v>THCS Vương Hữu Nhơn</x:v>
      </x:c>
      <x:c r="I509" s="68" t="str">
        <x:v>Xã Phước Long</x:v>
      </x:c>
      <x:c r="J509" s="124" t="n">
        <x:v>30.6</x:v>
      </x:c>
      <x:c r="K509" s="130" t="n">
        <x:v>36</x:v>
      </x:c>
      <x:c r="L509" s="124"/>
      <x:c r="M509" s="124"/>
      <x:c r="N509" s="124" t="n">
        <x:v>66.6</x:v>
      </x:c>
      <x:c r="O509" s="69" t="str"/>
    </x:row>
    <x:row r="510" ht="21" customHeight="1">
      <x:c r="A510" s="100" t="n">
        <x:v>506</x:v>
      </x:c>
      <x:c r="B510" s="172" t="n">
        <x:v>95311008616</x:v>
      </x:c>
      <x:c r="C510" s="68" t="str">
        <x:v>TRẦN THỊ DIỄM MY</x:v>
      </x:c>
      <x:c r="D510" s="106" t="str">
        <x:v>X</x:v>
      </x:c>
      <x:c r="E510" s="118" t="n">
        <x:v>40613</x:v>
      </x:c>
      <x:c r="F510" s="106" t="str">
        <x:v>Kinh</x:v>
      </x:c>
      <x:c r="G510" s="68" t="str">
        <x:v>Xã Phước Long</x:v>
      </x:c>
      <x:c r="H510" s="68" t="str">
        <x:v>THCS Phước Long</x:v>
      </x:c>
      <x:c r="I510" s="68" t="str">
        <x:v>Xã Phước Long</x:v>
      </x:c>
      <x:c r="J510" s="124" t="n">
        <x:v>30.5</x:v>
      </x:c>
      <x:c r="K510" s="130" t="n">
        <x:v>36</x:v>
      </x:c>
      <x:c r="L510" s="124"/>
      <x:c r="M510" s="124"/>
      <x:c r="N510" s="124" t="n">
        <x:v>66.5</x:v>
      </x:c>
      <x:c r="O510" s="69" t="str"/>
    </x:row>
    <x:row r="511" ht="21" customHeight="1">
      <x:c r="A511" s="100" t="n">
        <x:v>507</x:v>
      </x:c>
      <x:c r="B511" s="172" t="n">
        <x:v>95311008404</x:v>
      </x:c>
      <x:c r="C511" s="68" t="str">
        <x:v>NGUYỄN BẢO NGỌC</x:v>
      </x:c>
      <x:c r="D511" s="106" t="str">
        <x:v>X</x:v>
      </x:c>
      <x:c r="E511" s="118" t="n">
        <x:v>40717</x:v>
      </x:c>
      <x:c r="F511" s="106" t="str">
        <x:v>Kinh</x:v>
      </x:c>
      <x:c r="G511" s="68" t="str">
        <x:v>Xã Phước Long</x:v>
      </x:c>
      <x:c r="H511" s="68" t="str">
        <x:v>THCS Phước Long</x:v>
      </x:c>
      <x:c r="I511" s="68" t="str">
        <x:v>Xã Phước Long</x:v>
      </x:c>
      <x:c r="J511" s="124" t="n">
        <x:v>30.5</x:v>
      </x:c>
      <x:c r="K511" s="130" t="n">
        <x:v>36</x:v>
      </x:c>
      <x:c r="L511" s="124"/>
      <x:c r="M511" s="124"/>
      <x:c r="N511" s="124" t="n">
        <x:v>66.5</x:v>
      </x:c>
      <x:c r="O511" s="69" t="str"/>
    </x:row>
    <x:row r="512" ht="21" customHeight="1">
      <x:c r="A512" s="100" t="n">
        <x:v>508</x:v>
      </x:c>
      <x:c r="B512" s="172" t="n">
        <x:v>95311005541</x:v>
      </x:c>
      <x:c r="C512" s="68" t="str">
        <x:v>TRẦN BẢO NGỌC</x:v>
      </x:c>
      <x:c r="D512" s="106" t="str">
        <x:v>X</x:v>
      </x:c>
      <x:c r="E512" s="118" t="n">
        <x:v>40633</x:v>
      </x:c>
      <x:c r="F512" s="106" t="str">
        <x:v>Kinh</x:v>
      </x:c>
      <x:c r="G512" s="68" t="str">
        <x:v>Xã Phước Long</x:v>
      </x:c>
      <x:c r="H512" s="68" t="str">
        <x:v>THCS Phước Long</x:v>
      </x:c>
      <x:c r="I512" s="68" t="str">
        <x:v>Xã Phước Long</x:v>
      </x:c>
      <x:c r="J512" s="124" t="n">
        <x:v>30.5</x:v>
      </x:c>
      <x:c r="K512" s="130" t="n">
        <x:v>36</x:v>
      </x:c>
      <x:c r="L512" s="124"/>
      <x:c r="M512" s="124"/>
      <x:c r="N512" s="124" t="n">
        <x:v>66.5</x:v>
      </x:c>
      <x:c r="O512" s="69" t="str"/>
    </x:row>
    <x:row r="513" ht="21" customHeight="1">
      <x:c r="A513" s="100" t="n">
        <x:v>509</x:v>
      </x:c>
      <x:c r="B513" s="172" t="n">
        <x:v>89311003206</x:v>
      </x:c>
      <x:c r="C513" s="68" t="str">
        <x:v>NGÔ KHÁNH TRANG</x:v>
      </x:c>
      <x:c r="D513" s="106" t="str">
        <x:v>X</x:v>
      </x:c>
      <x:c r="E513" s="118" t="n">
        <x:v>40776</x:v>
      </x:c>
      <x:c r="F513" s="106" t="str">
        <x:v>Kinh</x:v>
      </x:c>
      <x:c r="G513" s="68" t="str">
        <x:v>Xã Phước Long</x:v>
      </x:c>
      <x:c r="H513" s="68" t="str">
        <x:v>THCS Phước Long</x:v>
      </x:c>
      <x:c r="I513" s="68" t="str">
        <x:v>Xã Phước Long</x:v>
      </x:c>
      <x:c r="J513" s="124" t="n">
        <x:v>30.5</x:v>
      </x:c>
      <x:c r="K513" s="130" t="n">
        <x:v>36</x:v>
      </x:c>
      <x:c r="L513" s="124"/>
      <x:c r="M513" s="124"/>
      <x:c r="N513" s="124" t="n">
        <x:v>66.5</x:v>
      </x:c>
      <x:c r="O513" s="69" t="str"/>
    </x:row>
    <x:row r="514" ht="21" customHeight="1">
      <x:c r="A514" s="100" t="n">
        <x:v>510</x:v>
      </x:c>
      <x:c r="B514" s="172" t="n">
        <x:v>95211004685</x:v>
      </x:c>
      <x:c r="C514" s="68" t="str">
        <x:v>LÊ ĐĂNG KHÔI</x:v>
      </x:c>
      <x:c r="D514" s="106" t="str">
        <x:v>X</x:v>
      </x:c>
      <x:c r="E514" s="118" t="n">
        <x:v>40628</x:v>
      </x:c>
      <x:c r="F514" s="106" t="str">
        <x:v>Kinh</x:v>
      </x:c>
      <x:c r="G514" s="68" t="str">
        <x:v>Xã Vĩnh Thanh</x:v>
      </x:c>
      <x:c r="H514" s="68" t="str">
        <x:v>THCS Hưng Phú</x:v>
      </x:c>
      <x:c r="I514" s="68" t="str">
        <x:v>Xã Vĩnh Thanh</x:v>
      </x:c>
      <x:c r="J514" s="124" t="n">
        <x:v>31.5</x:v>
      </x:c>
      <x:c r="K514" s="130" t="n">
        <x:v>35</x:v>
      </x:c>
      <x:c r="L514" s="124"/>
      <x:c r="M514" s="124"/>
      <x:c r="N514" s="124" t="n">
        <x:v>66.5</x:v>
      </x:c>
      <x:c r="O514" s="69" t="str"/>
    </x:row>
    <x:row r="515" ht="21" customHeight="1">
      <x:c r="A515" s="100" t="n">
        <x:v>511</x:v>
      </x:c>
      <x:c r="B515" s="172" t="n">
        <x:v>95311006263</x:v>
      </x:c>
      <x:c r="C515" s="68" t="str">
        <x:v>TRẦN NGỌC KHÁNH BĂNG</x:v>
      </x:c>
      <x:c r="D515" s="106" t="str">
        <x:v>X</x:v>
      </x:c>
      <x:c r="E515" s="118" t="n">
        <x:v>40833</x:v>
      </x:c>
      <x:c r="F515" s="106" t="str">
        <x:v>Kinh</x:v>
      </x:c>
      <x:c r="G515" s="68" t="str">
        <x:v>Xã Vĩnh Thanh</x:v>
      </x:c>
      <x:c r="H515" s="68" t="str">
        <x:v>THCS Hưng Phú</x:v>
      </x:c>
      <x:c r="I515" s="68" t="str">
        <x:v>Xã Vĩnh Thanh</x:v>
      </x:c>
      <x:c r="J515" s="124" t="n">
        <x:v>30.5</x:v>
      </x:c>
      <x:c r="K515" s="130" t="n">
        <x:v>36</x:v>
      </x:c>
      <x:c r="L515" s="124"/>
      <x:c r="M515" s="124"/>
      <x:c r="N515" s="124" t="n">
        <x:v>66.5</x:v>
      </x:c>
      <x:c r="O515" s="69" t="str"/>
    </x:row>
    <x:row r="516" ht="21" customHeight="1">
      <x:c r="A516" s="100" t="n">
        <x:v>512</x:v>
      </x:c>
      <x:c r="B516" s="172" t="n">
        <x:v>95311005001</x:v>
      </x:c>
      <x:c r="C516" s="68" t="str">
        <x:v>DANH THỊ KHÁNH NGÂN</x:v>
      </x:c>
      <x:c r="D516" s="106" t="str">
        <x:v>X</x:v>
      </x:c>
      <x:c r="E516" s="118" t="n">
        <x:v>40709</x:v>
      </x:c>
      <x:c r="F516" s="106" t="str">
        <x:v>Khmer</x:v>
      </x:c>
      <x:c r="G516" s="68" t="str">
        <x:v>Xã Vĩnh Phước</x:v>
      </x:c>
      <x:c r="H516" s="68" t="str">
        <x:v>THCS Vĩnh Thanh</x:v>
      </x:c>
      <x:c r="I516" s="68" t="str">
        <x:v>Xã Vĩnh Thanh</x:v>
      </x:c>
      <x:c r="J516" s="124" t="n">
        <x:v>29.5</x:v>
      </x:c>
      <x:c r="K516" s="130" t="n">
        <x:v>36</x:v>
      </x:c>
      <x:c r="L516" s="124" t="n">
        <x:v>1</x:v>
      </x:c>
      <x:c r="M516" s="124"/>
      <x:c r="N516" s="124" t="n">
        <x:v>66.5</x:v>
      </x:c>
      <x:c r="O516" s="69" t="str"/>
    </x:row>
    <x:row r="517" ht="21" customHeight="1">
      <x:c r="A517" s="100" t="n">
        <x:v>513</x:v>
      </x:c>
      <x:c r="B517" s="172" t="n">
        <x:v>95211009012</x:v>
      </x:c>
      <x:c r="C517" s="68" t="str">
        <x:v>NGUYỄN NHẬT KHANG</x:v>
      </x:c>
      <x:c r="D517" s="106" t="str"/>
      <x:c r="E517" s="118" t="n">
        <x:v>40632</x:v>
      </x:c>
      <x:c r="F517" s="106" t="str">
        <x:v>Kinh</x:v>
      </x:c>
      <x:c r="G517" s="68" t="str">
        <x:v>Xã Phước Long</x:v>
      </x:c>
      <x:c r="H517" s="68" t="str">
        <x:v>THCS Vương Hữu Nhơn</x:v>
      </x:c>
      <x:c r="I517" s="68" t="str">
        <x:v>Xã Phước Long</x:v>
      </x:c>
      <x:c r="J517" s="124" t="n">
        <x:v>30.5</x:v>
      </x:c>
      <x:c r="K517" s="130" t="n">
        <x:v>36</x:v>
      </x:c>
      <x:c r="L517" s="124"/>
      <x:c r="M517" s="124"/>
      <x:c r="N517" s="124" t="n">
        <x:v>66.5</x:v>
      </x:c>
      <x:c r="O517" s="69" t="str"/>
    </x:row>
    <x:row r="518" ht="21" customHeight="1">
      <x:c r="A518" s="100" t="n">
        <x:v>514</x:v>
      </x:c>
      <x:c r="B518" s="172" t="n">
        <x:v>95211004524</x:v>
      </x:c>
      <x:c r="C518" s="68" t="str">
        <x:v>NGUYỄN ĐẶNG PHƯỚC HẬU</x:v>
      </x:c>
      <x:c r="D518" s="106" t="str"/>
      <x:c r="E518" s="118" t="n">
        <x:v>40735</x:v>
      </x:c>
      <x:c r="F518" s="106" t="str">
        <x:v>Kinh</x:v>
      </x:c>
      <x:c r="G518" s="68" t="str">
        <x:v>Xã Vĩnh Lộc</x:v>
      </x:c>
      <x:c r="H518" s="68" t="str">
        <x:v>THCS Vĩnh Lộc</x:v>
      </x:c>
      <x:c r="I518" s="68" t="str">
        <x:v>Xã Vĩnh Lộc</x:v>
      </x:c>
      <x:c r="J518" s="124" t="n">
        <x:v>30.5</x:v>
      </x:c>
      <x:c r="K518" s="130" t="n">
        <x:v>36</x:v>
      </x:c>
      <x:c r="L518" s="124"/>
      <x:c r="M518" s="124"/>
      <x:c r="N518" s="124" t="n">
        <x:v>66.5</x:v>
      </x:c>
      <x:c r="O518" s="69" t="str"/>
    </x:row>
    <x:row r="519" ht="21" customHeight="1">
      <x:c r="A519" s="100" t="n">
        <x:v>515</x:v>
      </x:c>
      <x:c r="B519" s="172" t="n">
        <x:v>95311009449</x:v>
      </x:c>
      <x:c r="C519" s="68" t="str">
        <x:v>LÂM NHƯ Ý</x:v>
      </x:c>
      <x:c r="D519" s="106" t="str">
        <x:v>X</x:v>
      </x:c>
      <x:c r="E519" s="118" t="n">
        <x:v>40887</x:v>
      </x:c>
      <x:c r="F519" s="106" t="str">
        <x:v>Kinh</x:v>
      </x:c>
      <x:c r="G519" s="68" t="str">
        <x:v>Xã Phước Long</x:v>
      </x:c>
      <x:c r="H519" s="68" t="str">
        <x:v>THCS Phước Long</x:v>
      </x:c>
      <x:c r="I519" s="68" t="str">
        <x:v>Xã Phước Long</x:v>
      </x:c>
      <x:c r="J519" s="124" t="n">
        <x:v>30.4</x:v>
      </x:c>
      <x:c r="K519" s="130" t="n">
        <x:v>36</x:v>
      </x:c>
      <x:c r="L519" s="124"/>
      <x:c r="M519" s="124"/>
      <x:c r="N519" s="124" t="n">
        <x:v>66.4</x:v>
      </x:c>
      <x:c r="O519" s="69" t="str"/>
    </x:row>
    <x:row r="520" ht="21" customHeight="1">
      <x:c r="A520" s="100" t="n">
        <x:v>516</x:v>
      </x:c>
      <x:c r="B520" s="172" t="n">
        <x:v>95311007414</x:v>
      </x:c>
      <x:c r="C520" s="68" t="str">
        <x:v>NGUYỄN THỊ THU MIÊU</x:v>
      </x:c>
      <x:c r="D520" s="106" t="str">
        <x:v>X</x:v>
      </x:c>
      <x:c r="E520" s="118" t="n">
        <x:v>40608</x:v>
      </x:c>
      <x:c r="F520" s="106" t="str">
        <x:v>Kinh</x:v>
      </x:c>
      <x:c r="G520" s="68" t="str">
        <x:v>Xã Phước Long</x:v>
      </x:c>
      <x:c r="H520" s="68" t="str">
        <x:v>THCS Phước Long</x:v>
      </x:c>
      <x:c r="I520" s="68" t="str">
        <x:v>Xã Phước Long</x:v>
      </x:c>
      <x:c r="J520" s="124" t="n">
        <x:v>30.4</x:v>
      </x:c>
      <x:c r="K520" s="130" t="n">
        <x:v>36</x:v>
      </x:c>
      <x:c r="L520" s="124"/>
      <x:c r="M520" s="124"/>
      <x:c r="N520" s="124" t="n">
        <x:v>66.4</x:v>
      </x:c>
      <x:c r="O520" s="69" t="str"/>
    </x:row>
    <x:row r="521" ht="21" customHeight="1">
      <x:c r="A521" s="100" t="n">
        <x:v>517</x:v>
      </x:c>
      <x:c r="B521" s="172" t="n">
        <x:v>95311004348</x:v>
      </x:c>
      <x:c r="C521" s="68" t="str">
        <x:v>TRƯƠNG Ý DIỄN</x:v>
      </x:c>
      <x:c r="D521" s="106" t="str">
        <x:v>X</x:v>
      </x:c>
      <x:c r="E521" s="118" t="n">
        <x:v>40795</x:v>
      </x:c>
      <x:c r="F521" s="106" t="str">
        <x:v>Kinh</x:v>
      </x:c>
      <x:c r="G521" s="68" t="str">
        <x:v>Xã Vĩnh Thanh</x:v>
      </x:c>
      <x:c r="H521" s="68" t="str">
        <x:v>THCS Vĩnh Thanh</x:v>
      </x:c>
      <x:c r="I521" s="68" t="str">
        <x:v>Xã Vĩnh Thanh</x:v>
      </x:c>
      <x:c r="J521" s="124" t="n">
        <x:v>30.4</x:v>
      </x:c>
      <x:c r="K521" s="130" t="n">
        <x:v>36</x:v>
      </x:c>
      <x:c r="L521" s="124"/>
      <x:c r="M521" s="124"/>
      <x:c r="N521" s="124" t="n">
        <x:v>66.4</x:v>
      </x:c>
      <x:c r="O521" s="69" t="str"/>
    </x:row>
    <x:row r="522" ht="21" customHeight="1">
      <x:c r="A522" s="100" t="n">
        <x:v>518</x:v>
      </x:c>
      <x:c r="B522" s="172" t="n">
        <x:v>95311004403</x:v>
      </x:c>
      <x:c r="C522" s="68" t="str">
        <x:v>NGUYỄN THỊ KHÁNH NGỌC</x:v>
      </x:c>
      <x:c r="D522" s="106" t="str">
        <x:v>X</x:v>
      </x:c>
      <x:c r="E522" s="118" t="n">
        <x:v>40544</x:v>
      </x:c>
      <x:c r="F522" s="106" t="str">
        <x:v>Kinh</x:v>
      </x:c>
      <x:c r="G522" s="68" t="str">
        <x:v>Xã Phước Long</x:v>
      </x:c>
      <x:c r="H522" s="68" t="str">
        <x:v>THCS Trương Vĩnh Ký</x:v>
      </x:c>
      <x:c r="I522" s="68" t="str">
        <x:v>Xã Hồng Dân</x:v>
      </x:c>
      <x:c r="J522" s="124" t="n">
        <x:v>30.4</x:v>
      </x:c>
      <x:c r="K522" s="130" t="n">
        <x:v>36</x:v>
      </x:c>
      <x:c r="L522" s="124"/>
      <x:c r="M522" s="124"/>
      <x:c r="N522" s="124" t="n">
        <x:v>66.4</x:v>
      </x:c>
      <x:c r="O522" s="69" t="str"/>
    </x:row>
    <x:row r="523" ht="21" customHeight="1">
      <x:c r="A523" s="100" t="n">
        <x:v>519</x:v>
      </x:c>
      <x:c r="B523" s="172" t="n">
        <x:v>95211006400</x:v>
      </x:c>
      <x:c r="C523" s="68" t="str">
        <x:v>THÁI MINH HUY</x:v>
      </x:c>
      <x:c r="D523" s="106" t="str"/>
      <x:c r="E523" s="118" t="n">
        <x:v>40568</x:v>
      </x:c>
      <x:c r="F523" s="106" t="str">
        <x:v>Kinh</x:v>
      </x:c>
      <x:c r="G523" s="68" t="str">
        <x:v>Xã Phước Long</x:v>
      </x:c>
      <x:c r="H523" s="68" t="str">
        <x:v>THCS Vương Hữu Nhơn</x:v>
      </x:c>
      <x:c r="I523" s="68" t="str">
        <x:v>Xã Phước Long</x:v>
      </x:c>
      <x:c r="J523" s="124" t="n">
        <x:v>30.4</x:v>
      </x:c>
      <x:c r="K523" s="130" t="n">
        <x:v>36</x:v>
      </x:c>
      <x:c r="L523" s="124"/>
      <x:c r="M523" s="124"/>
      <x:c r="N523" s="124" t="n">
        <x:v>66.4</x:v>
      </x:c>
      <x:c r="O523" s="69" t="str"/>
    </x:row>
    <x:row r="524" ht="21" customHeight="1">
      <x:c r="A524" s="100" t="n">
        <x:v>520</x:v>
      </x:c>
      <x:c r="B524" s="172" t="n">
        <x:v>95211006140</x:v>
      </x:c>
      <x:c r="C524" s="68" t="str">
        <x:v>LÊ CHÍ NHÂN</x:v>
      </x:c>
      <x:c r="D524" s="106" t="str"/>
      <x:c r="E524" s="118" t="n">
        <x:v>40894</x:v>
      </x:c>
      <x:c r="F524" s="106" t="str">
        <x:v>Kinh</x:v>
      </x:c>
      <x:c r="G524" s="68" t="str">
        <x:v>Xã Phước Long</x:v>
      </x:c>
      <x:c r="H524" s="68" t="str">
        <x:v>THCS Phước Long</x:v>
      </x:c>
      <x:c r="I524" s="68" t="str">
        <x:v>Xã Phước Long</x:v>
      </x:c>
      <x:c r="J524" s="124" t="n">
        <x:v>31.3</x:v>
      </x:c>
      <x:c r="K524" s="130" t="n">
        <x:v>35</x:v>
      </x:c>
      <x:c r="L524" s="124"/>
      <x:c r="M524" s="124"/>
      <x:c r="N524" s="124" t="n">
        <x:v>66.3</x:v>
      </x:c>
      <x:c r="O524" s="69" t="str"/>
    </x:row>
    <x:row r="525" ht="21" customHeight="1">
      <x:c r="A525" s="100" t="n">
        <x:v>521</x:v>
      </x:c>
      <x:c r="B525" s="172" t="n">
        <x:v>95311007496</x:v>
      </x:c>
      <x:c r="C525" s="68" t="str">
        <x:v>VÕ GIA HÂN</x:v>
      </x:c>
      <x:c r="D525" s="106" t="str">
        <x:v>X</x:v>
      </x:c>
      <x:c r="E525" s="118" t="n">
        <x:v>40816</x:v>
      </x:c>
      <x:c r="F525" s="106" t="str">
        <x:v>Kinh</x:v>
      </x:c>
      <x:c r="G525" s="68" t="str">
        <x:v>Xã Vĩnh Phước</x:v>
      </x:c>
      <x:c r="H525" s="68" t="str">
        <x:v>THCS Vĩnh Phú Tây</x:v>
      </x:c>
      <x:c r="I525" s="68" t="str">
        <x:v>Xã Vĩnh Phước</x:v>
      </x:c>
      <x:c r="J525" s="124" t="n">
        <x:v>30.3</x:v>
      </x:c>
      <x:c r="K525" s="130" t="n">
        <x:v>36</x:v>
      </x:c>
      <x:c r="L525" s="124"/>
      <x:c r="M525" s="124"/>
      <x:c r="N525" s="124" t="n">
        <x:v>66.3</x:v>
      </x:c>
      <x:c r="O525" s="69" t="str"/>
    </x:row>
    <x:row r="526" ht="21" customHeight="1">
      <x:c r="A526" s="100" t="n">
        <x:v>522</x:v>
      </x:c>
      <x:c r="B526" s="172" t="n">
        <x:v>95211005733</x:v>
      </x:c>
      <x:c r="C526" s="68" t="str">
        <x:v>VÕ VĂN SANG</x:v>
      </x:c>
      <x:c r="D526" s="106" t="str"/>
      <x:c r="E526" s="118" t="n">
        <x:v>40870</x:v>
      </x:c>
      <x:c r="F526" s="106" t="str">
        <x:v>Kinh</x:v>
      </x:c>
      <x:c r="G526" s="68" t="str">
        <x:v>Xã Vĩnh Thanh</x:v>
      </x:c>
      <x:c r="H526" s="68" t="str">
        <x:v>THCS Hưng Phú</x:v>
      </x:c>
      <x:c r="I526" s="68" t="str">
        <x:v>Xã Vĩnh Thanh</x:v>
      </x:c>
      <x:c r="J526" s="124" t="n">
        <x:v>31.3</x:v>
      </x:c>
      <x:c r="K526" s="130" t="n">
        <x:v>35</x:v>
      </x:c>
      <x:c r="L526" s="124"/>
      <x:c r="M526" s="124"/>
      <x:c r="N526" s="124" t="n">
        <x:v>66.3</x:v>
      </x:c>
      <x:c r="O526" s="69" t="str"/>
    </x:row>
    <x:row r="527" ht="21" customHeight="1">
      <x:c r="A527" s="100" t="n">
        <x:v>523</x:v>
      </x:c>
      <x:c r="B527" s="172" t="n">
        <x:v>95311000052</x:v>
      </x:c>
      <x:c r="C527" s="68" t="str">
        <x:v>NGUYỄN NHÃ VY</x:v>
      </x:c>
      <x:c r="D527" s="106" t="str">
        <x:v>X</x:v>
      </x:c>
      <x:c r="E527" s="118" t="n">
        <x:v>40725</x:v>
      </x:c>
      <x:c r="F527" s="106" t="str">
        <x:v>Kinh</x:v>
      </x:c>
      <x:c r="G527" s="68" t="str">
        <x:v>Xã Phước Long</x:v>
      </x:c>
      <x:c r="H527" s="68" t="str">
        <x:v>THCS Vĩnh Thanh</x:v>
      </x:c>
      <x:c r="I527" s="68" t="str">
        <x:v>Xã Vĩnh Thanh</x:v>
      </x:c>
      <x:c r="J527" s="124" t="n">
        <x:v>30.3</x:v>
      </x:c>
      <x:c r="K527" s="130" t="n">
        <x:v>36</x:v>
      </x:c>
      <x:c r="L527" s="124"/>
      <x:c r="M527" s="124"/>
      <x:c r="N527" s="124" t="n">
        <x:v>66.3</x:v>
      </x:c>
      <x:c r="O527" s="69" t="str"/>
    </x:row>
    <x:row r="528" ht="21" customHeight="1">
      <x:c r="A528" s="100" t="n">
        <x:v>524</x:v>
      </x:c>
      <x:c r="B528" s="172" t="n">
        <x:v>79211028973</x:v>
      </x:c>
      <x:c r="C528" s="68" t="str">
        <x:v>NGÔ LÊ TRUNG HIẾU</x:v>
      </x:c>
      <x:c r="D528" s="106" t="str"/>
      <x:c r="E528" s="118" t="n">
        <x:v>40840</x:v>
      </x:c>
      <x:c r="F528" s="106" t="str">
        <x:v>Kinh</x:v>
      </x:c>
      <x:c r="G528" s="68" t="str">
        <x:v>Xã Vĩnh Phước</x:v>
      </x:c>
      <x:c r="H528" s="68" t="str">
        <x:v>THCS Phước Long</x:v>
      </x:c>
      <x:c r="I528" s="68" t="str">
        <x:v>Xã Vĩnh Phước</x:v>
      </x:c>
      <x:c r="J528" s="124" t="n">
        <x:v>31.3</x:v>
      </x:c>
      <x:c r="K528" s="130" t="n">
        <x:v>34</x:v>
      </x:c>
      <x:c r="L528" s="124" t="n">
        <x:v>1</x:v>
      </x:c>
      <x:c r="M528" s="124"/>
      <x:c r="N528" s="124" t="n">
        <x:v>66.3</x:v>
      </x:c>
      <x:c r="O528" s="69" t="str"/>
    </x:row>
    <x:row r="529" ht="21" customHeight="1">
      <x:c r="A529" s="100" t="n">
        <x:v>525</x:v>
      </x:c>
      <x:c r="B529" s="172" t="n">
        <x:v>95311008488</x:v>
      </x:c>
      <x:c r="C529" s="68" t="str">
        <x:v>NGUYỄN THỊ MỘNG NGHI</x:v>
      </x:c>
      <x:c r="D529" s="106" t="str">
        <x:v>X</x:v>
      </x:c>
      <x:c r="E529" s="118" t="n">
        <x:v>40601</x:v>
      </x:c>
      <x:c r="F529" s="106" t="str">
        <x:v>Kinh</x:v>
      </x:c>
      <x:c r="G529" s="68" t="str">
        <x:v>Xã Phước Long</x:v>
      </x:c>
      <x:c r="H529" s="68" t="str">
        <x:v>THCS Vương Hữu Nhơn</x:v>
      </x:c>
      <x:c r="I529" s="68" t="str">
        <x:v>Xã Phước Long</x:v>
      </x:c>
      <x:c r="J529" s="124" t="n">
        <x:v>30.3</x:v>
      </x:c>
      <x:c r="K529" s="130" t="n">
        <x:v>36</x:v>
      </x:c>
      <x:c r="L529" s="124"/>
      <x:c r="M529" s="124"/>
      <x:c r="N529" s="124" t="n">
        <x:v>66.3</x:v>
      </x:c>
      <x:c r="O529" s="69" t="str"/>
    </x:row>
    <x:row r="530" ht="21" customHeight="1">
      <x:c r="A530" s="100" t="n">
        <x:v>526</x:v>
      </x:c>
      <x:c r="B530" s="172" t="n">
        <x:v>95311007236</x:v>
      </x:c>
      <x:c r="C530" s="68" t="str">
        <x:v>KIỀU THỊ KIM DUNG</x:v>
      </x:c>
      <x:c r="D530" s="106" t="str">
        <x:v>X</x:v>
      </x:c>
      <x:c r="E530" s="118" t="n">
        <x:v>40597</x:v>
      </x:c>
      <x:c r="F530" s="106" t="str">
        <x:v>Kinh</x:v>
      </x:c>
      <x:c r="G530" s="68" t="str">
        <x:v>Xã Phước Long</x:v>
      </x:c>
      <x:c r="H530" s="68" t="str">
        <x:v>THCS Phước Long</x:v>
      </x:c>
      <x:c r="I530" s="68" t="str">
        <x:v>Xã Phước Long</x:v>
      </x:c>
      <x:c r="J530" s="124" t="n">
        <x:v>30.2</x:v>
      </x:c>
      <x:c r="K530" s="130" t="n">
        <x:v>36</x:v>
      </x:c>
      <x:c r="L530" s="124"/>
      <x:c r="M530" s="124"/>
      <x:c r="N530" s="124" t="n">
        <x:v>66.2</x:v>
      </x:c>
      <x:c r="O530" s="69" t="str"/>
    </x:row>
    <x:row r="531" ht="21" customHeight="1">
      <x:c r="A531" s="100" t="n">
        <x:v>527</x:v>
      </x:c>
      <x:c r="B531" s="172" t="n">
        <x:v>95311004490</x:v>
      </x:c>
      <x:c r="C531" s="68" t="str">
        <x:v>TRẦN Y KHOA</x:v>
      </x:c>
      <x:c r="D531" s="106" t="str">
        <x:v>X</x:v>
      </x:c>
      <x:c r="E531" s="118" t="n">
        <x:v>40643</x:v>
      </x:c>
      <x:c r="F531" s="106" t="str">
        <x:v>Kinh</x:v>
      </x:c>
      <x:c r="G531" s="68" t="str">
        <x:v>Xã Phước Long</x:v>
      </x:c>
      <x:c r="H531" s="68" t="str">
        <x:v>THCS Phước Long</x:v>
      </x:c>
      <x:c r="I531" s="68" t="str">
        <x:v>Xã Phước Long</x:v>
      </x:c>
      <x:c r="J531" s="124" t="n">
        <x:v>30.2</x:v>
      </x:c>
      <x:c r="K531" s="130" t="n">
        <x:v>36</x:v>
      </x:c>
      <x:c r="L531" s="124"/>
      <x:c r="M531" s="124"/>
      <x:c r="N531" s="124" t="n">
        <x:v>66.2</x:v>
      </x:c>
      <x:c r="O531" s="69" t="str"/>
    </x:row>
    <x:row r="532" ht="21" customHeight="1">
      <x:c r="A532" s="100" t="n">
        <x:v>528</x:v>
      </x:c>
      <x:c r="B532" s="172" t="n">
        <x:v>95311003266</x:v>
      </x:c>
      <x:c r="C532" s="68" t="str">
        <x:v>HỒ THỊ YẾN LINH</x:v>
      </x:c>
      <x:c r="D532" s="106" t="str">
        <x:v>X</x:v>
      </x:c>
      <x:c r="E532" s="118" t="n">
        <x:v>40661</x:v>
      </x:c>
      <x:c r="F532" s="106" t="str">
        <x:v>Kinh</x:v>
      </x:c>
      <x:c r="G532" s="68" t="str">
        <x:v>Xã Vĩnh Phước</x:v>
      </x:c>
      <x:c r="H532" s="68" t="str">
        <x:v>THCS Vĩnh Phú Tây</x:v>
      </x:c>
      <x:c r="I532" s="68" t="str">
        <x:v>Xã Vĩnh Phước</x:v>
      </x:c>
      <x:c r="J532" s="124" t="n">
        <x:v>29.2</x:v>
      </x:c>
      <x:c r="K532" s="130" t="n">
        <x:v>36</x:v>
      </x:c>
      <x:c r="L532" s="124" t="n">
        <x:v>1</x:v>
      </x:c>
      <x:c r="M532" s="124"/>
      <x:c r="N532" s="124" t="n">
        <x:v>66.2</x:v>
      </x:c>
      <x:c r="O532" s="69" t="str"/>
    </x:row>
    <x:row r="533" ht="21" customHeight="1">
      <x:c r="A533" s="100" t="n">
        <x:v>529</x:v>
      </x:c>
      <x:c r="B533" s="172" t="n">
        <x:v>95211004603</x:v>
      </x:c>
      <x:c r="C533" s="68" t="str">
        <x:v>DƯƠNG THANH DỰ</x:v>
      </x:c>
      <x:c r="D533" s="106" t="str"/>
      <x:c r="E533" s="118" t="n">
        <x:v>40834</x:v>
      </x:c>
      <x:c r="F533" s="106" t="str">
        <x:v>Kinh</x:v>
      </x:c>
      <x:c r="G533" s="68" t="str">
        <x:v>Xã Vĩnh Thanh</x:v>
      </x:c>
      <x:c r="H533" s="68" t="str">
        <x:v>THCS Hưng Phú</x:v>
      </x:c>
      <x:c r="I533" s="68" t="str">
        <x:v>Xã Vĩnh Thanh</x:v>
      </x:c>
      <x:c r="J533" s="124" t="n">
        <x:v>31.2</x:v>
      </x:c>
      <x:c r="K533" s="130" t="n">
        <x:v>35</x:v>
      </x:c>
      <x:c r="L533" s="124"/>
      <x:c r="M533" s="124"/>
      <x:c r="N533" s="124" t="n">
        <x:v>66.2</x:v>
      </x:c>
      <x:c r="O533" s="69" t="str"/>
    </x:row>
    <x:row r="534" ht="21" customHeight="1">
      <x:c r="A534" s="100" t="n">
        <x:v>530</x:v>
      </x:c>
      <x:c r="B534" s="172" t="n">
        <x:v>95311006002</x:v>
      </x:c>
      <x:c r="C534" s="68" t="str">
        <x:v>NGÔ KHÁNH BĂNG</x:v>
      </x:c>
      <x:c r="D534" s="106" t="str">
        <x:v>X</x:v>
      </x:c>
      <x:c r="E534" s="118" t="n">
        <x:v>40805</x:v>
      </x:c>
      <x:c r="F534" s="106" t="str">
        <x:v>Kinh</x:v>
      </x:c>
      <x:c r="G534" s="68" t="str">
        <x:v>Xã Vĩnh Thanh</x:v>
      </x:c>
      <x:c r="H534" s="68" t="str">
        <x:v>THCS Vĩnh Thanh</x:v>
      </x:c>
      <x:c r="I534" s="68" t="str">
        <x:v>Xã Vĩnh Thanh</x:v>
      </x:c>
      <x:c r="J534" s="124" t="n">
        <x:v>30.2</x:v>
      </x:c>
      <x:c r="K534" s="130" t="n">
        <x:v>36</x:v>
      </x:c>
      <x:c r="L534" s="124"/>
      <x:c r="M534" s="124"/>
      <x:c r="N534" s="124" t="n">
        <x:v>66.2</x:v>
      </x:c>
      <x:c r="O534" s="69" t="str"/>
    </x:row>
    <x:row r="535" ht="21" customHeight="1">
      <x:c r="A535" s="100" t="n">
        <x:v>531</x:v>
      </x:c>
      <x:c r="B535" s="172" t="n">
        <x:v>95311002529</x:v>
      </x:c>
      <x:c r="C535" s="68" t="str">
        <x:v>NGUYỄN BẢO TRÂM</x:v>
      </x:c>
      <x:c r="D535" s="106" t="str">
        <x:v>X</x:v>
      </x:c>
      <x:c r="E535" s="118" t="n">
        <x:v>40876</x:v>
      </x:c>
      <x:c r="F535" s="106" t="str">
        <x:v>Kinh</x:v>
      </x:c>
      <x:c r="G535" s="68" t="str">
        <x:v>Xã Phước Long</x:v>
      </x:c>
      <x:c r="H535" s="68" t="str">
        <x:v>THCS Vương Hữu Nhơn</x:v>
      </x:c>
      <x:c r="I535" s="68" t="str">
        <x:v>Xã Phước Long</x:v>
      </x:c>
      <x:c r="J535" s="124" t="n">
        <x:v>30.2</x:v>
      </x:c>
      <x:c r="K535" s="130" t="n">
        <x:v>36</x:v>
      </x:c>
      <x:c r="L535" s="124"/>
      <x:c r="M535" s="124"/>
      <x:c r="N535" s="124" t="n">
        <x:v>66.2</x:v>
      </x:c>
      <x:c r="O535" s="69" t="str"/>
    </x:row>
    <x:row r="536" ht="21" customHeight="1">
      <x:c r="A536" s="100" t="n">
        <x:v>532</x:v>
      </x:c>
      <x:c r="B536" s="172" t="n">
        <x:v>95211005987</x:v>
      </x:c>
      <x:c r="C536" s="68" t="str">
        <x:v>TRẦN TRUNG CHUẢN</x:v>
      </x:c>
      <x:c r="D536" s="106" t="str"/>
      <x:c r="E536" s="118" t="n">
        <x:v>40633</x:v>
      </x:c>
      <x:c r="F536" s="106" t="str">
        <x:v>Kinh</x:v>
      </x:c>
      <x:c r="G536" s="68" t="str">
        <x:v>Xã Phước Long</x:v>
      </x:c>
      <x:c r="H536" s="68" t="str">
        <x:v>THCS Vương Hữu Nhơn</x:v>
      </x:c>
      <x:c r="I536" s="68" t="str">
        <x:v>Xã Phước Long</x:v>
      </x:c>
      <x:c r="J536" s="124" t="n">
        <x:v>30.2</x:v>
      </x:c>
      <x:c r="K536" s="130" t="n">
        <x:v>36</x:v>
      </x:c>
      <x:c r="L536" s="124"/>
      <x:c r="M536" s="124"/>
      <x:c r="N536" s="124" t="n">
        <x:v>66.2</x:v>
      </x:c>
      <x:c r="O536" s="69" t="str"/>
    </x:row>
    <x:row r="537" ht="21" customHeight="1">
      <x:c r="A537" s="100" t="n">
        <x:v>533</x:v>
      </x:c>
      <x:c r="B537" s="172" t="n">
        <x:v>95211006125</x:v>
      </x:c>
      <x:c r="C537" s="68" t="str">
        <x:v>NGUYỄN VĂN KIỆN</x:v>
      </x:c>
      <x:c r="D537" s="106" t="str"/>
      <x:c r="E537" s="118" t="n">
        <x:v>40717</x:v>
      </x:c>
      <x:c r="F537" s="106" t="str">
        <x:v>Kinh</x:v>
      </x:c>
      <x:c r="G537" s="68" t="str">
        <x:v>Xã Phước Long</x:v>
      </x:c>
      <x:c r="H537" s="68" t="str">
        <x:v>THCS Trương Vĩnh Ký</x:v>
      </x:c>
      <x:c r="I537" s="68" t="str">
        <x:v>Xã Hồng Dân</x:v>
      </x:c>
      <x:c r="J537" s="124" t="n">
        <x:v>30.1</x:v>
      </x:c>
      <x:c r="K537" s="130" t="n">
        <x:v>36</x:v>
      </x:c>
      <x:c r="L537" s="124"/>
      <x:c r="M537" s="124"/>
      <x:c r="N537" s="124" t="n">
        <x:v>66.1</x:v>
      </x:c>
      <x:c r="O537" s="69" t="str"/>
    </x:row>
    <x:row r="538" ht="21" customHeight="1">
      <x:c r="A538" s="100" t="n">
        <x:v>534</x:v>
      </x:c>
      <x:c r="B538" s="172" t="n">
        <x:v>95311008002</x:v>
      </x:c>
      <x:c r="C538" s="68" t="str">
        <x:v>LÊ THỊ ÁI NAM</x:v>
      </x:c>
      <x:c r="D538" s="106" t="str">
        <x:v>X</x:v>
      </x:c>
      <x:c r="E538" s="118" t="n">
        <x:v>40793</x:v>
      </x:c>
      <x:c r="F538" s="106" t="str">
        <x:v>Kinh</x:v>
      </x:c>
      <x:c r="G538" s="68" t="str">
        <x:v>Xã Vĩnh Thanh</x:v>
      </x:c>
      <x:c r="H538" s="68" t="str">
        <x:v>THCS Hưng Phú</x:v>
      </x:c>
      <x:c r="I538" s="68" t="str">
        <x:v>Xã Vĩnh Thanh</x:v>
      </x:c>
      <x:c r="J538" s="124" t="n">
        <x:v>30</x:v>
      </x:c>
      <x:c r="K538" s="130" t="n">
        <x:v>36</x:v>
      </x:c>
      <x:c r="L538" s="124"/>
      <x:c r="M538" s="124"/>
      <x:c r="N538" s="124" t="n">
        <x:v>66</x:v>
      </x:c>
      <x:c r="O538" s="69" t="str"/>
    </x:row>
    <x:row r="539" ht="21" customHeight="1">
      <x:c r="A539" s="100" t="n">
        <x:v>535</x:v>
      </x:c>
      <x:c r="B539" s="172" t="n">
        <x:v>95311000075</x:v>
      </x:c>
      <x:c r="C539" s="68" t="str">
        <x:v>TRƯƠNG THANH THƯ</x:v>
      </x:c>
      <x:c r="D539" s="106" t="str">
        <x:v>X</x:v>
      </x:c>
      <x:c r="E539" s="118" t="n">
        <x:v>40707</x:v>
      </x:c>
      <x:c r="F539" s="106" t="str">
        <x:v>Kinh</x:v>
      </x:c>
      <x:c r="G539" s="68" t="str">
        <x:v>Xã Phước Long</x:v>
      </x:c>
      <x:c r="H539" s="68" t="str">
        <x:v>THCS Vĩnh Thanh</x:v>
      </x:c>
      <x:c r="I539" s="68" t="str">
        <x:v>Xã Vĩnh Thanh</x:v>
      </x:c>
      <x:c r="J539" s="124" t="n">
        <x:v>31</x:v>
      </x:c>
      <x:c r="K539" s="130" t="n">
        <x:v>35</x:v>
      </x:c>
      <x:c r="L539" s="124"/>
      <x:c r="M539" s="124"/>
      <x:c r="N539" s="124" t="n">
        <x:v>66</x:v>
      </x:c>
      <x:c r="O539" s="69" t="str"/>
    </x:row>
    <x:row r="540" ht="21" customHeight="1">
      <x:c r="A540" s="100" t="n">
        <x:v>536</x:v>
      </x:c>
      <x:c r="B540" s="172" t="n">
        <x:v>95211003920</x:v>
      </x:c>
      <x:c r="C540" s="68" t="str">
        <x:v>TRẦN GIA THỊNH</x:v>
      </x:c>
      <x:c r="D540" s="106" t="str"/>
      <x:c r="E540" s="118" t="n">
        <x:v>40699</x:v>
      </x:c>
      <x:c r="F540" s="106" t="str">
        <x:v>Kinh</x:v>
      </x:c>
      <x:c r="G540" s="68" t="str">
        <x:v>Xã Phước Long</x:v>
      </x:c>
      <x:c r="H540" s="68" t="str">
        <x:v>THCS Vương Hữu Nhơn</x:v>
      </x:c>
      <x:c r="I540" s="68" t="str">
        <x:v>Xã Phước Long</x:v>
      </x:c>
      <x:c r="J540" s="124" t="n">
        <x:v>30</x:v>
      </x:c>
      <x:c r="K540" s="130" t="n">
        <x:v>36</x:v>
      </x:c>
      <x:c r="L540" s="124"/>
      <x:c r="M540" s="124"/>
      <x:c r="N540" s="124" t="n">
        <x:v>66</x:v>
      </x:c>
      <x:c r="O540" s="69" t="str"/>
    </x:row>
    <x:row r="541" ht="21" customHeight="1">
      <x:c r="A541" s="100" t="n">
        <x:v>537</x:v>
      </x:c>
      <x:c r="B541" s="172" t="n">
        <x:v>95211009549</x:v>
      </x:c>
      <x:c r="C541" s="68" t="str">
        <x:v>NGUYỄN VŨ KHA</x:v>
      </x:c>
      <x:c r="D541" s="106" t="str"/>
      <x:c r="E541" s="118" t="n">
        <x:v>40548</x:v>
      </x:c>
      <x:c r="F541" s="106" t="str">
        <x:v>Kinh</x:v>
      </x:c>
      <x:c r="G541" s="68" t="str">
        <x:v>Xã Phước Long</x:v>
      </x:c>
      <x:c r="H541" s="68" t="str">
        <x:v>THCS Vương Hữu Nhơn</x:v>
      </x:c>
      <x:c r="I541" s="68" t="str">
        <x:v>Xã Phước Long</x:v>
      </x:c>
      <x:c r="J541" s="124" t="n">
        <x:v>29</x:v>
      </x:c>
      <x:c r="K541" s="130" t="n">
        <x:v>36</x:v>
      </x:c>
      <x:c r="L541" s="124" t="n">
        <x:v>1</x:v>
      </x:c>
      <x:c r="M541" s="124"/>
      <x:c r="N541" s="124" t="n">
        <x:v>66</x:v>
      </x:c>
      <x:c r="O541" s="69" t="str"/>
    </x:row>
    <x:row r="542" ht="21" customHeight="1">
      <x:c r="A542" s="100" t="n">
        <x:v>538</x:v>
      </x:c>
      <x:c r="B542" s="172" t="n">
        <x:v>95311001312</x:v>
      </x:c>
      <x:c r="C542" s="68" t="str">
        <x:v>NGUYỄN THỊ NGỌC LỢI</x:v>
      </x:c>
      <x:c r="D542" s="106" t="str">
        <x:v>X</x:v>
      </x:c>
      <x:c r="E542" s="118" t="n">
        <x:v>40699</x:v>
      </x:c>
      <x:c r="F542" s="106" t="str">
        <x:v>Kinh</x:v>
      </x:c>
      <x:c r="G542" s="68" t="str">
        <x:v>Xã Ninh Thạnh Lợi</x:v>
      </x:c>
      <x:c r="H542" s="68" t="str">
        <x:v>THCS Phước Long</x:v>
      </x:c>
      <x:c r="I542" s="68" t="str">
        <x:v>Xã Phước Long</x:v>
      </x:c>
      <x:c r="J542" s="124" t="n">
        <x:v>30.9</x:v>
      </x:c>
      <x:c r="K542" s="130" t="n">
        <x:v>34</x:v>
      </x:c>
      <x:c r="L542" s="124" t="n">
        <x:v>1</x:v>
      </x:c>
      <x:c r="M542" s="124"/>
      <x:c r="N542" s="124" t="n">
        <x:v>65.9</x:v>
      </x:c>
      <x:c r="O542" s="69" t="str"/>
    </x:row>
    <x:row r="543" ht="21" customHeight="1">
      <x:c r="A543" s="100" t="n">
        <x:v>539</x:v>
      </x:c>
      <x:c r="B543" s="172" t="n">
        <x:v>95311003827</x:v>
      </x:c>
      <x:c r="C543" s="68" t="str">
        <x:v>NGUYỄN THỊ KIỀU LIÊN</x:v>
      </x:c>
      <x:c r="D543" s="106" t="str">
        <x:v>X</x:v>
      </x:c>
      <x:c r="E543" s="118" t="n">
        <x:v>40810</x:v>
      </x:c>
      <x:c r="F543" s="106" t="str">
        <x:v>Kinh</x:v>
      </x:c>
      <x:c r="G543" s="68" t="str">
        <x:v>Xã Phước Long</x:v>
      </x:c>
      <x:c r="H543" s="68" t="str">
        <x:v>THCS Phước Long</x:v>
      </x:c>
      <x:c r="I543" s="68" t="str">
        <x:v>Xã Phước Long</x:v>
      </x:c>
      <x:c r="J543" s="124" t="n">
        <x:v>29.9</x:v>
      </x:c>
      <x:c r="K543" s="130" t="n">
        <x:v>36</x:v>
      </x:c>
      <x:c r="L543" s="124"/>
      <x:c r="M543" s="124"/>
      <x:c r="N543" s="124" t="n">
        <x:v>65.9</x:v>
      </x:c>
      <x:c r="O543" s="69" t="str"/>
    </x:row>
    <x:row r="544" ht="21" customHeight="1">
      <x:c r="A544" s="100" t="n">
        <x:v>540</x:v>
      </x:c>
      <x:c r="B544" s="172" t="n">
        <x:v>95311005478</x:v>
      </x:c>
      <x:c r="C544" s="68" t="str">
        <x:v>LÊ THANH TRÚC</x:v>
      </x:c>
      <x:c r="D544" s="106" t="str">
        <x:v>X</x:v>
      </x:c>
      <x:c r="E544" s="118" t="n">
        <x:v>40908</x:v>
      </x:c>
      <x:c r="F544" s="106" t="str">
        <x:v>Kinh</x:v>
      </x:c>
      <x:c r="G544" s="68" t="str">
        <x:v>Xã Phước Long</x:v>
      </x:c>
      <x:c r="H544" s="68" t="str">
        <x:v>THCS Phước Long</x:v>
      </x:c>
      <x:c r="I544" s="68" t="str">
        <x:v>Xã Phước Long</x:v>
      </x:c>
      <x:c r="J544" s="124" t="n">
        <x:v>29.9</x:v>
      </x:c>
      <x:c r="K544" s="130" t="n">
        <x:v>36</x:v>
      </x:c>
      <x:c r="L544" s="124"/>
      <x:c r="M544" s="124"/>
      <x:c r="N544" s="124" t="n">
        <x:v>65.9</x:v>
      </x:c>
      <x:c r="O544" s="69" t="str"/>
    </x:row>
    <x:row r="545" ht="21" customHeight="1">
      <x:c r="A545" s="100" t="n">
        <x:v>541</x:v>
      </x:c>
      <x:c r="B545" s="172" t="n">
        <x:v>95311009879</x:v>
      </x:c>
      <x:c r="C545" s="68" t="str">
        <x:v>TRẦN THỊ THẢO VY</x:v>
      </x:c>
      <x:c r="D545" s="106" t="str">
        <x:v>X</x:v>
      </x:c>
      <x:c r="E545" s="118" t="n">
        <x:v>40800</x:v>
      </x:c>
      <x:c r="F545" s="106" t="str">
        <x:v>Kinh</x:v>
      </x:c>
      <x:c r="G545" s="68" t="str">
        <x:v>Xã Vĩnh Phước</x:v>
      </x:c>
      <x:c r="H545" s="68" t="str">
        <x:v>THCS Phước Long</x:v>
      </x:c>
      <x:c r="I545" s="68" t="str">
        <x:v>Xã Phước Long</x:v>
      </x:c>
      <x:c r="J545" s="124" t="n">
        <x:v>30.9</x:v>
      </x:c>
      <x:c r="K545" s="130" t="n">
        <x:v>35</x:v>
      </x:c>
      <x:c r="L545" s="124"/>
      <x:c r="M545" s="124"/>
      <x:c r="N545" s="124" t="n">
        <x:v>65.9</x:v>
      </x:c>
      <x:c r="O545" s="69" t="str"/>
    </x:row>
    <x:row r="546" ht="21" customHeight="1">
      <x:c r="A546" s="100" t="n">
        <x:v>542</x:v>
      </x:c>
      <x:c r="B546" s="172" t="n">
        <x:v>95311009384</x:v>
      </x:c>
      <x:c r="C546" s="68" t="str">
        <x:v>ĐOÀN NGỌC HUYỀN</x:v>
      </x:c>
      <x:c r="D546" s="106" t="str">
        <x:v>X</x:v>
      </x:c>
      <x:c r="E546" s="118" t="n">
        <x:v>40628</x:v>
      </x:c>
      <x:c r="F546" s="106" t="str">
        <x:v>Kinh</x:v>
      </x:c>
      <x:c r="G546" s="68" t="str">
        <x:v>Xã Phước Long</x:v>
      </x:c>
      <x:c r="H546" s="68" t="str">
        <x:v>THCS Phước Long</x:v>
      </x:c>
      <x:c r="I546" s="68" t="str">
        <x:v>Xã Phước Long</x:v>
      </x:c>
      <x:c r="J546" s="124" t="n">
        <x:v>30.9</x:v>
      </x:c>
      <x:c r="K546" s="130" t="n">
        <x:v>35</x:v>
      </x:c>
      <x:c r="L546" s="124"/>
      <x:c r="M546" s="124"/>
      <x:c r="N546" s="124" t="n">
        <x:v>65.9</x:v>
      </x:c>
      <x:c r="O546" s="69" t="str"/>
    </x:row>
    <x:row r="547" ht="21" customHeight="1">
      <x:c r="A547" s="100" t="n">
        <x:v>543</x:v>
      </x:c>
      <x:c r="B547" s="172" t="n">
        <x:v>95311008329</x:v>
      </x:c>
      <x:c r="C547" s="68" t="str">
        <x:v>NGUYỄN MỸ PHƯƠNG</x:v>
      </x:c>
      <x:c r="D547" s="106" t="str">
        <x:v>X</x:v>
      </x:c>
      <x:c r="E547" s="118" t="n">
        <x:v>40728</x:v>
      </x:c>
      <x:c r="F547" s="106" t="str">
        <x:v>Kinh</x:v>
      </x:c>
      <x:c r="G547" s="68" t="str">
        <x:v>Xã Vĩnh Phước</x:v>
      </x:c>
      <x:c r="H547" s="68" t="str">
        <x:v>THCS Vĩnh Phú Tây</x:v>
      </x:c>
      <x:c r="I547" s="68" t="str">
        <x:v>Xã Vĩnh Phước</x:v>
      </x:c>
      <x:c r="J547" s="124" t="n">
        <x:v>29.9</x:v>
      </x:c>
      <x:c r="K547" s="130" t="n">
        <x:v>36</x:v>
      </x:c>
      <x:c r="L547" s="124"/>
      <x:c r="M547" s="124"/>
      <x:c r="N547" s="124" t="n">
        <x:v>65.9</x:v>
      </x:c>
      <x:c r="O547" s="69" t="str"/>
    </x:row>
    <x:row r="548" ht="21" customHeight="1">
      <x:c r="A548" s="100" t="n">
        <x:v>544</x:v>
      </x:c>
      <x:c r="B548" s="172" t="n">
        <x:v>95211003199</x:v>
      </x:c>
      <x:c r="C548" s="68" t="str">
        <x:v>VÕ CAO ĐÌNH</x:v>
      </x:c>
      <x:c r="D548" s="106" t="str"/>
      <x:c r="E548" s="118" t="n">
        <x:v>40751</x:v>
      </x:c>
      <x:c r="F548" s="106" t="str">
        <x:v>Kinh</x:v>
      </x:c>
      <x:c r="G548" s="68" t="str">
        <x:v>Xã Vĩnh Thanh</x:v>
      </x:c>
      <x:c r="H548" s="68" t="str">
        <x:v>THCS Hưng Phú</x:v>
      </x:c>
      <x:c r="I548" s="68" t="str">
        <x:v>Xã Vĩnh Thanh</x:v>
      </x:c>
      <x:c r="J548" s="124" t="n">
        <x:v>29.9</x:v>
      </x:c>
      <x:c r="K548" s="130" t="n">
        <x:v>36</x:v>
      </x:c>
      <x:c r="L548" s="124"/>
      <x:c r="M548" s="124"/>
      <x:c r="N548" s="124" t="n">
        <x:v>65.9</x:v>
      </x:c>
      <x:c r="O548" s="69" t="str"/>
    </x:row>
    <x:row r="549" ht="21" customHeight="1">
      <x:c r="A549" s="100" t="n">
        <x:v>545</x:v>
      </x:c>
      <x:c r="B549" s="172" t="n">
        <x:v>95311003654</x:v>
      </x:c>
      <x:c r="C549" s="68" t="str">
        <x:v>NGUYỄN THỊ HẢI DUYÊN</x:v>
      </x:c>
      <x:c r="D549" s="106" t="str">
        <x:v>X</x:v>
      </x:c>
      <x:c r="E549" s="118" t="n">
        <x:v>40811</x:v>
      </x:c>
      <x:c r="F549" s="106" t="str">
        <x:v>Kinh</x:v>
      </x:c>
      <x:c r="G549" s="68" t="str">
        <x:v>Xã Vĩnh Thanh</x:v>
      </x:c>
      <x:c r="H549" s="68" t="str">
        <x:v>THCS Vĩnh Thanh</x:v>
      </x:c>
      <x:c r="I549" s="68" t="str">
        <x:v>Xã Vĩnh Thanh</x:v>
      </x:c>
      <x:c r="J549" s="124" t="n">
        <x:v>29.9</x:v>
      </x:c>
      <x:c r="K549" s="130" t="n">
        <x:v>36</x:v>
      </x:c>
      <x:c r="L549" s="124"/>
      <x:c r="M549" s="124"/>
      <x:c r="N549" s="124" t="n">
        <x:v>65.9</x:v>
      </x:c>
      <x:c r="O549" s="69" t="str"/>
    </x:row>
    <x:row r="550" ht="21" customHeight="1">
      <x:c r="A550" s="100" t="n">
        <x:v>546</x:v>
      </x:c>
      <x:c r="B550" s="172" t="n">
        <x:v>95311000831</x:v>
      </x:c>
      <x:c r="C550" s="68" t="str">
        <x:v>NGUYỄN YẾN NHI</x:v>
      </x:c>
      <x:c r="D550" s="106" t="str">
        <x:v>X</x:v>
      </x:c>
      <x:c r="E550" s="118" t="n">
        <x:v>40685</x:v>
      </x:c>
      <x:c r="F550" s="106" t="str">
        <x:v>Kinh</x:v>
      </x:c>
      <x:c r="G550" s="68" t="str">
        <x:v>Xã Vĩnh Phước</x:v>
      </x:c>
      <x:c r="H550" s="68" t="str">
        <x:v>THCS Phước Long</x:v>
      </x:c>
      <x:c r="I550" s="68" t="str">
        <x:v>Xã Phước Long</x:v>
      </x:c>
      <x:c r="J550" s="124" t="n">
        <x:v>29.8</x:v>
      </x:c>
      <x:c r="K550" s="130" t="n">
        <x:v>36</x:v>
      </x:c>
      <x:c r="L550" s="124"/>
      <x:c r="M550" s="124"/>
      <x:c r="N550" s="124" t="n">
        <x:v>65.8</x:v>
      </x:c>
      <x:c r="O550" s="69" t="str"/>
    </x:row>
    <x:row r="551" ht="21" customHeight="1">
      <x:c r="A551" s="100" t="n">
        <x:v>547</x:v>
      </x:c>
      <x:c r="B551" s="172" t="n">
        <x:v>95211003431</x:v>
      </x:c>
      <x:c r="C551" s="68" t="str">
        <x:v>TRANG HUỲNH HOÀNG LONG</x:v>
      </x:c>
      <x:c r="D551" s="106" t="str"/>
      <x:c r="E551" s="118" t="n">
        <x:v>40661</x:v>
      </x:c>
      <x:c r="F551" s="106" t="str">
        <x:v>Kinh</x:v>
      </x:c>
      <x:c r="G551" s="68" t="str">
        <x:v>Xã Phước Long</x:v>
      </x:c>
      <x:c r="H551" s="68" t="str">
        <x:v>THCS Phước Long</x:v>
      </x:c>
      <x:c r="I551" s="68" t="str">
        <x:v>Xã Phước Long</x:v>
      </x:c>
      <x:c r="J551" s="124" t="n">
        <x:v>29.8</x:v>
      </x:c>
      <x:c r="K551" s="130" t="n">
        <x:v>36</x:v>
      </x:c>
      <x:c r="L551" s="124"/>
      <x:c r="M551" s="124"/>
      <x:c r="N551" s="124" t="n">
        <x:v>65.8</x:v>
      </x:c>
      <x:c r="O551" s="69" t="str"/>
    </x:row>
    <x:row r="552" ht="21" customHeight="1">
      <x:c r="A552" s="100" t="n">
        <x:v>548</x:v>
      </x:c>
      <x:c r="B552" s="172" t="n">
        <x:v>79211021183</x:v>
      </x:c>
      <x:c r="C552" s="68" t="str">
        <x:v>HỒ LÊ MINH KHÔI</x:v>
      </x:c>
      <x:c r="D552" s="106" t="str"/>
      <x:c r="E552" s="118" t="n">
        <x:v>40769</x:v>
      </x:c>
      <x:c r="F552" s="106" t="str">
        <x:v>Kinh</x:v>
      </x:c>
      <x:c r="G552" s="68" t="str">
        <x:v>Xã Phước Long</x:v>
      </x:c>
      <x:c r="H552" s="68" t="str">
        <x:v>THCS Phước Long</x:v>
      </x:c>
      <x:c r="I552" s="68" t="str">
        <x:v>Xã Phước Long</x:v>
      </x:c>
      <x:c r="J552" s="124" t="n">
        <x:v>29.8</x:v>
      </x:c>
      <x:c r="K552" s="130" t="n">
        <x:v>36</x:v>
      </x:c>
      <x:c r="L552" s="124"/>
      <x:c r="M552" s="124"/>
      <x:c r="N552" s="124" t="n">
        <x:v>65.8</x:v>
      </x:c>
      <x:c r="O552" s="69" t="str"/>
    </x:row>
    <x:row r="553" ht="21" customHeight="1">
      <x:c r="A553" s="100" t="n">
        <x:v>549</x:v>
      </x:c>
      <x:c r="B553" s="172" t="n">
        <x:v>95311001324</x:v>
      </x:c>
      <x:c r="C553" s="68" t="str">
        <x:v>TRẦN HUỲNH KHÁNH BĂNG</x:v>
      </x:c>
      <x:c r="D553" s="106" t="str">
        <x:v>X</x:v>
      </x:c>
      <x:c r="E553" s="118" t="n">
        <x:v>40657</x:v>
      </x:c>
      <x:c r="F553" s="106" t="str">
        <x:v>Kinh</x:v>
      </x:c>
      <x:c r="G553" s="68" t="str">
        <x:v>Xã Vĩnh Thanh</x:v>
      </x:c>
      <x:c r="H553" s="68" t="str">
        <x:v>THCS Hưng Phú</x:v>
      </x:c>
      <x:c r="I553" s="68" t="str">
        <x:v>Xã Vĩnh Thanh</x:v>
      </x:c>
      <x:c r="J553" s="124" t="n">
        <x:v>29.8</x:v>
      </x:c>
      <x:c r="K553" s="130" t="n">
        <x:v>36</x:v>
      </x:c>
      <x:c r="L553" s="124"/>
      <x:c r="M553" s="124"/>
      <x:c r="N553" s="124" t="n">
        <x:v>65.8</x:v>
      </x:c>
      <x:c r="O553" s="69" t="str"/>
    </x:row>
    <x:row r="554" ht="21" customHeight="1">
      <x:c r="A554" s="100" t="n">
        <x:v>550</x:v>
      </x:c>
      <x:c r="B554" s="172" t="n">
        <x:v>95211006101</x:v>
      </x:c>
      <x:c r="C554" s="68" t="str">
        <x:v>LÊ HẢI THIỆN</x:v>
      </x:c>
      <x:c r="D554" s="106" t="str"/>
      <x:c r="E554" s="118" t="n">
        <x:v>40619</x:v>
      </x:c>
      <x:c r="F554" s="106" t="str">
        <x:v>Kinh</x:v>
      </x:c>
      <x:c r="G554" s="68" t="str">
        <x:v>Xã Vĩnh Thanh</x:v>
      </x:c>
      <x:c r="H554" s="68" t="str">
        <x:v>THCS Hưng Phú</x:v>
      </x:c>
      <x:c r="I554" s="68" t="str">
        <x:v>Xã Vĩnh Thanh</x:v>
      </x:c>
      <x:c r="J554" s="124" t="n">
        <x:v>29.8</x:v>
      </x:c>
      <x:c r="K554" s="130" t="n">
        <x:v>36</x:v>
      </x:c>
      <x:c r="L554" s="124"/>
      <x:c r="M554" s="124"/>
      <x:c r="N554" s="124" t="n">
        <x:v>65.8</x:v>
      </x:c>
      <x:c r="O554" s="69" t="str"/>
    </x:row>
    <x:row r="555" ht="21" customHeight="1">
      <x:c r="A555" s="100" t="n">
        <x:v>551</x:v>
      </x:c>
      <x:c r="B555" s="172" t="n">
        <x:v>95311006004</x:v>
      </x:c>
      <x:c r="C555" s="68" t="str">
        <x:v>NGUYỄN THỊ NGỌC ANH</x:v>
      </x:c>
      <x:c r="D555" s="106" t="str">
        <x:v>X</x:v>
      </x:c>
      <x:c r="E555" s="118" t="n">
        <x:v>40781</x:v>
      </x:c>
      <x:c r="F555" s="106" t="str">
        <x:v>Kinh</x:v>
      </x:c>
      <x:c r="G555" s="68" t="str">
        <x:v>Xã Phước Long</x:v>
      </x:c>
      <x:c r="H555" s="68" t="str">
        <x:v>THCS Vĩnh Thanh</x:v>
      </x:c>
      <x:c r="I555" s="68" t="str">
        <x:v>Xã Vĩnh Thanh</x:v>
      </x:c>
      <x:c r="J555" s="124" t="n">
        <x:v>29.8</x:v>
      </x:c>
      <x:c r="K555" s="130" t="n">
        <x:v>36</x:v>
      </x:c>
      <x:c r="L555" s="124"/>
      <x:c r="M555" s="124"/>
      <x:c r="N555" s="124" t="n">
        <x:v>65.8</x:v>
      </x:c>
      <x:c r="O555" s="69" t="str"/>
    </x:row>
    <x:row r="556" ht="21" customHeight="1">
      <x:c r="A556" s="100" t="n">
        <x:v>552</x:v>
      </x:c>
      <x:c r="B556" s="172" t="n">
        <x:v>95311000144</x:v>
      </x:c>
      <x:c r="C556" s="68" t="str">
        <x:v>NGUYỄN THỊ HUỲNH AN</x:v>
      </x:c>
      <x:c r="D556" s="106" t="str">
        <x:v>X</x:v>
      </x:c>
      <x:c r="E556" s="118" t="n">
        <x:v>40626</x:v>
      </x:c>
      <x:c r="F556" s="106" t="str">
        <x:v>Kinh</x:v>
      </x:c>
      <x:c r="G556" s="68" t="str">
        <x:v>Xã Phước Long</x:v>
      </x:c>
      <x:c r="H556" s="68" t="str">
        <x:v>THCS Vương Hữu Nhơn</x:v>
      </x:c>
      <x:c r="I556" s="68" t="str">
        <x:v>Xã Phước Long</x:v>
      </x:c>
      <x:c r="J556" s="124" t="n">
        <x:v>29.8</x:v>
      </x:c>
      <x:c r="K556" s="130" t="n">
        <x:v>36</x:v>
      </x:c>
      <x:c r="L556" s="124"/>
      <x:c r="M556" s="124"/>
      <x:c r="N556" s="124" t="n">
        <x:v>65.8</x:v>
      </x:c>
      <x:c r="O556" s="69" t="str"/>
    </x:row>
    <x:row r="557" ht="21" customHeight="1">
      <x:c r="A557" s="100" t="n">
        <x:v>553</x:v>
      </x:c>
      <x:c r="B557" s="172" t="n">
        <x:v>95211002147</x:v>
      </x:c>
      <x:c r="C557" s="68" t="str">
        <x:v>NGUYỄN CHÍ HUY</x:v>
      </x:c>
      <x:c r="D557" s="106" t="str"/>
      <x:c r="E557" s="118" t="n">
        <x:v>40746</x:v>
      </x:c>
      <x:c r="F557" s="106" t="str">
        <x:v>Kinh</x:v>
      </x:c>
      <x:c r="G557" s="68" t="str">
        <x:v>Xã Phước Long</x:v>
      </x:c>
      <x:c r="H557" s="68" t="str">
        <x:v>THCS Vương Hữu Nhơn</x:v>
      </x:c>
      <x:c r="I557" s="68" t="str">
        <x:v>Xã Phước Long</x:v>
      </x:c>
      <x:c r="J557" s="124" t="n">
        <x:v>29.8</x:v>
      </x:c>
      <x:c r="K557" s="130" t="n">
        <x:v>36</x:v>
      </x:c>
      <x:c r="L557" s="124"/>
      <x:c r="M557" s="124"/>
      <x:c r="N557" s="124" t="n">
        <x:v>65.8</x:v>
      </x:c>
      <x:c r="O557" s="69" t="str"/>
    </x:row>
    <x:row r="558" ht="21" customHeight="1">
      <x:c r="A558" s="100" t="n">
        <x:v>554</x:v>
      </x:c>
      <x:c r="B558" s="172" t="n">
        <x:v>95211008667</x:v>
      </x:c>
      <x:c r="C558" s="68" t="str">
        <x:v>KHƯU HOÀNG NHẤT DUY</x:v>
      </x:c>
      <x:c r="D558" s="106" t="str"/>
      <x:c r="E558" s="118" t="n">
        <x:v>40769</x:v>
      </x:c>
      <x:c r="F558" s="106" t="str">
        <x:v>Khmer</x:v>
      </x:c>
      <x:c r="G558" s="68" t="str">
        <x:v>Xã Vĩnh Phước</x:v>
      </x:c>
      <x:c r="H558" s="68" t="str">
        <x:v>THCS Vĩnh Phú Tây</x:v>
      </x:c>
      <x:c r="I558" s="68" t="str">
        <x:v>Xã Vĩnh Phước</x:v>
      </x:c>
      <x:c r="J558" s="124" t="n">
        <x:v>29.7</x:v>
      </x:c>
      <x:c r="K558" s="130" t="n">
        <x:v>35</x:v>
      </x:c>
      <x:c r="L558" s="124" t="n">
        <x:v>1</x:v>
      </x:c>
      <x:c r="M558" s="124"/>
      <x:c r="N558" s="124" t="n">
        <x:v>65.7</x:v>
      </x:c>
      <x:c r="O558" s="69" t="str"/>
    </x:row>
    <x:row r="559" ht="21" customHeight="1">
      <x:c r="A559" s="100" t="n">
        <x:v>555</x:v>
      </x:c>
      <x:c r="B559" s="172" t="n">
        <x:v>95311002223</x:v>
      </x:c>
      <x:c r="C559" s="68" t="str">
        <x:v>VÕ PHẠM QUỲNH NHƯ</x:v>
      </x:c>
      <x:c r="D559" s="106" t="str">
        <x:v>X</x:v>
      </x:c>
      <x:c r="E559" s="118" t="n">
        <x:v>40868</x:v>
      </x:c>
      <x:c r="F559" s="106" t="str">
        <x:v>Kinh</x:v>
      </x:c>
      <x:c r="G559" s="68" t="str">
        <x:v>Xã Vĩnh Phước</x:v>
      </x:c>
      <x:c r="H559" s="68" t="str">
        <x:v>THCS Vĩnh Phú Tây</x:v>
      </x:c>
      <x:c r="I559" s="68" t="str">
        <x:v>Xã Vĩnh Phước</x:v>
      </x:c>
      <x:c r="J559" s="124" t="n">
        <x:v>29.7</x:v>
      </x:c>
      <x:c r="K559" s="130" t="n">
        <x:v>36</x:v>
      </x:c>
      <x:c r="L559" s="124"/>
      <x:c r="M559" s="124"/>
      <x:c r="N559" s="124" t="n">
        <x:v>65.7</x:v>
      </x:c>
      <x:c r="O559" s="69" t="str"/>
    </x:row>
    <x:row r="560" ht="21" customHeight="1">
      <x:c r="A560" s="100" t="n">
        <x:v>556</x:v>
      </x:c>
      <x:c r="B560" s="172" t="n">
        <x:v>95311002104</x:v>
      </x:c>
      <x:c r="C560" s="68" t="str">
        <x:v>NGUYỄN THỊ THẢO NGUYỄN</x:v>
      </x:c>
      <x:c r="D560" s="106" t="str">
        <x:v>X</x:v>
      </x:c>
      <x:c r="E560" s="118" t="n">
        <x:v>40809</x:v>
      </x:c>
      <x:c r="F560" s="106" t="str">
        <x:v>Kinh</x:v>
      </x:c>
      <x:c r="G560" s="68" t="str">
        <x:v>Xã Vĩnh Thanh</x:v>
      </x:c>
      <x:c r="H560" s="68" t="str">
        <x:v>THCS Hưng Phú</x:v>
      </x:c>
      <x:c r="I560" s="68" t="str">
        <x:v>Xã Vĩnh Thanh</x:v>
      </x:c>
      <x:c r="J560" s="124" t="n">
        <x:v>29.7</x:v>
      </x:c>
      <x:c r="K560" s="130" t="n">
        <x:v>36</x:v>
      </x:c>
      <x:c r="L560" s="124"/>
      <x:c r="M560" s="124"/>
      <x:c r="N560" s="124" t="n">
        <x:v>65.7</x:v>
      </x:c>
      <x:c r="O560" s="69" t="str"/>
    </x:row>
    <x:row r="561" ht="21" customHeight="1">
      <x:c r="A561" s="100" t="n">
        <x:v>557</x:v>
      </x:c>
      <x:c r="B561" s="172" t="n">
        <x:v>95211009786</x:v>
      </x:c>
      <x:c r="C561" s="68" t="str">
        <x:v>NGUYỄN QUỐC TRANG</x:v>
      </x:c>
      <x:c r="D561" s="106" t="str"/>
      <x:c r="E561" s="118" t="n">
        <x:v>40869</x:v>
      </x:c>
      <x:c r="F561" s="106" t="str">
        <x:v>Khmer</x:v>
      </x:c>
      <x:c r="G561" s="68" t="str">
        <x:v>Xã Vĩnh Phước</x:v>
      </x:c>
      <x:c r="H561" s="68" t="str">
        <x:v>THCS Phước Long</x:v>
      </x:c>
      <x:c r="I561" s="68" t="str">
        <x:v>Xã Phước Long</x:v>
      </x:c>
      <x:c r="J561" s="124" t="n">
        <x:v>30.7</x:v>
      </x:c>
      <x:c r="K561" s="130" t="n">
        <x:v>34</x:v>
      </x:c>
      <x:c r="L561" s="124" t="n">
        <x:v>1</x:v>
      </x:c>
      <x:c r="M561" s="124"/>
      <x:c r="N561" s="124" t="n">
        <x:v>65.7</x:v>
      </x:c>
      <x:c r="O561" s="69" t="str"/>
    </x:row>
    <x:row r="562" ht="21" customHeight="1">
      <x:c r="A562" s="100" t="n">
        <x:v>558</x:v>
      </x:c>
      <x:c r="B562" s="172" t="n">
        <x:v>95311008979</x:v>
      </x:c>
      <x:c r="C562" s="68" t="str">
        <x:v>NGUYỄN LAN ANH</x:v>
      </x:c>
      <x:c r="D562" s="106" t="str">
        <x:v>X</x:v>
      </x:c>
      <x:c r="E562" s="118" t="n">
        <x:v>40818</x:v>
      </x:c>
      <x:c r="F562" s="106" t="str">
        <x:v>Kinh</x:v>
      </x:c>
      <x:c r="G562" s="68" t="str">
        <x:v>Xã Phước Long</x:v>
      </x:c>
      <x:c r="H562" s="68" t="str">
        <x:v>THCS Phước Long</x:v>
      </x:c>
      <x:c r="I562" s="68" t="str">
        <x:v>Xã Phước Long</x:v>
      </x:c>
      <x:c r="J562" s="124" t="n">
        <x:v>29.6</x:v>
      </x:c>
      <x:c r="K562" s="130" t="n">
        <x:v>36</x:v>
      </x:c>
      <x:c r="L562" s="124"/>
      <x:c r="M562" s="124"/>
      <x:c r="N562" s="124" t="n">
        <x:v>65.6</x:v>
      </x:c>
      <x:c r="O562" s="69" t="str"/>
    </x:row>
    <x:row r="563" ht="21" customHeight="1">
      <x:c r="A563" s="100" t="n">
        <x:v>559</x:v>
      </x:c>
      <x:c r="B563" s="172" t="n">
        <x:v>95311001849</x:v>
      </x:c>
      <x:c r="C563" s="68" t="str">
        <x:v>NGUYỄN CẨM LY</x:v>
      </x:c>
      <x:c r="D563" s="106" t="str">
        <x:v>X</x:v>
      </x:c>
      <x:c r="E563" s="118" t="n">
        <x:v>40559</x:v>
      </x:c>
      <x:c r="F563" s="106" t="str">
        <x:v>Kinh</x:v>
      </x:c>
      <x:c r="G563" s="68" t="str">
        <x:v>Xã Phước Long</x:v>
      </x:c>
      <x:c r="H563" s="68" t="str">
        <x:v>THCS Phước Long</x:v>
      </x:c>
      <x:c r="I563" s="68" t="str">
        <x:v>Xã Phước Long</x:v>
      </x:c>
      <x:c r="J563" s="124" t="n">
        <x:v>30.6</x:v>
      </x:c>
      <x:c r="K563" s="130" t="n">
        <x:v>35</x:v>
      </x:c>
      <x:c r="L563" s="124"/>
      <x:c r="M563" s="124"/>
      <x:c r="N563" s="124" t="n">
        <x:v>65.6</x:v>
      </x:c>
      <x:c r="O563" s="69" t="str"/>
    </x:row>
    <x:row r="564" ht="21" customHeight="1">
      <x:c r="A564" s="100" t="n">
        <x:v>560</x:v>
      </x:c>
      <x:c r="B564" s="172" t="n">
        <x:v>95209007248</x:v>
      </x:c>
      <x:c r="C564" s="68" t="str">
        <x:v>THẠCH HOÀI BẢO</x:v>
      </x:c>
      <x:c r="D564" s="106" t="str"/>
      <x:c r="E564" s="118" t="n">
        <x:v>40167</x:v>
      </x:c>
      <x:c r="F564" s="106" t="str">
        <x:v>Khmer</x:v>
      </x:c>
      <x:c r="G564" s="68" t="str">
        <x:v>Xã Phước Long</x:v>
      </x:c>
      <x:c r="H564" s="68" t="str">
        <x:v>THCS Phước Long</x:v>
      </x:c>
      <x:c r="I564" s="68" t="str">
        <x:v>Xã Phước Long</x:v>
      </x:c>
      <x:c r="J564" s="124" t="n">
        <x:v>28.6</x:v>
      </x:c>
      <x:c r="K564" s="130" t="n">
        <x:v>36</x:v>
      </x:c>
      <x:c r="L564" s="124" t="n">
        <x:v>1</x:v>
      </x:c>
      <x:c r="M564" s="124"/>
      <x:c r="N564" s="124" t="n">
        <x:v>65.6</x:v>
      </x:c>
      <x:c r="O564" s="69" t="str"/>
    </x:row>
    <x:row r="565" ht="21" customHeight="1">
      <x:c r="A565" s="100" t="n">
        <x:v>561</x:v>
      </x:c>
      <x:c r="B565" s="172" t="n">
        <x:v>95211006462</x:v>
      </x:c>
      <x:c r="C565" s="68" t="str">
        <x:v>TRẦN NGUYỄN KHÁNH NGUYỄN</x:v>
      </x:c>
      <x:c r="D565" s="106" t="str"/>
      <x:c r="E565" s="118" t="n">
        <x:v>40896</x:v>
      </x:c>
      <x:c r="F565" s="106" t="str">
        <x:v>Kinh</x:v>
      </x:c>
      <x:c r="G565" s="68" t="str">
        <x:v>Xã Phước Long</x:v>
      </x:c>
      <x:c r="H565" s="68" t="str">
        <x:v>THCS Phước Long</x:v>
      </x:c>
      <x:c r="I565" s="68" t="str">
        <x:v>Xã Phước Long</x:v>
      </x:c>
      <x:c r="J565" s="124" t="n">
        <x:v>29.6</x:v>
      </x:c>
      <x:c r="K565" s="130" t="n">
        <x:v>36</x:v>
      </x:c>
      <x:c r="L565" s="124"/>
      <x:c r="M565" s="124"/>
      <x:c r="N565" s="124" t="n">
        <x:v>65.6</x:v>
      </x:c>
      <x:c r="O565" s="69" t="str"/>
    </x:row>
    <x:row r="566" ht="21" customHeight="1">
      <x:c r="A566" s="100" t="n">
        <x:v>562</x:v>
      </x:c>
      <x:c r="B566" s="172" t="n">
        <x:v>95211002069</x:v>
      </x:c>
      <x:c r="C566" s="68" t="str">
        <x:v>TRẦN ĐĂNG KHOA</x:v>
      </x:c>
      <x:c r="D566" s="106" t="str"/>
      <x:c r="E566" s="118" t="n">
        <x:v>40731</x:v>
      </x:c>
      <x:c r="F566" s="106" t="str">
        <x:v>Kinh</x:v>
      </x:c>
      <x:c r="G566" s="68" t="str">
        <x:v>Xã Vĩnh Thanh</x:v>
      </x:c>
      <x:c r="H566" s="68" t="str">
        <x:v>THCS Hưng Phú</x:v>
      </x:c>
      <x:c r="I566" s="68" t="str">
        <x:v>Xã Vĩnh Thanh</x:v>
      </x:c>
      <x:c r="J566" s="124" t="n">
        <x:v>30.6</x:v>
      </x:c>
      <x:c r="K566" s="130" t="n">
        <x:v>35</x:v>
      </x:c>
      <x:c r="L566" s="124"/>
      <x:c r="M566" s="124"/>
      <x:c r="N566" s="124" t="n">
        <x:v>65.6</x:v>
      </x:c>
      <x:c r="O566" s="69" t="str"/>
    </x:row>
    <x:row r="567" ht="21" customHeight="1">
      <x:c r="A567" s="100" t="n">
        <x:v>563</x:v>
      </x:c>
      <x:c r="B567" s="172" t="n">
        <x:v>95311009440</x:v>
      </x:c>
      <x:c r="C567" s="68" t="str">
        <x:v>HUỲNH GIA HÂN</x:v>
      </x:c>
      <x:c r="D567" s="106" t="str">
        <x:v>X</x:v>
      </x:c>
      <x:c r="E567" s="118" t="n">
        <x:v>40849</x:v>
      </x:c>
      <x:c r="F567" s="106" t="str">
        <x:v>Kinh</x:v>
      </x:c>
      <x:c r="G567" s="68" t="str">
        <x:v>Xã Phước Long</x:v>
      </x:c>
      <x:c r="H567" s="68" t="str">
        <x:v>THCS Phước Long</x:v>
      </x:c>
      <x:c r="I567" s="68" t="str">
        <x:v>Xã Phước Long</x:v>
      </x:c>
      <x:c r="J567" s="124" t="n">
        <x:v>30.5</x:v>
      </x:c>
      <x:c r="K567" s="130" t="n">
        <x:v>35</x:v>
      </x:c>
      <x:c r="L567" s="124"/>
      <x:c r="M567" s="124"/>
      <x:c r="N567" s="124" t="n">
        <x:v>65.5</x:v>
      </x:c>
      <x:c r="O567" s="69" t="str"/>
    </x:row>
    <x:row r="568" ht="21" customHeight="1">
      <x:c r="A568" s="100" t="n">
        <x:v>564</x:v>
      </x:c>
      <x:c r="B568" s="172" t="n">
        <x:v>95311009055</x:v>
      </x:c>
      <x:c r="C568" s="68" t="str">
        <x:v>DANH LAN ANH</x:v>
      </x:c>
      <x:c r="D568" s="106" t="str">
        <x:v>X</x:v>
      </x:c>
      <x:c r="E568" s="118" t="n">
        <x:v>40857</x:v>
      </x:c>
      <x:c r="F568" s="106" t="str">
        <x:v>Khmer</x:v>
      </x:c>
      <x:c r="G568" s="68" t="str">
        <x:v>Xã Vĩnh Phước</x:v>
      </x:c>
      <x:c r="H568" s="68" t="str">
        <x:v>THCS Vĩnh Phú Tây</x:v>
      </x:c>
      <x:c r="I568" s="68" t="str">
        <x:v>Xã Vĩnh Phước</x:v>
      </x:c>
      <x:c r="J568" s="124" t="n">
        <x:v>30.5</x:v>
      </x:c>
      <x:c r="K568" s="130" t="n">
        <x:v>34</x:v>
      </x:c>
      <x:c r="L568" s="124" t="n">
        <x:v>1</x:v>
      </x:c>
      <x:c r="M568" s="124"/>
      <x:c r="N568" s="124" t="n">
        <x:v>65.5</x:v>
      </x:c>
      <x:c r="O568" s="69" t="str"/>
    </x:row>
    <x:row r="569" ht="21" customHeight="1">
      <x:c r="A569" s="100" t="n">
        <x:v>565</x:v>
      </x:c>
      <x:c r="B569" s="172" t="n">
        <x:v>95211001590</x:v>
      </x:c>
      <x:c r="C569" s="68" t="str">
        <x:v>DƯƠNG ĐỨC PHÁT</x:v>
      </x:c>
      <x:c r="D569" s="106" t="str"/>
      <x:c r="E569" s="118" t="n">
        <x:v>40801</x:v>
      </x:c>
      <x:c r="F569" s="106" t="str">
        <x:v>Kinh</x:v>
      </x:c>
      <x:c r="G569" s="68" t="str">
        <x:v>Xã Vĩnh Thanh</x:v>
      </x:c>
      <x:c r="H569" s="68" t="str">
        <x:v>THCS Hưng Phú</x:v>
      </x:c>
      <x:c r="I569" s="68" t="str">
        <x:v>Xã Vĩnh Thanh</x:v>
      </x:c>
      <x:c r="J569" s="124" t="n">
        <x:v>29.5</x:v>
      </x:c>
      <x:c r="K569" s="130" t="n">
        <x:v>36</x:v>
      </x:c>
      <x:c r="L569" s="124"/>
      <x:c r="M569" s="124"/>
      <x:c r="N569" s="124" t="n">
        <x:v>65.5</x:v>
      </x:c>
      <x:c r="O569" s="69" t="str"/>
    </x:row>
    <x:row r="570" ht="21" customHeight="1">
      <x:c r="A570" s="100" t="n">
        <x:v>566</x:v>
      </x:c>
      <x:c r="B570" s="172" t="n">
        <x:v>95311007307</x:v>
      </x:c>
      <x:c r="C570" s="68" t="str">
        <x:v>NGUYỄN HUỲNH KHẢ ÁI</x:v>
      </x:c>
      <x:c r="D570" s="106" t="str">
        <x:v>X</x:v>
      </x:c>
      <x:c r="E570" s="118" t="n">
        <x:v>40906</x:v>
      </x:c>
      <x:c r="F570" s="106" t="str">
        <x:v>Kinh</x:v>
      </x:c>
      <x:c r="G570" s="68" t="str">
        <x:v>Xã Ninh Thạnh Lợi</x:v>
      </x:c>
      <x:c r="H570" s="68" t="str">
        <x:v>THCS Phước Long</x:v>
      </x:c>
      <x:c r="I570" s="68" t="str">
        <x:v>Xã Vĩnh Phước</x:v>
      </x:c>
      <x:c r="J570" s="124" t="n">
        <x:v>30.5</x:v>
      </x:c>
      <x:c r="K570" s="130" t="n">
        <x:v>34</x:v>
      </x:c>
      <x:c r="L570" s="124" t="n">
        <x:v>1</x:v>
      </x:c>
      <x:c r="M570" s="124"/>
      <x:c r="N570" s="124" t="n">
        <x:v>65.5</x:v>
      </x:c>
      <x:c r="O570" s="69" t="str"/>
    </x:row>
    <x:row r="571" ht="21" customHeight="1">
      <x:c r="A571" s="100" t="n">
        <x:v>567</x:v>
      </x:c>
      <x:c r="B571" s="172" t="n">
        <x:v>95211005881</x:v>
      </x:c>
      <x:c r="C571" s="68" t="str">
        <x:v>DANH THÁI</x:v>
      </x:c>
      <x:c r="D571" s="106" t="str"/>
      <x:c r="E571" s="118" t="n">
        <x:v>40556</x:v>
      </x:c>
      <x:c r="F571" s="106" t="str">
        <x:v>Khmer</x:v>
      </x:c>
      <x:c r="G571" s="68" t="str">
        <x:v>Xã Vĩnh Phước</x:v>
      </x:c>
      <x:c r="H571" s="68" t="str">
        <x:v>THCS Vĩnh Phú Tây</x:v>
      </x:c>
      <x:c r="I571" s="68" t="str">
        <x:v>Xã Vĩnh Phước</x:v>
      </x:c>
      <x:c r="J571" s="124" t="n">
        <x:v>28.4</x:v>
      </x:c>
      <x:c r="K571" s="130" t="n">
        <x:v>36</x:v>
      </x:c>
      <x:c r="L571" s="124" t="n">
        <x:v>1</x:v>
      </x:c>
      <x:c r="M571" s="124"/>
      <x:c r="N571" s="124" t="n">
        <x:v>65.4</x:v>
      </x:c>
      <x:c r="O571" s="69" t="str"/>
    </x:row>
    <x:row r="572" ht="21" customHeight="1">
      <x:c r="A572" s="100" t="n">
        <x:v>568</x:v>
      </x:c>
      <x:c r="B572" s="172" t="n">
        <x:v>95211004527</x:v>
      </x:c>
      <x:c r="C572" s="68" t="str">
        <x:v>NGUYỄN ĐĂNG KHÔI</x:v>
      </x:c>
      <x:c r="D572" s="106" t="str"/>
      <x:c r="E572" s="118" t="n">
        <x:v>40630</x:v>
      </x:c>
      <x:c r="F572" s="106" t="str">
        <x:v>Kinh</x:v>
      </x:c>
      <x:c r="G572" s="68" t="str">
        <x:v>Xã Phước Long</x:v>
      </x:c>
      <x:c r="H572" s="68" t="str">
        <x:v>THCS Vĩnh Thanh</x:v>
      </x:c>
      <x:c r="I572" s="68" t="str">
        <x:v>Xã Vĩnh Thanh</x:v>
      </x:c>
      <x:c r="J572" s="124" t="n">
        <x:v>29.4</x:v>
      </x:c>
      <x:c r="K572" s="130" t="n">
        <x:v>36</x:v>
      </x:c>
      <x:c r="L572" s="124"/>
      <x:c r="M572" s="124"/>
      <x:c r="N572" s="124" t="n">
        <x:v>65.4</x:v>
      </x:c>
      <x:c r="O572" s="69" t="str"/>
    </x:row>
    <x:row r="573" ht="21" customHeight="1">
      <x:c r="A573" s="100" t="n">
        <x:v>569</x:v>
      </x:c>
      <x:c r="B573" s="172" t="n">
        <x:v>95311005292</x:v>
      </x:c>
      <x:c r="C573" s="68" t="str">
        <x:v>TRẦN THỊ TUYẾT MAI</x:v>
      </x:c>
      <x:c r="D573" s="106" t="str">
        <x:v>X</x:v>
      </x:c>
      <x:c r="E573" s="118" t="n">
        <x:v>40906</x:v>
      </x:c>
      <x:c r="F573" s="106" t="str">
        <x:v>Kinh</x:v>
      </x:c>
      <x:c r="G573" s="68" t="str">
        <x:v>Xã Hồng Dân</x:v>
      </x:c>
      <x:c r="H573" s="68" t="str">
        <x:v>THCS Phước Long</x:v>
      </x:c>
      <x:c r="I573" s="68" t="str">
        <x:v>Xã Vĩnh Phước</x:v>
      </x:c>
      <x:c r="J573" s="124" t="n">
        <x:v>29.4</x:v>
      </x:c>
      <x:c r="K573" s="130" t="n">
        <x:v>36</x:v>
      </x:c>
      <x:c r="L573" s="124"/>
      <x:c r="M573" s="124"/>
      <x:c r="N573" s="124" t="n">
        <x:v>65.4</x:v>
      </x:c>
      <x:c r="O573" s="69" t="str"/>
    </x:row>
    <x:row r="574" ht="21" customHeight="1">
      <x:c r="A574" s="100" t="n">
        <x:v>570</x:v>
      </x:c>
      <x:c r="B574" s="172" t="n">
        <x:v>95211005035</x:v>
      </x:c>
      <x:c r="C574" s="68" t="str">
        <x:v>HUỲNH DUY KHÁNH</x:v>
      </x:c>
      <x:c r="D574" s="106" t="str"/>
      <x:c r="E574" s="118" t="n">
        <x:v>40719</x:v>
      </x:c>
      <x:c r="F574" s="106" t="str">
        <x:v>Kinh</x:v>
      </x:c>
      <x:c r="G574" s="68" t="str">
        <x:v>Xã Phước Long</x:v>
      </x:c>
      <x:c r="H574" s="68" t="str">
        <x:v>THCS Phước Long</x:v>
      </x:c>
      <x:c r="I574" s="68" t="str">
        <x:v>Xã Phước Long</x:v>
      </x:c>
      <x:c r="J574" s="124" t="n">
        <x:v>30.3</x:v>
      </x:c>
      <x:c r="K574" s="130" t="n">
        <x:v>35</x:v>
      </x:c>
      <x:c r="L574" s="124"/>
      <x:c r="M574" s="124"/>
      <x:c r="N574" s="124" t="n">
        <x:v>65.3</x:v>
      </x:c>
      <x:c r="O574" s="69" t="str"/>
    </x:row>
    <x:row r="575" ht="21" customHeight="1">
      <x:c r="A575" s="100" t="n">
        <x:v>571</x:v>
      </x:c>
      <x:c r="B575" s="172" t="n">
        <x:v>95211002889</x:v>
      </x:c>
      <x:c r="C575" s="68" t="str">
        <x:v>NGUYỄN VĂN THÁI</x:v>
      </x:c>
      <x:c r="D575" s="106" t="str"/>
      <x:c r="E575" s="118" t="n">
        <x:v>40631</x:v>
      </x:c>
      <x:c r="F575" s="106" t="str">
        <x:v>Kinh</x:v>
      </x:c>
      <x:c r="G575" s="68" t="str">
        <x:v>Xã Phước Long</x:v>
      </x:c>
      <x:c r="H575" s="68" t="str">
        <x:v>THCS Phước Long</x:v>
      </x:c>
      <x:c r="I575" s="68" t="str">
        <x:v>Xã Phước Long</x:v>
      </x:c>
      <x:c r="J575" s="124" t="n">
        <x:v>29.3</x:v>
      </x:c>
      <x:c r="K575" s="130" t="n">
        <x:v>36</x:v>
      </x:c>
      <x:c r="L575" s="124"/>
      <x:c r="M575" s="124"/>
      <x:c r="N575" s="124" t="n">
        <x:v>65.3</x:v>
      </x:c>
      <x:c r="O575" s="69" t="str"/>
    </x:row>
    <x:row r="576" ht="21" customHeight="1">
      <x:c r="A576" s="100" t="n">
        <x:v>572</x:v>
      </x:c>
      <x:c r="B576" s="172" t="n">
        <x:v>95311002385</x:v>
      </x:c>
      <x:c r="C576" s="68" t="str">
        <x:v>NGUYỄN THỊ KỲ DƯƠNG</x:v>
      </x:c>
      <x:c r="D576" s="106" t="str">
        <x:v>X</x:v>
      </x:c>
      <x:c r="E576" s="118" t="n">
        <x:v>40895</x:v>
      </x:c>
      <x:c r="F576" s="106" t="str">
        <x:v>Kinh</x:v>
      </x:c>
      <x:c r="G576" s="68" t="str">
        <x:v>Xã Vĩnh Phước</x:v>
      </x:c>
      <x:c r="H576" s="68" t="str">
        <x:v>THCS Vĩnh Phú Tây</x:v>
      </x:c>
      <x:c r="I576" s="68" t="str">
        <x:v>Xã Vĩnh Phước</x:v>
      </x:c>
      <x:c r="J576" s="124" t="n">
        <x:v>31.3</x:v>
      </x:c>
      <x:c r="K576" s="130" t="n">
        <x:v>34</x:v>
      </x:c>
      <x:c r="L576" s="124"/>
      <x:c r="M576" s="124"/>
      <x:c r="N576" s="124" t="n">
        <x:v>65.3</x:v>
      </x:c>
      <x:c r="O576" s="69" t="str"/>
    </x:row>
    <x:row r="577" ht="21" customHeight="1">
      <x:c r="A577" s="100" t="n">
        <x:v>573</x:v>
      </x:c>
      <x:c r="B577" s="172" t="n">
        <x:v>95211010402</x:v>
      </x:c>
      <x:c r="C577" s="68" t="str">
        <x:v>LƯU GIA PHÁT</x:v>
      </x:c>
      <x:c r="D577" s="106" t="str"/>
      <x:c r="E577" s="118" t="n">
        <x:v>40559</x:v>
      </x:c>
      <x:c r="F577" s="106" t="str">
        <x:v>Kinh</x:v>
      </x:c>
      <x:c r="G577" s="68" t="str">
        <x:v>Xã Vĩnh Thanh</x:v>
      </x:c>
      <x:c r="H577" s="68" t="str">
        <x:v>THCS Hưng Phú</x:v>
      </x:c>
      <x:c r="I577" s="68" t="str">
        <x:v>Xã Vĩnh Thanh</x:v>
      </x:c>
      <x:c r="J577" s="124" t="n">
        <x:v>30.3</x:v>
      </x:c>
      <x:c r="K577" s="130" t="n">
        <x:v>35</x:v>
      </x:c>
      <x:c r="L577" s="124"/>
      <x:c r="M577" s="124"/>
      <x:c r="N577" s="124" t="n">
        <x:v>65.3</x:v>
      </x:c>
      <x:c r="O577" s="69" t="str"/>
    </x:row>
    <x:row r="578" ht="21" customHeight="1">
      <x:c r="A578" s="100" t="n">
        <x:v>574</x:v>
      </x:c>
      <x:c r="B578" s="172" t="n">
        <x:v>95311008374</x:v>
      </x:c>
      <x:c r="C578" s="68" t="str">
        <x:v>PHẠM DIỄM HẰNG</x:v>
      </x:c>
      <x:c r="D578" s="106" t="str">
        <x:v>X</x:v>
      </x:c>
      <x:c r="E578" s="118" t="n">
        <x:v>40764</x:v>
      </x:c>
      <x:c r="F578" s="106" t="str">
        <x:v>Kinh</x:v>
      </x:c>
      <x:c r="G578" s="68" t="str">
        <x:v>Xã Vĩnh Phước</x:v>
      </x:c>
      <x:c r="H578" s="68" t="str">
        <x:v>THCS Vĩnh Thanh</x:v>
      </x:c>
      <x:c r="I578" s="68" t="str">
        <x:v>Xã Vĩnh Thanh</x:v>
      </x:c>
      <x:c r="J578" s="124" t="n">
        <x:v>29.3</x:v>
      </x:c>
      <x:c r="K578" s="130" t="n">
        <x:v>35</x:v>
      </x:c>
      <x:c r="L578" s="124" t="n">
        <x:v>1</x:v>
      </x:c>
      <x:c r="M578" s="124"/>
      <x:c r="N578" s="124" t="n">
        <x:v>65.3</x:v>
      </x:c>
      <x:c r="O578" s="69" t="str"/>
    </x:row>
    <x:row r="579" ht="21" customHeight="1">
      <x:c r="A579" s="100" t="n">
        <x:v>575</x:v>
      </x:c>
      <x:c r="B579" s="172" t="n">
        <x:v>95211003535</x:v>
      </x:c>
      <x:c r="C579" s="68" t="str">
        <x:v>PHẠM HOÀNG BI</x:v>
      </x:c>
      <x:c r="D579" s="106" t="str"/>
      <x:c r="E579" s="118" t="n">
        <x:v>40763</x:v>
      </x:c>
      <x:c r="F579" s="106" t="str">
        <x:v>Kinh</x:v>
      </x:c>
      <x:c r="G579" s="68" t="str">
        <x:v>Xã Phước Long</x:v>
      </x:c>
      <x:c r="H579" s="68" t="str">
        <x:v>THCS Trương Vĩnh Ký</x:v>
      </x:c>
      <x:c r="I579" s="68" t="str">
        <x:v>Xã Hồng Dân</x:v>
      </x:c>
      <x:c r="J579" s="124" t="n">
        <x:v>30.3</x:v>
      </x:c>
      <x:c r="K579" s="130" t="n">
        <x:v>35</x:v>
      </x:c>
      <x:c r="L579" s="124"/>
      <x:c r="M579" s="124"/>
      <x:c r="N579" s="124" t="n">
        <x:v>65.3</x:v>
      </x:c>
      <x:c r="O579" s="69" t="str"/>
    </x:row>
    <x:row r="580" ht="21" customHeight="1">
      <x:c r="A580" s="100" t="n">
        <x:v>576</x:v>
      </x:c>
      <x:c r="B580" s="172" t="n">
        <x:v>95211003533</x:v>
      </x:c>
      <x:c r="C580" s="68" t="str">
        <x:v>TRẦN GIA BẢO</x:v>
      </x:c>
      <x:c r="D580" s="106" t="str"/>
      <x:c r="E580" s="118" t="n">
        <x:v>40694</x:v>
      </x:c>
      <x:c r="F580" s="106" t="str">
        <x:v>Kinh</x:v>
      </x:c>
      <x:c r="G580" s="68" t="str">
        <x:v>Xã Phước Long</x:v>
      </x:c>
      <x:c r="H580" s="68" t="str">
        <x:v>THCS Vương Hữu Nhơn</x:v>
      </x:c>
      <x:c r="I580" s="68" t="str">
        <x:v>Xã Phước Long</x:v>
      </x:c>
      <x:c r="J580" s="124" t="n">
        <x:v>29.3</x:v>
      </x:c>
      <x:c r="K580" s="130" t="n">
        <x:v>36</x:v>
      </x:c>
      <x:c r="L580" s="124"/>
      <x:c r="M580" s="124"/>
      <x:c r="N580" s="124" t="n">
        <x:v>65.3</x:v>
      </x:c>
      <x:c r="O580" s="69" t="str"/>
    </x:row>
    <x:row r="581" ht="21" customHeight="1">
      <x:c r="A581" s="100" t="n">
        <x:v>577</x:v>
      </x:c>
      <x:c r="B581" s="172" t="n">
        <x:v>95311008110</x:v>
      </x:c>
      <x:c r="C581" s="68" t="str">
        <x:v>NGUYỄN NGỌC NGÂN</x:v>
      </x:c>
      <x:c r="D581" s="106" t="str">
        <x:v>X</x:v>
      </x:c>
      <x:c r="E581" s="118" t="n">
        <x:v>40897</x:v>
      </x:c>
      <x:c r="F581" s="106" t="str">
        <x:v>Kinh</x:v>
      </x:c>
      <x:c r="G581" s="68" t="str">
        <x:v>Xã Phước Long</x:v>
      </x:c>
      <x:c r="H581" s="68" t="str">
        <x:v>THCS Phước Long</x:v>
      </x:c>
      <x:c r="I581" s="68" t="str">
        <x:v>Xã Phước Long</x:v>
      </x:c>
      <x:c r="J581" s="124" t="n">
        <x:v>29.2</x:v>
      </x:c>
      <x:c r="K581" s="130" t="n">
        <x:v>36</x:v>
      </x:c>
      <x:c r="L581" s="124"/>
      <x:c r="M581" s="124"/>
      <x:c r="N581" s="124" t="n">
        <x:v>65.2</x:v>
      </x:c>
      <x:c r="O581" s="69" t="str"/>
    </x:row>
    <x:row r="582" ht="21" customHeight="1">
      <x:c r="A582" s="100" t="n">
        <x:v>578</x:v>
      </x:c>
      <x:c r="B582" s="172" t="n">
        <x:v>95211005979</x:v>
      </x:c>
      <x:c r="C582" s="68" t="str">
        <x:v>NGUYỄN LÂM KHIÊM</x:v>
      </x:c>
      <x:c r="D582" s="106" t="str"/>
      <x:c r="E582" s="118" t="n">
        <x:v>40802</x:v>
      </x:c>
      <x:c r="F582" s="106" t="str">
        <x:v>Kinh</x:v>
      </x:c>
      <x:c r="G582" s="68" t="str">
        <x:v>Xã Vĩnh Thanh</x:v>
      </x:c>
      <x:c r="H582" s="68" t="str">
        <x:v>THCS Hưng Phú</x:v>
      </x:c>
      <x:c r="I582" s="68" t="str">
        <x:v>Xã Vĩnh Thanh</x:v>
      </x:c>
      <x:c r="J582" s="124" t="n">
        <x:v>29.2</x:v>
      </x:c>
      <x:c r="K582" s="130" t="n">
        <x:v>36</x:v>
      </x:c>
      <x:c r="L582" s="124"/>
      <x:c r="M582" s="124"/>
      <x:c r="N582" s="124" t="n">
        <x:v>65.2</x:v>
      </x:c>
      <x:c r="O582" s="69" t="str"/>
    </x:row>
    <x:row r="583" ht="21" customHeight="1">
      <x:c r="A583" s="100" t="n">
        <x:v>579</x:v>
      </x:c>
      <x:c r="B583" s="172" t="n">
        <x:v>95211007207</x:v>
      </x:c>
      <x:c r="C583" s="68" t="str">
        <x:v>NGÔ ĐĂNG KHOA</x:v>
      </x:c>
      <x:c r="D583" s="106" t="str"/>
      <x:c r="E583" s="118" t="n">
        <x:v>40561</x:v>
      </x:c>
      <x:c r="F583" s="106" t="str">
        <x:v>Kinh</x:v>
      </x:c>
      <x:c r="G583" s="68" t="str">
        <x:v>Xã Vĩnh Thanh</x:v>
      </x:c>
      <x:c r="H583" s="68" t="str">
        <x:v>THCS Vĩnh Thanh</x:v>
      </x:c>
      <x:c r="I583" s="68" t="str">
        <x:v>Xã Vĩnh Thanh</x:v>
      </x:c>
      <x:c r="J583" s="124" t="n">
        <x:v>29.2</x:v>
      </x:c>
      <x:c r="K583" s="130" t="n">
        <x:v>36</x:v>
      </x:c>
      <x:c r="L583" s="124"/>
      <x:c r="M583" s="124"/>
      <x:c r="N583" s="124" t="n">
        <x:v>65.2</x:v>
      </x:c>
      <x:c r="O583" s="69" t="str"/>
    </x:row>
    <x:row r="584" ht="21" customHeight="1">
      <x:c r="A584" s="100" t="n">
        <x:v>580</x:v>
      </x:c>
      <x:c r="B584" s="172" t="n">
        <x:v>95311004392</x:v>
      </x:c>
      <x:c r="C584" s="68" t="str">
        <x:v>VÕ NHƯ NGUYỆN</x:v>
      </x:c>
      <x:c r="D584" s="106" t="str">
        <x:v>X</x:v>
      </x:c>
      <x:c r="E584" s="118" t="n">
        <x:v>40774</x:v>
      </x:c>
      <x:c r="F584" s="106" t="str">
        <x:v>Kinh</x:v>
      </x:c>
      <x:c r="G584" s="68" t="str">
        <x:v>Xã Vĩnh Phước</x:v>
      </x:c>
      <x:c r="H584" s="68" t="str">
        <x:v>THCS Vĩnh Thanh</x:v>
      </x:c>
      <x:c r="I584" s="68" t="str">
        <x:v>Xã Vĩnh Thanh</x:v>
      </x:c>
      <x:c r="J584" s="124" t="n">
        <x:v>29.1</x:v>
      </x:c>
      <x:c r="K584" s="130" t="n">
        <x:v>35</x:v>
      </x:c>
      <x:c r="L584" s="124" t="n">
        <x:v>1</x:v>
      </x:c>
      <x:c r="M584" s="124"/>
      <x:c r="N584" s="124" t="n">
        <x:v>65.1</x:v>
      </x:c>
      <x:c r="O584" s="69" t="str"/>
    </x:row>
    <x:row r="585" ht="21" customHeight="1">
      <x:c r="A585" s="100" t="n">
        <x:v>581</x:v>
      </x:c>
      <x:c r="B585" s="172" t="n">
        <x:v>95211001465</x:v>
      </x:c>
      <x:c r="C585" s="68" t="str">
        <x:v>LƯU TRỌNG KHANG</x:v>
      </x:c>
      <x:c r="D585" s="106" t="str"/>
      <x:c r="E585" s="118" t="n">
        <x:v>40635</x:v>
      </x:c>
      <x:c r="F585" s="106" t="str">
        <x:v>Kinh</x:v>
      </x:c>
      <x:c r="G585" s="68" t="str">
        <x:v>Xã Phước Long</x:v>
      </x:c>
      <x:c r="H585" s="68" t="str">
        <x:v>THCS Vương Hữu Nhơn</x:v>
      </x:c>
      <x:c r="I585" s="68" t="str">
        <x:v>Xã Phước Long</x:v>
      </x:c>
      <x:c r="J585" s="124" t="n">
        <x:v>29.1</x:v>
      </x:c>
      <x:c r="K585" s="130" t="n">
        <x:v>36</x:v>
      </x:c>
      <x:c r="L585" s="124"/>
      <x:c r="M585" s="124"/>
      <x:c r="N585" s="124" t="n">
        <x:v>65.1</x:v>
      </x:c>
      <x:c r="O585" s="69" t="str"/>
    </x:row>
    <x:row r="586" ht="21" customHeight="1">
      <x:c r="A586" s="100" t="n">
        <x:v>582</x:v>
      </x:c>
      <x:c r="B586" s="172" t="n">
        <x:v>95211009920</x:v>
      </x:c>
      <x:c r="C586" s="68" t="str">
        <x:v>LÊ MINH KHƯƠNG</x:v>
      </x:c>
      <x:c r="D586" s="106" t="str"/>
      <x:c r="E586" s="118" t="n">
        <x:v>40574</x:v>
      </x:c>
      <x:c r="F586" s="106" t="str">
        <x:v>Kinh</x:v>
      </x:c>
      <x:c r="G586" s="68" t="str">
        <x:v>Xã Phước Long</x:v>
      </x:c>
      <x:c r="H586" s="68" t="str">
        <x:v>THCS Vương Hữu Nhơn</x:v>
      </x:c>
      <x:c r="I586" s="68" t="str">
        <x:v>Xã Phước Long</x:v>
      </x:c>
      <x:c r="J586" s="124" t="n">
        <x:v>29.1</x:v>
      </x:c>
      <x:c r="K586" s="130" t="n">
        <x:v>36</x:v>
      </x:c>
      <x:c r="L586" s="124"/>
      <x:c r="M586" s="124"/>
      <x:c r="N586" s="124" t="n">
        <x:v>65.1</x:v>
      </x:c>
      <x:c r="O586" s="69" t="str"/>
    </x:row>
    <x:row r="587" ht="21" customHeight="1">
      <x:c r="A587" s="100" t="n">
        <x:v>583</x:v>
      </x:c>
      <x:c r="B587" s="172" t="n">
        <x:v>95311001951</x:v>
      </x:c>
      <x:c r="C587" s="68" t="str">
        <x:v>NGUYỄN THỊ THƯƠNG</x:v>
      </x:c>
      <x:c r="D587" s="106" t="str">
        <x:v>X</x:v>
      </x:c>
      <x:c r="E587" s="118" t="n">
        <x:v>40618</x:v>
      </x:c>
      <x:c r="F587" s="106" t="str">
        <x:v>Kinh</x:v>
      </x:c>
      <x:c r="G587" s="68" t="str">
        <x:v>Xã Phước Long</x:v>
      </x:c>
      <x:c r="H587" s="68" t="str">
        <x:v>THCS Phước Long</x:v>
      </x:c>
      <x:c r="I587" s="68" t="str">
        <x:v>Xã Phước Long</x:v>
      </x:c>
      <x:c r="J587" s="124" t="n">
        <x:v>31</x:v>
      </x:c>
      <x:c r="K587" s="130" t="n">
        <x:v>34</x:v>
      </x:c>
      <x:c r="L587" s="124"/>
      <x:c r="M587" s="124"/>
      <x:c r="N587" s="124" t="n">
        <x:v>65</x:v>
      </x:c>
      <x:c r="O587" s="69" t="str"/>
    </x:row>
    <x:row r="588" ht="21" customHeight="1">
      <x:c r="A588" s="100" t="n">
        <x:v>584</x:v>
      </x:c>
      <x:c r="B588" s="172" t="n">
        <x:v>95211001228</x:v>
      </x:c>
      <x:c r="C588" s="68" t="str">
        <x:v>HUỲNH MINH KHÔI</x:v>
      </x:c>
      <x:c r="D588" s="106" t="str"/>
      <x:c r="E588" s="118" t="n">
        <x:v>40608</x:v>
      </x:c>
      <x:c r="F588" s="106" t="str">
        <x:v>Kinh</x:v>
      </x:c>
      <x:c r="G588" s="68" t="str">
        <x:v>Xã Vĩnh Thanh</x:v>
      </x:c>
      <x:c r="H588" s="68" t="str">
        <x:v>THCS Vĩnh Phú Tây</x:v>
      </x:c>
      <x:c r="I588" s="68" t="str">
        <x:v>Xã Vĩnh Phước</x:v>
      </x:c>
      <x:c r="J588" s="124" t="n">
        <x:v>31</x:v>
      </x:c>
      <x:c r="K588" s="130" t="n">
        <x:v>34</x:v>
      </x:c>
      <x:c r="L588" s="124"/>
      <x:c r="M588" s="124"/>
      <x:c r="N588" s="124" t="n">
        <x:v>65</x:v>
      </x:c>
      <x:c r="O588" s="69" t="str"/>
    </x:row>
    <x:row r="589" ht="21" customHeight="1">
      <x:c r="A589" s="100" t="n">
        <x:v>585</x:v>
      </x:c>
      <x:c r="B589" s="172" t="n">
        <x:v>95311006070</x:v>
      </x:c>
      <x:c r="C589" s="68" t="str">
        <x:v>LÊ KHÁNH NHA</x:v>
      </x:c>
      <x:c r="D589" s="106" t="str">
        <x:v>X</x:v>
      </x:c>
      <x:c r="E589" s="118" t="n">
        <x:v>40670</x:v>
      </x:c>
      <x:c r="F589" s="106" t="str">
        <x:v>Kinh</x:v>
      </x:c>
      <x:c r="G589" s="68" t="str">
        <x:v>Xã Vĩnh Phước</x:v>
      </x:c>
      <x:c r="H589" s="68" t="str">
        <x:v>THCS Vĩnh Phú Tây</x:v>
      </x:c>
      <x:c r="I589" s="68" t="str">
        <x:v>Xã Vĩnh Phước</x:v>
      </x:c>
      <x:c r="J589" s="124" t="n">
        <x:v>30</x:v>
      </x:c>
      <x:c r="K589" s="130" t="n">
        <x:v>34</x:v>
      </x:c>
      <x:c r="L589" s="124" t="n">
        <x:v>1</x:v>
      </x:c>
      <x:c r="M589" s="124"/>
      <x:c r="N589" s="124" t="n">
        <x:v>65</x:v>
      </x:c>
      <x:c r="O589" s="69" t="str"/>
    </x:row>
    <x:row r="590" ht="21" customHeight="1">
      <x:c r="A590" s="100" t="n">
        <x:v>586</x:v>
      </x:c>
      <x:c r="B590" s="172" t="n">
        <x:v>95211003748</x:v>
      </x:c>
      <x:c r="C590" s="68" t="str">
        <x:v>QUÁCH HẢI NINH</x:v>
      </x:c>
      <x:c r="D590" s="106" t="str"/>
      <x:c r="E590" s="118" t="n">
        <x:v>40669</x:v>
      </x:c>
      <x:c r="F590" s="106" t="str">
        <x:v>Kinh</x:v>
      </x:c>
      <x:c r="G590" s="68" t="str">
        <x:v>Xã Vĩnh Thanh</x:v>
      </x:c>
      <x:c r="H590" s="68" t="str">
        <x:v>THCS Hưng Phú</x:v>
      </x:c>
      <x:c r="I590" s="68" t="str">
        <x:v>Xã Vĩnh Thanh</x:v>
      </x:c>
      <x:c r="J590" s="124" t="n">
        <x:v>29</x:v>
      </x:c>
      <x:c r="K590" s="130" t="n">
        <x:v>36</x:v>
      </x:c>
      <x:c r="L590" s="124"/>
      <x:c r="M590" s="124"/>
      <x:c r="N590" s="124" t="n">
        <x:v>65</x:v>
      </x:c>
      <x:c r="O590" s="69" t="str"/>
    </x:row>
    <x:row r="591" ht="21" customHeight="1">
      <x:c r="A591" s="100" t="n">
        <x:v>587</x:v>
      </x:c>
      <x:c r="B591" s="172" t="n">
        <x:v>95211004148</x:v>
      </x:c>
      <x:c r="C591" s="68" t="str">
        <x:v>NGUYỄN CHÍ BẢO</x:v>
      </x:c>
      <x:c r="D591" s="106" t="str"/>
      <x:c r="E591" s="118" t="n">
        <x:v>40760</x:v>
      </x:c>
      <x:c r="F591" s="106" t="str">
        <x:v>Kinh</x:v>
      </x:c>
      <x:c r="G591" s="68" t="str">
        <x:v>Xã Vĩnh Thanh</x:v>
      </x:c>
      <x:c r="H591" s="68" t="str">
        <x:v>THCS Hưng Phú</x:v>
      </x:c>
      <x:c r="I591" s="68" t="str">
        <x:v>Xã Vĩnh Thanh</x:v>
      </x:c>
      <x:c r="J591" s="124" t="n">
        <x:v>29</x:v>
      </x:c>
      <x:c r="K591" s="130" t="n">
        <x:v>36</x:v>
      </x:c>
      <x:c r="L591" s="124"/>
      <x:c r="M591" s="124"/>
      <x:c r="N591" s="124" t="n">
        <x:v>65</x:v>
      </x:c>
      <x:c r="O591" s="69" t="str"/>
    </x:row>
    <x:row r="592" ht="21" customHeight="1">
      <x:c r="A592" s="100" t="n">
        <x:v>588</x:v>
      </x:c>
      <x:c r="B592" s="172" t="n">
        <x:v>95211002016</x:v>
      </x:c>
      <x:c r="C592" s="68" t="str">
        <x:v>LÊ THANH DUY</x:v>
      </x:c>
      <x:c r="D592" s="106" t="str"/>
      <x:c r="E592" s="118" t="n">
        <x:v>40744</x:v>
      </x:c>
      <x:c r="F592" s="106" t="str">
        <x:v>Kinh</x:v>
      </x:c>
      <x:c r="G592" s="68" t="str">
        <x:v>Xã Phước Long</x:v>
      </x:c>
      <x:c r="H592" s="68" t="str">
        <x:v>THCS Vương Hữu Nhơn</x:v>
      </x:c>
      <x:c r="I592" s="68" t="str">
        <x:v>Xã Phước Long</x:v>
      </x:c>
      <x:c r="J592" s="124" t="n">
        <x:v>29</x:v>
      </x:c>
      <x:c r="K592" s="130" t="n">
        <x:v>36</x:v>
      </x:c>
      <x:c r="L592" s="124"/>
      <x:c r="M592" s="124"/>
      <x:c r="N592" s="124" t="n">
        <x:v>65</x:v>
      </x:c>
      <x:c r="O592" s="69" t="str"/>
    </x:row>
    <x:row r="593" ht="21" customHeight="1">
      <x:c r="A593" s="100" t="n">
        <x:v>589</x:v>
      </x:c>
      <x:c r="B593" s="172" t="n">
        <x:v>95311002992</x:v>
      </x:c>
      <x:c r="C593" s="68" t="str">
        <x:v>TRẦN QUYỀN NGHI</x:v>
      </x:c>
      <x:c r="D593" s="106" t="str">
        <x:v>X</x:v>
      </x:c>
      <x:c r="E593" s="118" t="n">
        <x:v>40837</x:v>
      </x:c>
      <x:c r="F593" s="106" t="str">
        <x:v>Kinh</x:v>
      </x:c>
      <x:c r="G593" s="68" t="str">
        <x:v>Xã Phước Long</x:v>
      </x:c>
      <x:c r="H593" s="68" t="str">
        <x:v>THCS Phước Long</x:v>
      </x:c>
      <x:c r="I593" s="68" t="str">
        <x:v>Xã Phước Long</x:v>
      </x:c>
      <x:c r="J593" s="124" t="n">
        <x:v>29.9</x:v>
      </x:c>
      <x:c r="K593" s="130" t="n">
        <x:v>35</x:v>
      </x:c>
      <x:c r="L593" s="124"/>
      <x:c r="M593" s="124"/>
      <x:c r="N593" s="124" t="n">
        <x:v>64.9</x:v>
      </x:c>
      <x:c r="O593" s="69" t="str"/>
    </x:row>
    <x:row r="594" ht="21" customHeight="1">
      <x:c r="A594" s="100" t="n">
        <x:v>590</x:v>
      </x:c>
      <x:c r="B594" s="172" t="n">
        <x:v>95211001247</x:v>
      </x:c>
      <x:c r="C594" s="68" t="str">
        <x:v>PHẠM CHÍ KHANG</x:v>
      </x:c>
      <x:c r="D594" s="106" t="str"/>
      <x:c r="E594" s="118" t="n">
        <x:v>40608</x:v>
      </x:c>
      <x:c r="F594" s="106" t="str">
        <x:v>Kinh</x:v>
      </x:c>
      <x:c r="G594" s="68" t="str">
        <x:v>Xã Vĩnh Phước</x:v>
      </x:c>
      <x:c r="H594" s="68" t="str">
        <x:v>THCS Vĩnh Phú Tây</x:v>
      </x:c>
      <x:c r="I594" s="68" t="str">
        <x:v>Xã Vĩnh Phước</x:v>
      </x:c>
      <x:c r="J594" s="124" t="n">
        <x:v>28.9</x:v>
      </x:c>
      <x:c r="K594" s="130" t="n">
        <x:v>36</x:v>
      </x:c>
      <x:c r="L594" s="124"/>
      <x:c r="M594" s="124"/>
      <x:c r="N594" s="124" t="n">
        <x:v>64.9</x:v>
      </x:c>
      <x:c r="O594" s="69" t="str"/>
    </x:row>
    <x:row r="595" ht="21" customHeight="1">
      <x:c r="A595" s="100" t="n">
        <x:v>591</x:v>
      </x:c>
      <x:c r="B595" s="172" t="n">
        <x:v>95211008305</x:v>
      </x:c>
      <x:c r="C595" s="68" t="str">
        <x:v>NGUYỄN VĂN AN</x:v>
      </x:c>
      <x:c r="D595" s="106" t="str"/>
      <x:c r="E595" s="118" t="n">
        <x:v>40647</x:v>
      </x:c>
      <x:c r="F595" s="106" t="str">
        <x:v>Kinh</x:v>
      </x:c>
      <x:c r="G595" s="68" t="str">
        <x:v>Xã Vĩnh Thanh</x:v>
      </x:c>
      <x:c r="H595" s="68" t="str">
        <x:v>THCS Hưng Phú</x:v>
      </x:c>
      <x:c r="I595" s="68" t="str">
        <x:v>Xã Vĩnh Thanh</x:v>
      </x:c>
      <x:c r="J595" s="124" t="n">
        <x:v>30.9</x:v>
      </x:c>
      <x:c r="K595" s="130" t="n">
        <x:v>34</x:v>
      </x:c>
      <x:c r="L595" s="124"/>
      <x:c r="M595" s="124"/>
      <x:c r="N595" s="124" t="n">
        <x:v>64.9</x:v>
      </x:c>
      <x:c r="O595" s="69" t="str"/>
    </x:row>
    <x:row r="596" ht="21" customHeight="1">
      <x:c r="A596" s="100" t="n">
        <x:v>592</x:v>
      </x:c>
      <x:c r="B596" s="172" t="n">
        <x:v>95311009214</x:v>
      </x:c>
      <x:c r="C596" s="68" t="str">
        <x:v>MAI VĂN NHÃ THY</x:v>
      </x:c>
      <x:c r="D596" s="106" t="str">
        <x:v>X</x:v>
      </x:c>
      <x:c r="E596" s="118" t="n">
        <x:v>40835</x:v>
      </x:c>
      <x:c r="F596" s="106" t="str">
        <x:v>Kinh</x:v>
      </x:c>
      <x:c r="G596" s="68" t="str">
        <x:v>Xã Phước Long</x:v>
      </x:c>
      <x:c r="H596" s="68" t="str">
        <x:v>THCS Phước Long</x:v>
      </x:c>
      <x:c r="I596" s="68" t="str">
        <x:v>Xã Phước Long</x:v>
      </x:c>
      <x:c r="J596" s="124" t="n">
        <x:v>30.8</x:v>
      </x:c>
      <x:c r="K596" s="130" t="n">
        <x:v>34</x:v>
      </x:c>
      <x:c r="L596" s="124"/>
      <x:c r="M596" s="124"/>
      <x:c r="N596" s="124" t="n">
        <x:v>64.8</x:v>
      </x:c>
      <x:c r="O596" s="69" t="str"/>
    </x:row>
    <x:row r="597" ht="21" customHeight="1">
      <x:c r="A597" s="100" t="n">
        <x:v>593</x:v>
      </x:c>
      <x:c r="B597" s="172" t="n">
        <x:v>95211008692</x:v>
      </x:c>
      <x:c r="C597" s="68" t="str">
        <x:v>TRẦN MAI VÀNG</x:v>
      </x:c>
      <x:c r="D597" s="106" t="str"/>
      <x:c r="E597" s="118" t="n">
        <x:v>40584</x:v>
      </x:c>
      <x:c r="F597" s="106" t="str">
        <x:v>Kinh</x:v>
      </x:c>
      <x:c r="G597" s="68" t="str">
        <x:v>Xã Phước Long</x:v>
      </x:c>
      <x:c r="H597" s="68" t="str">
        <x:v>THCS Phước Long</x:v>
      </x:c>
      <x:c r="I597" s="68" t="str">
        <x:v>Xã Phước Long</x:v>
      </x:c>
      <x:c r="J597" s="124" t="n">
        <x:v>28.7</x:v>
      </x:c>
      <x:c r="K597" s="130" t="n">
        <x:v>36</x:v>
      </x:c>
      <x:c r="L597" s="124"/>
      <x:c r="M597" s="124"/>
      <x:c r="N597" s="124" t="n">
        <x:v>64.7</x:v>
      </x:c>
      <x:c r="O597" s="69" t="str"/>
    </x:row>
    <x:row r="598" ht="21" customHeight="1">
      <x:c r="A598" s="100" t="n">
        <x:v>594</x:v>
      </x:c>
      <x:c r="B598" s="172" t="n">
        <x:v>95210003845</x:v>
      </x:c>
      <x:c r="C598" s="68" t="str">
        <x:v>NGUYỄN VIỆT HÀO</x:v>
      </x:c>
      <x:c r="D598" s="106" t="str"/>
      <x:c r="E598" s="118" t="n">
        <x:v>40318</x:v>
      </x:c>
      <x:c r="F598" s="106" t="str">
        <x:v>Kinh</x:v>
      </x:c>
      <x:c r="G598" s="68" t="str">
        <x:v>Xã Phước Long</x:v>
      </x:c>
      <x:c r="H598" s="68" t="str">
        <x:v>THCS Phước Long</x:v>
      </x:c>
      <x:c r="I598" s="68" t="str">
        <x:v>Xã Phước Long</x:v>
      </x:c>
      <x:c r="J598" s="124" t="n">
        <x:v>28.7</x:v>
      </x:c>
      <x:c r="K598" s="130" t="n">
        <x:v>36</x:v>
      </x:c>
      <x:c r="L598" s="124"/>
      <x:c r="M598" s="124"/>
      <x:c r="N598" s="124" t="n">
        <x:v>64.7</x:v>
      </x:c>
      <x:c r="O598" s="69" t="str"/>
    </x:row>
    <x:row r="599" ht="21" customHeight="1">
      <x:c r="A599" s="100" t="n">
        <x:v>595</x:v>
      </x:c>
      <x:c r="B599" s="172" t="n">
        <x:v>95211005867</x:v>
      </x:c>
      <x:c r="C599" s="68" t="str">
        <x:v>TRẦN HUỲNH DƯƠNG</x:v>
      </x:c>
      <x:c r="D599" s="106" t="str"/>
      <x:c r="E599" s="118" t="n">
        <x:v>40572</x:v>
      </x:c>
      <x:c r="F599" s="106" t="str">
        <x:v>Kinh</x:v>
      </x:c>
      <x:c r="G599" s="68" t="str">
        <x:v>Xã Phước Long</x:v>
      </x:c>
      <x:c r="H599" s="68" t="str">
        <x:v>THCS Phước Long</x:v>
      </x:c>
      <x:c r="I599" s="68" t="str">
        <x:v>Xã Phước Long</x:v>
      </x:c>
      <x:c r="J599" s="124" t="n">
        <x:v>30.7</x:v>
      </x:c>
      <x:c r="K599" s="130" t="n">
        <x:v>34</x:v>
      </x:c>
      <x:c r="L599" s="124"/>
      <x:c r="M599" s="124"/>
      <x:c r="N599" s="124" t="n">
        <x:v>64.7</x:v>
      </x:c>
      <x:c r="O599" s="69" t="str"/>
    </x:row>
    <x:row r="600" ht="21" customHeight="1">
      <x:c r="A600" s="100" t="n">
        <x:v>596</x:v>
      </x:c>
      <x:c r="B600" s="172" t="n">
        <x:v>95211008801</x:v>
      </x:c>
      <x:c r="C600" s="68" t="str">
        <x:v>DƯƠNG MINH KIỆT</x:v>
      </x:c>
      <x:c r="D600" s="106" t="str"/>
      <x:c r="E600" s="118" t="n">
        <x:v>40544</x:v>
      </x:c>
      <x:c r="F600" s="106" t="str">
        <x:v>Kinh</x:v>
      </x:c>
      <x:c r="G600" s="68" t="str">
        <x:v>Xã Hồng Dân</x:v>
      </x:c>
      <x:c r="H600" s="68" t="str">
        <x:v>THCS Phước Long</x:v>
      </x:c>
      <x:c r="I600" s="68" t="str">
        <x:v>Xã Vĩnh Phước</x:v>
      </x:c>
      <x:c r="J600" s="124" t="n">
        <x:v>30.6</x:v>
      </x:c>
      <x:c r="K600" s="130" t="n">
        <x:v>34</x:v>
      </x:c>
      <x:c r="L600" s="124"/>
      <x:c r="M600" s="124"/>
      <x:c r="N600" s="124" t="n">
        <x:v>64.6</x:v>
      </x:c>
      <x:c r="O600" s="69" t="str"/>
    </x:row>
    <x:row r="601" ht="21" customHeight="1">
      <x:c r="A601" s="100" t="n">
        <x:v>597</x:v>
      </x:c>
      <x:c r="B601" s="172" t="n">
        <x:v>95211005144</x:v>
      </x:c>
      <x:c r="C601" s="68" t="str">
        <x:v>NGUYỄN TIẾN ĐẠT</x:v>
      </x:c>
      <x:c r="D601" s="106" t="str"/>
      <x:c r="E601" s="118" t="n">
        <x:v>40655</x:v>
      </x:c>
      <x:c r="F601" s="106" t="str">
        <x:v>Kinh</x:v>
      </x:c>
      <x:c r="G601" s="68" t="str">
        <x:v>Xã Phước Long</x:v>
      </x:c>
      <x:c r="H601" s="68" t="str">
        <x:v>THCS Phước Long</x:v>
      </x:c>
      <x:c r="I601" s="68" t="str">
        <x:v>Xã Phước Long</x:v>
      </x:c>
      <x:c r="J601" s="124" t="n">
        <x:v>29.5</x:v>
      </x:c>
      <x:c r="K601" s="130" t="n">
        <x:v>35</x:v>
      </x:c>
      <x:c r="L601" s="124"/>
      <x:c r="M601" s="124"/>
      <x:c r="N601" s="124" t="n">
        <x:v>64.5</x:v>
      </x:c>
      <x:c r="O601" s="69" t="str"/>
    </x:row>
    <x:row r="602" ht="21" customHeight="1">
      <x:c r="A602" s="100" t="n">
        <x:v>598</x:v>
      </x:c>
      <x:c r="B602" s="172" t="n">
        <x:v>95311003731</x:v>
      </x:c>
      <x:c r="C602" s="68" t="str">
        <x:v>NGUYỄN THIÊN KIM</x:v>
      </x:c>
      <x:c r="D602" s="106" t="str">
        <x:v>X</x:v>
      </x:c>
      <x:c r="E602" s="118" t="n">
        <x:v>40744</x:v>
      </x:c>
      <x:c r="F602" s="106" t="str">
        <x:v>Kinh</x:v>
      </x:c>
      <x:c r="G602" s="68" t="str">
        <x:v>Xã Phước Long</x:v>
      </x:c>
      <x:c r="H602" s="68" t="str">
        <x:v>THCS Phước Long</x:v>
      </x:c>
      <x:c r="I602" s="68" t="str">
        <x:v>Xã Phước Long</x:v>
      </x:c>
      <x:c r="J602" s="124" t="n">
        <x:v>28.5</x:v>
      </x:c>
      <x:c r="K602" s="130" t="n">
        <x:v>36</x:v>
      </x:c>
      <x:c r="L602" s="124"/>
      <x:c r="M602" s="124"/>
      <x:c r="N602" s="124" t="n">
        <x:v>64.5</x:v>
      </x:c>
      <x:c r="O602" s="69" t="str"/>
    </x:row>
    <x:row r="603" ht="21" customHeight="1">
      <x:c r="A603" s="100" t="n">
        <x:v>599</x:v>
      </x:c>
      <x:c r="B603" s="172" t="n">
        <x:v>95311003311</x:v>
      </x:c>
      <x:c r="C603" s="68" t="str">
        <x:v>PHẠM THỊ AN THUYỀN</x:v>
      </x:c>
      <x:c r="D603" s="106" t="str">
        <x:v>X</x:v>
      </x:c>
      <x:c r="E603" s="118" t="n">
        <x:v>40568</x:v>
      </x:c>
      <x:c r="F603" s="106" t="str">
        <x:v>Kinh</x:v>
      </x:c>
      <x:c r="G603" s="68" t="str">
        <x:v>Xã Phước Long</x:v>
      </x:c>
      <x:c r="H603" s="68" t="str">
        <x:v>THCS Phước Long</x:v>
      </x:c>
      <x:c r="I603" s="68" t="str">
        <x:v>Xã Phước Long</x:v>
      </x:c>
      <x:c r="J603" s="124" t="n">
        <x:v>30.5</x:v>
      </x:c>
      <x:c r="K603" s="130" t="n">
        <x:v>34</x:v>
      </x:c>
      <x:c r="L603" s="124"/>
      <x:c r="M603" s="124"/>
      <x:c r="N603" s="124" t="n">
        <x:v>64.5</x:v>
      </x:c>
      <x:c r="O603" s="69" t="str"/>
    </x:row>
    <x:row r="604" ht="21" customHeight="1">
      <x:c r="A604" s="100" t="n">
        <x:v>600</x:v>
      </x:c>
      <x:c r="B604" s="172" t="n">
        <x:v>95210006921</x:v>
      </x:c>
      <x:c r="C604" s="68" t="str">
        <x:v>LÊ ĐÌNH CHƯƠNG</x:v>
      </x:c>
      <x:c r="D604" s="106" t="str"/>
      <x:c r="E604" s="118" t="n">
        <x:v>40475</x:v>
      </x:c>
      <x:c r="F604" s="106" t="str">
        <x:v>Kinh</x:v>
      </x:c>
      <x:c r="G604" s="68" t="str">
        <x:v>Xã Vĩnh Thanh</x:v>
      </x:c>
      <x:c r="H604" s="68" t="str">
        <x:v>THCS Bình Trị Đông A</x:v>
      </x:c>
      <x:c r="I604" s="68" t="str">
        <x:v>Bình Trị Đông A</x:v>
      </x:c>
      <x:c r="J604" s="124" t="n">
        <x:v>30.5</x:v>
      </x:c>
      <x:c r="K604" s="130" t="n">
        <x:v>34</x:v>
      </x:c>
      <x:c r="L604" s="124"/>
      <x:c r="M604" s="124"/>
      <x:c r="N604" s="124" t="n">
        <x:v>64.5</x:v>
      </x:c>
      <x:c r="O604" s="69" t="str"/>
    </x:row>
    <x:row r="605" ht="21" customHeight="1">
      <x:c r="A605" s="100" t="n">
        <x:v>601</x:v>
      </x:c>
      <x:c r="B605" s="172" t="n">
        <x:v>95211003581</x:v>
      </x:c>
      <x:c r="C605" s="68" t="str">
        <x:v>TÔ MINH QUANG</x:v>
      </x:c>
      <x:c r="D605" s="106" t="str"/>
      <x:c r="E605" s="118" t="n">
        <x:v>40594</x:v>
      </x:c>
      <x:c r="F605" s="106" t="str">
        <x:v>Kinh</x:v>
      </x:c>
      <x:c r="G605" s="68" t="str">
        <x:v>Xã Phước Long</x:v>
      </x:c>
      <x:c r="H605" s="68" t="str">
        <x:v>THCS Phước Long</x:v>
      </x:c>
      <x:c r="I605" s="68" t="str">
        <x:v>Xã Phước Long</x:v>
      </x:c>
      <x:c r="J605" s="124" t="n">
        <x:v>30.4</x:v>
      </x:c>
      <x:c r="K605" s="130" t="n">
        <x:v>34</x:v>
      </x:c>
      <x:c r="L605" s="124"/>
      <x:c r="M605" s="124"/>
      <x:c r="N605" s="124" t="n">
        <x:v>64.4</x:v>
      </x:c>
      <x:c r="O605" s="69" t="str"/>
    </x:row>
    <x:row r="606" ht="21" customHeight="1">
      <x:c r="A606" s="100" t="n">
        <x:v>602</x:v>
      </x:c>
      <x:c r="B606" s="172" t="n">
        <x:v>95211006427</x:v>
      </x:c>
      <x:c r="C606" s="68" t="str">
        <x:v>NGUYỄN MINH KHAI</x:v>
      </x:c>
      <x:c r="D606" s="106" t="str"/>
      <x:c r="E606" s="118" t="n">
        <x:v>40773</x:v>
      </x:c>
      <x:c r="F606" s="106" t="str">
        <x:v>Kinh</x:v>
      </x:c>
      <x:c r="G606" s="68" t="str">
        <x:v>Xã Vĩnh Phước</x:v>
      </x:c>
      <x:c r="H606" s="68" t="str">
        <x:v>THCS Vĩnh Phú Tây</x:v>
      </x:c>
      <x:c r="I606" s="68" t="str">
        <x:v>Xã Vĩnh Phước</x:v>
      </x:c>
      <x:c r="J606" s="124" t="n">
        <x:v>29.4</x:v>
      </x:c>
      <x:c r="K606" s="130" t="n">
        <x:v>34</x:v>
      </x:c>
      <x:c r="L606" s="124" t="n">
        <x:v>1</x:v>
      </x:c>
      <x:c r="M606" s="124"/>
      <x:c r="N606" s="124" t="n">
        <x:v>64.4</x:v>
      </x:c>
      <x:c r="O606" s="69" t="str"/>
    </x:row>
    <x:row r="607" ht="21" customHeight="1">
      <x:c r="A607" s="100" t="n">
        <x:v>603</x:v>
      </x:c>
      <x:c r="B607" s="172" t="n">
        <x:v>95211005497</x:v>
      </x:c>
      <x:c r="C607" s="68" t="str">
        <x:v>HUỲNH TRUNG HẬU</x:v>
      </x:c>
      <x:c r="D607" s="106" t="str"/>
      <x:c r="E607" s="118" t="n">
        <x:v>40637</x:v>
      </x:c>
      <x:c r="F607" s="106" t="str">
        <x:v>Kinh</x:v>
      </x:c>
      <x:c r="G607" s="68" t="str">
        <x:v>Xã Phước Long</x:v>
      </x:c>
      <x:c r="H607" s="68" t="str">
        <x:v>THCS Vương Hữu Nhơn</x:v>
      </x:c>
      <x:c r="I607" s="68" t="str">
        <x:v>Xã Phước Long</x:v>
      </x:c>
      <x:c r="J607" s="124" t="n">
        <x:v>28.4</x:v>
      </x:c>
      <x:c r="K607" s="130" t="n">
        <x:v>36</x:v>
      </x:c>
      <x:c r="L607" s="124"/>
      <x:c r="M607" s="124"/>
      <x:c r="N607" s="124" t="n">
        <x:v>64.4</x:v>
      </x:c>
      <x:c r="O607" s="69" t="str"/>
    </x:row>
    <x:row r="608" ht="21" customHeight="1">
      <x:c r="A608" s="100" t="n">
        <x:v>604</x:v>
      </x:c>
      <x:c r="B608" s="172" t="n">
        <x:v>95311005928</x:v>
      </x:c>
      <x:c r="C608" s="68" t="str">
        <x:v>NGÔ KHÁNH BĂNG</x:v>
      </x:c>
      <x:c r="D608" s="106" t="str">
        <x:v>X</x:v>
      </x:c>
      <x:c r="E608" s="118" t="n">
        <x:v>40554</x:v>
      </x:c>
      <x:c r="F608" s="106" t="str">
        <x:v>Kinh</x:v>
      </x:c>
      <x:c r="G608" s="68" t="str">
        <x:v>Xã Phước Long</x:v>
      </x:c>
      <x:c r="H608" s="68" t="str">
        <x:v>THCS Phước Long</x:v>
      </x:c>
      <x:c r="I608" s="68" t="str">
        <x:v>Xã Phước Long</x:v>
      </x:c>
      <x:c r="J608" s="124" t="n">
        <x:v>30.3</x:v>
      </x:c>
      <x:c r="K608" s="130" t="n">
        <x:v>34</x:v>
      </x:c>
      <x:c r="L608" s="124"/>
      <x:c r="M608" s="124"/>
      <x:c r="N608" s="124" t="n">
        <x:v>64.3</x:v>
      </x:c>
      <x:c r="O608" s="69" t="str"/>
    </x:row>
    <x:row r="609" ht="21" customHeight="1">
      <x:c r="A609" s="100" t="n">
        <x:v>605</x:v>
      </x:c>
      <x:c r="B609" s="172" t="n">
        <x:v>94311009978</x:v>
      </x:c>
      <x:c r="C609" s="68" t="str">
        <x:v>PHẠM THỊ TƯỜNG LAM</x:v>
      </x:c>
      <x:c r="D609" s="106" t="str">
        <x:v>X</x:v>
      </x:c>
      <x:c r="E609" s="118" t="n">
        <x:v>40665</x:v>
      </x:c>
      <x:c r="F609" s="106" t="str">
        <x:v>Kinh</x:v>
      </x:c>
      <x:c r="G609" s="68" t="str">
        <x:v>Xã Phước Long</x:v>
      </x:c>
      <x:c r="H609" s="68" t="str">
        <x:v>THCS Vương Hữu Nhơn</x:v>
      </x:c>
      <x:c r="I609" s="68" t="str">
        <x:v>Xã Phước Long</x:v>
      </x:c>
      <x:c r="J609" s="124" t="n">
        <x:v>30.3</x:v>
      </x:c>
      <x:c r="K609" s="130" t="n">
        <x:v>34</x:v>
      </x:c>
      <x:c r="L609" s="124"/>
      <x:c r="M609" s="124"/>
      <x:c r="N609" s="124" t="n">
        <x:v>64.3</x:v>
      </x:c>
      <x:c r="O609" s="69" t="str"/>
    </x:row>
    <x:row r="610" ht="21" customHeight="1">
      <x:c r="A610" s="100" t="n">
        <x:v>606</x:v>
      </x:c>
      <x:c r="B610" s="172" t="n">
        <x:v>96311011329</x:v>
      </x:c>
      <x:c r="C610" s="68" t="str">
        <x:v>NGUYỄN THỊ THẢO DUYÊN</x:v>
      </x:c>
      <x:c r="D610" s="106" t="str">
        <x:v>X</x:v>
      </x:c>
      <x:c r="E610" s="118" t="n">
        <x:v>40789</x:v>
      </x:c>
      <x:c r="F610" s="106" t="str">
        <x:v>Kinh</x:v>
      </x:c>
      <x:c r="G610" s="68" t="str">
        <x:v>Xã Phước Long</x:v>
      </x:c>
      <x:c r="H610" s="68" t="str">
        <x:v>THCS Phước Long</x:v>
      </x:c>
      <x:c r="I610" s="68" t="str">
        <x:v>Xã Phước Long</x:v>
      </x:c>
      <x:c r="J610" s="124" t="n">
        <x:v>30.2</x:v>
      </x:c>
      <x:c r="K610" s="130" t="n">
        <x:v>34</x:v>
      </x:c>
      <x:c r="L610" s="124"/>
      <x:c r="M610" s="124"/>
      <x:c r="N610" s="124" t="n">
        <x:v>64.2</x:v>
      </x:c>
      <x:c r="O610" s="69" t="str"/>
    </x:row>
    <x:row r="611" ht="21" customHeight="1">
      <x:c r="A611" s="100" t="n">
        <x:v>607</x:v>
      </x:c>
      <x:c r="B611" s="172" t="n">
        <x:v>95311008255</x:v>
      </x:c>
      <x:c r="C611" s="68" t="str">
        <x:v>TRẦN THỊ TRÚC HƯƠNG</x:v>
      </x:c>
      <x:c r="D611" s="106" t="str">
        <x:v>X</x:v>
      </x:c>
      <x:c r="E611" s="118" t="n">
        <x:v>40790</x:v>
      </x:c>
      <x:c r="F611" s="106" t="str">
        <x:v>Kinh</x:v>
      </x:c>
      <x:c r="G611" s="68" t="str">
        <x:v>Xã Vĩnh Phước</x:v>
      </x:c>
      <x:c r="H611" s="68" t="str">
        <x:v>THCS Vĩnh Phú Tây</x:v>
      </x:c>
      <x:c r="I611" s="68" t="str">
        <x:v>Xã Vĩnh Phước</x:v>
      </x:c>
      <x:c r="J611" s="124" t="n">
        <x:v>30.2</x:v>
      </x:c>
      <x:c r="K611" s="130" t="n">
        <x:v>33</x:v>
      </x:c>
      <x:c r="L611" s="124" t="n">
        <x:v>1</x:v>
      </x:c>
      <x:c r="M611" s="124"/>
      <x:c r="N611" s="124" t="n">
        <x:v>64.2</x:v>
      </x:c>
      <x:c r="O611" s="69" t="str"/>
    </x:row>
    <x:row r="612" ht="21" customHeight="1">
      <x:c r="A612" s="100" t="n">
        <x:v>608</x:v>
      </x:c>
      <x:c r="B612" s="172" t="n">
        <x:v>95211001555</x:v>
      </x:c>
      <x:c r="C612" s="68" t="str">
        <x:v>NGUYỄN TRÍ THIỆN</x:v>
      </x:c>
      <x:c r="D612" s="106" t="str"/>
      <x:c r="E612" s="118" t="n">
        <x:v>40682</x:v>
      </x:c>
      <x:c r="F612" s="106" t="str">
        <x:v>Kinh</x:v>
      </x:c>
      <x:c r="G612" s="68" t="str">
        <x:v>Xã Vĩnh Thanh</x:v>
      </x:c>
      <x:c r="H612" s="68" t="str">
        <x:v>THCS Hưng Phú</x:v>
      </x:c>
      <x:c r="I612" s="68" t="str">
        <x:v>Xã Vĩnh Thanh</x:v>
      </x:c>
      <x:c r="J612" s="124" t="n">
        <x:v>29.1</x:v>
      </x:c>
      <x:c r="K612" s="130" t="n">
        <x:v>35</x:v>
      </x:c>
      <x:c r="L612" s="124"/>
      <x:c r="M612" s="124"/>
      <x:c r="N612" s="124" t="n">
        <x:v>64.1</x:v>
      </x:c>
      <x:c r="O612" s="69" t="str"/>
    </x:row>
    <x:row r="613" ht="21" customHeight="1">
      <x:c r="A613" s="100" t="n">
        <x:v>609</x:v>
      </x:c>
      <x:c r="B613" s="172" t="n">
        <x:v>95311001605</x:v>
      </x:c>
      <x:c r="C613" s="68" t="str">
        <x:v>LÊ THỊ NGỌC TRÂM</x:v>
      </x:c>
      <x:c r="D613" s="106" t="str">
        <x:v>X</x:v>
      </x:c>
      <x:c r="E613" s="118" t="n">
        <x:v>40829</x:v>
      </x:c>
      <x:c r="F613" s="106" t="str">
        <x:v>Kinh</x:v>
      </x:c>
      <x:c r="G613" s="68" t="str">
        <x:v>Xã Phước Long</x:v>
      </x:c>
      <x:c r="H613" s="68" t="str">
        <x:v>THCS Vương Hữu Nhơn</x:v>
      </x:c>
      <x:c r="I613" s="68" t="str">
        <x:v>Xã Phước Long</x:v>
      </x:c>
      <x:c r="J613" s="124" t="n">
        <x:v>28.1</x:v>
      </x:c>
      <x:c r="K613" s="130" t="n">
        <x:v>36</x:v>
      </x:c>
      <x:c r="L613" s="124"/>
      <x:c r="M613" s="124"/>
      <x:c r="N613" s="124" t="n">
        <x:v>64.1</x:v>
      </x:c>
      <x:c r="O613" s="69" t="str"/>
    </x:row>
    <x:row r="614" ht="21" customHeight="1">
      <x:c r="A614" s="100" t="n">
        <x:v>610</x:v>
      </x:c>
      <x:c r="B614" s="172" t="n">
        <x:v>95311006912</x:v>
      </x:c>
      <x:c r="C614" s="68" t="str">
        <x:v>VÕ DIỄN NHƯ NGUYỄN</x:v>
      </x:c>
      <x:c r="D614" s="106" t="str">
        <x:v>X</x:v>
      </x:c>
      <x:c r="E614" s="118" t="n">
        <x:v>40732</x:v>
      </x:c>
      <x:c r="F614" s="106" t="str">
        <x:v>Kinh</x:v>
      </x:c>
      <x:c r="G614" s="68" t="str">
        <x:v>Xã Vĩnh Phước</x:v>
      </x:c>
      <x:c r="H614" s="68" t="str">
        <x:v>THCS Lý Tự Trọng</x:v>
      </x:c>
      <x:c r="I614" s="68" t="str">
        <x:v>Bình Dương</x:v>
      </x:c>
      <x:c r="J614" s="124" t="n">
        <x:v>30.1</x:v>
      </x:c>
      <x:c r="K614" s="130" t="n">
        <x:v>34</x:v>
      </x:c>
      <x:c r="L614" s="124"/>
      <x:c r="M614" s="124"/>
      <x:c r="N614" s="124" t="n">
        <x:v>64.1</x:v>
      </x:c>
      <x:c r="O614" s="69" t="str"/>
    </x:row>
    <x:row r="615" ht="21" customHeight="1">
      <x:c r="A615" s="100" t="n">
        <x:v>611</x:v>
      </x:c>
      <x:c r="B615" s="172" t="n">
        <x:v>95311005020</x:v>
      </x:c>
      <x:c r="C615" s="68" t="str">
        <x:v>ĐẶNG THỊ KIM YẾN</x:v>
      </x:c>
      <x:c r="D615" s="106" t="str">
        <x:v>X</x:v>
      </x:c>
      <x:c r="E615" s="118" t="n">
        <x:v>40694</x:v>
      </x:c>
      <x:c r="F615" s="106" t="str">
        <x:v>Kinh</x:v>
      </x:c>
      <x:c r="G615" s="68" t="str">
        <x:v>Xã Vĩnh Phước</x:v>
      </x:c>
      <x:c r="H615" s="68" t="str">
        <x:v>THCS Vĩnh Phú Tây</x:v>
      </x:c>
      <x:c r="I615" s="68" t="str">
        <x:v>Xã Vĩnh Phước</x:v>
      </x:c>
      <x:c r="J615" s="124" t="n">
        <x:v>30</x:v>
      </x:c>
      <x:c r="K615" s="130" t="n">
        <x:v>34</x:v>
      </x:c>
      <x:c r="L615" s="124"/>
      <x:c r="M615" s="124"/>
      <x:c r="N615" s="124" t="n">
        <x:v>64</x:v>
      </x:c>
      <x:c r="O615" s="69" t="str"/>
    </x:row>
    <x:row r="616" ht="21" customHeight="1">
      <x:c r="A616" s="100" t="n">
        <x:v>612</x:v>
      </x:c>
      <x:c r="B616" s="172" t="n">
        <x:v>95211009205</x:v>
      </x:c>
      <x:c r="C616" s="68" t="str">
        <x:v>NGÔ ĐĂNG KHÔI</x:v>
      </x:c>
      <x:c r="D616" s="106" t="str"/>
      <x:c r="E616" s="118" t="n">
        <x:v>40579</x:v>
      </x:c>
      <x:c r="F616" s="106" t="str">
        <x:v>Kinh</x:v>
      </x:c>
      <x:c r="G616" s="68" t="str">
        <x:v>Xã Vĩnh Thanh</x:v>
      </x:c>
      <x:c r="H616" s="68" t="str">
        <x:v>THCS Hưng Phú</x:v>
      </x:c>
      <x:c r="I616" s="68" t="str">
        <x:v>Xã Vĩnh Thanh</x:v>
      </x:c>
      <x:c r="J616" s="124" t="n">
        <x:v>30</x:v>
      </x:c>
      <x:c r="K616" s="130" t="n">
        <x:v>34</x:v>
      </x:c>
      <x:c r="L616" s="124"/>
      <x:c r="M616" s="124"/>
      <x:c r="N616" s="124" t="n">
        <x:v>64</x:v>
      </x:c>
      <x:c r="O616" s="69" t="str"/>
    </x:row>
    <x:row r="617" ht="21" customHeight="1">
      <x:c r="A617" s="100" t="n">
        <x:v>613</x:v>
      </x:c>
      <x:c r="B617" s="172" t="n">
        <x:v>95311008204</x:v>
      </x:c>
      <x:c r="C617" s="68" t="str">
        <x:v>TRẦN BÍCH HUYỀN</x:v>
      </x:c>
      <x:c r="D617" s="106" t="str">
        <x:v>X</x:v>
      </x:c>
      <x:c r="E617" s="118" t="n">
        <x:v>40619</x:v>
      </x:c>
      <x:c r="F617" s="106" t="str">
        <x:v>Kinh</x:v>
      </x:c>
      <x:c r="G617" s="68" t="str">
        <x:v>Xã Phước Long</x:v>
      </x:c>
      <x:c r="H617" s="68" t="str">
        <x:v>THCS Hưng Phú</x:v>
      </x:c>
      <x:c r="I617" s="68" t="str">
        <x:v>Xã Vĩnh Thanh</x:v>
      </x:c>
      <x:c r="J617" s="124" t="n">
        <x:v>30</x:v>
      </x:c>
      <x:c r="K617" s="130" t="n">
        <x:v>34</x:v>
      </x:c>
      <x:c r="L617" s="124"/>
      <x:c r="M617" s="124"/>
      <x:c r="N617" s="124" t="n">
        <x:v>64</x:v>
      </x:c>
      <x:c r="O617" s="69" t="str"/>
    </x:row>
    <x:row r="618" ht="21" customHeight="1">
      <x:c r="A618" s="100" t="n">
        <x:v>614</x:v>
      </x:c>
      <x:c r="B618" s="172" t="n">
        <x:v>95311006927</x:v>
      </x:c>
      <x:c r="C618" s="68" t="str">
        <x:v>NGUYỄN HỒNG NHUNG</x:v>
      </x:c>
      <x:c r="D618" s="106" t="str">
        <x:v>X</x:v>
      </x:c>
      <x:c r="E618" s="118" t="n">
        <x:v>40896</x:v>
      </x:c>
      <x:c r="F618" s="106" t="str">
        <x:v>Kinh</x:v>
      </x:c>
      <x:c r="G618" s="68" t="str">
        <x:v>Xã Phước Long</x:v>
      </x:c>
      <x:c r="H618" s="68" t="str">
        <x:v>THCS Phước Long</x:v>
      </x:c>
      <x:c r="I618" s="68" t="str">
        <x:v>Xã Phước Long</x:v>
      </x:c>
      <x:c r="J618" s="124" t="n">
        <x:v>29.9</x:v>
      </x:c>
      <x:c r="K618" s="130" t="n">
        <x:v>34</x:v>
      </x:c>
      <x:c r="L618" s="124"/>
      <x:c r="M618" s="124"/>
      <x:c r="N618" s="124" t="n">
        <x:v>63.9</x:v>
      </x:c>
      <x:c r="O618" s="69" t="str"/>
    </x:row>
    <x:row r="619" ht="21" customHeight="1">
      <x:c r="A619" s="100" t="n">
        <x:v>615</x:v>
      </x:c>
      <x:c r="B619" s="172" t="n">
        <x:v>95211003134</x:v>
      </x:c>
      <x:c r="C619" s="68" t="str">
        <x:v>CAO THANH THẮNG</x:v>
      </x:c>
      <x:c r="D619" s="106" t="str"/>
      <x:c r="E619" s="118" t="n">
        <x:v>40680</x:v>
      </x:c>
      <x:c r="F619" s="106" t="str">
        <x:v>Kinh</x:v>
      </x:c>
      <x:c r="G619" s="68" t="str">
        <x:v>Xã Phước Long</x:v>
      </x:c>
      <x:c r="H619" s="68" t="str">
        <x:v>THCS Phước Long</x:v>
      </x:c>
      <x:c r="I619" s="68" t="str">
        <x:v>Xã Phước Long</x:v>
      </x:c>
      <x:c r="J619" s="124" t="n">
        <x:v>29.9</x:v>
      </x:c>
      <x:c r="K619" s="130" t="n">
        <x:v>34</x:v>
      </x:c>
      <x:c r="L619" s="124"/>
      <x:c r="M619" s="124"/>
      <x:c r="N619" s="124" t="n">
        <x:v>63.9</x:v>
      </x:c>
      <x:c r="O619" s="69" t="str"/>
    </x:row>
    <x:row r="620" ht="21" customHeight="1">
      <x:c r="A620" s="100" t="n">
        <x:v>616</x:v>
      </x:c>
      <x:c r="B620" s="172" t="n">
        <x:v>93311001692</x:v>
      </x:c>
      <x:c r="C620" s="68" t="str">
        <x:v>TRẦN THỊ MỸ QUYỀN</x:v>
      </x:c>
      <x:c r="D620" s="106" t="str">
        <x:v>X</x:v>
      </x:c>
      <x:c r="E620" s="118" t="n">
        <x:v>40604</x:v>
      </x:c>
      <x:c r="F620" s="106" t="str">
        <x:v>Kinh</x:v>
      </x:c>
      <x:c r="G620" s="68" t="str">
        <x:v>Xã Phước Long</x:v>
      </x:c>
      <x:c r="H620" s="68" t="str">
        <x:v>THCS Phước Long</x:v>
      </x:c>
      <x:c r="I620" s="68" t="str">
        <x:v>Xã Phước Long</x:v>
      </x:c>
      <x:c r="J620" s="124" t="n">
        <x:v>29.9</x:v>
      </x:c>
      <x:c r="K620" s="130" t="n">
        <x:v>34</x:v>
      </x:c>
      <x:c r="L620" s="124"/>
      <x:c r="M620" s="124"/>
      <x:c r="N620" s="124" t="n">
        <x:v>63.9</x:v>
      </x:c>
      <x:c r="O620" s="69" t="str"/>
    </x:row>
    <x:row r="621" ht="21" customHeight="1">
      <x:c r="A621" s="100" t="n">
        <x:v>617</x:v>
      </x:c>
      <x:c r="B621" s="172" t="n">
        <x:v>95211008851</x:v>
      </x:c>
      <x:c r="C621" s="68" t="str">
        <x:v>TRẦN VŨ LÊN</x:v>
      </x:c>
      <x:c r="D621" s="106" t="str"/>
      <x:c r="E621" s="118" t="n">
        <x:v>40828</x:v>
      </x:c>
      <x:c r="F621" s="106" t="str">
        <x:v>Kinh</x:v>
      </x:c>
      <x:c r="G621" s="68" t="str">
        <x:v>Xã Vĩnh Phước</x:v>
      </x:c>
      <x:c r="H621" s="68" t="str">
        <x:v>THCS Phước Long</x:v>
      </x:c>
      <x:c r="I621" s="68" t="str">
        <x:v>Xã Phước Long</x:v>
      </x:c>
      <x:c r="J621" s="124" t="n">
        <x:v>31.9</x:v>
      </x:c>
      <x:c r="K621" s="130" t="n">
        <x:v>32</x:v>
      </x:c>
      <x:c r="L621" s="124"/>
      <x:c r="M621" s="124"/>
      <x:c r="N621" s="124" t="n">
        <x:v>63.9</x:v>
      </x:c>
      <x:c r="O621" s="69" t="str"/>
    </x:row>
    <x:row r="622" ht="21" customHeight="1">
      <x:c r="A622" s="100" t="n">
        <x:v>618</x:v>
      </x:c>
      <x:c r="B622" s="172" t="n">
        <x:v>95211001049</x:v>
      </x:c>
      <x:c r="C622" s="68" t="str">
        <x:v>LÊ CHÍ HẢI</x:v>
      </x:c>
      <x:c r="D622" s="106" t="str"/>
      <x:c r="E622" s="118" t="n">
        <x:v>40873</x:v>
      </x:c>
      <x:c r="F622" s="106" t="str">
        <x:v>Kinh</x:v>
      </x:c>
      <x:c r="G622" s="68" t="str">
        <x:v>Xã Vĩnh Phước</x:v>
      </x:c>
      <x:c r="H622" s="68" t="str">
        <x:v>THCS Vĩnh Phú Tây</x:v>
      </x:c>
      <x:c r="I622" s="68" t="str">
        <x:v>Xã Vĩnh Phước</x:v>
      </x:c>
      <x:c r="J622" s="124" t="n">
        <x:v>28.9</x:v>
      </x:c>
      <x:c r="K622" s="130" t="n">
        <x:v>34</x:v>
      </x:c>
      <x:c r="L622" s="124" t="n">
        <x:v>1</x:v>
      </x:c>
      <x:c r="M622" s="124"/>
      <x:c r="N622" s="124" t="n">
        <x:v>63.9</x:v>
      </x:c>
      <x:c r="O622" s="69" t="str"/>
    </x:row>
    <x:row r="623" ht="21" customHeight="1">
      <x:c r="A623" s="100" t="n">
        <x:v>619</x:v>
      </x:c>
      <x:c r="B623" s="172" t="n">
        <x:v>95311010070</x:v>
      </x:c>
      <x:c r="C623" s="68" t="str">
        <x:v>VÕ HUỲNH NHIÊN</x:v>
      </x:c>
      <x:c r="D623" s="106" t="str">
        <x:v>X</x:v>
      </x:c>
      <x:c r="E623" s="118" t="n">
        <x:v>40653</x:v>
      </x:c>
      <x:c r="F623" s="106" t="str">
        <x:v>Kinh</x:v>
      </x:c>
      <x:c r="G623" s="68" t="str">
        <x:v>Xã Vĩnh Thanh</x:v>
      </x:c>
      <x:c r="H623" s="68" t="str">
        <x:v>THCS Hưng Phú</x:v>
      </x:c>
      <x:c r="I623" s="68" t="str">
        <x:v>Xã Vĩnh Thanh</x:v>
      </x:c>
      <x:c r="J623" s="124" t="n">
        <x:v>29.9</x:v>
      </x:c>
      <x:c r="K623" s="130" t="n">
        <x:v>34</x:v>
      </x:c>
      <x:c r="L623" s="124"/>
      <x:c r="M623" s="124"/>
      <x:c r="N623" s="124" t="n">
        <x:v>63.9</x:v>
      </x:c>
      <x:c r="O623" s="69" t="str"/>
    </x:row>
    <x:row r="624" ht="21" customHeight="1">
      <x:c r="A624" s="100" t="n">
        <x:v>620</x:v>
      </x:c>
      <x:c r="B624" s="172" t="n">
        <x:v>95211009054</x:v>
      </x:c>
      <x:c r="C624" s="68" t="str">
        <x:v>THÁI MỘC PHÁT</x:v>
      </x:c>
      <x:c r="D624" s="106" t="str"/>
      <x:c r="E624" s="118" t="n">
        <x:v>40868</x:v>
      </x:c>
      <x:c r="F624" s="106" t="str">
        <x:v>Kinh</x:v>
      </x:c>
      <x:c r="G624" s="68" t="str">
        <x:v>Xã Vĩnh Thanh</x:v>
      </x:c>
      <x:c r="H624" s="68" t="str">
        <x:v>THCS Hưng Phú</x:v>
      </x:c>
      <x:c r="I624" s="68" t="str">
        <x:v>Xã Vĩnh Thanh</x:v>
      </x:c>
      <x:c r="J624" s="124" t="n">
        <x:v>28.9</x:v>
      </x:c>
      <x:c r="K624" s="130" t="n">
        <x:v>35</x:v>
      </x:c>
      <x:c r="L624" s="124"/>
      <x:c r="M624" s="124"/>
      <x:c r="N624" s="124" t="n">
        <x:v>63.9</x:v>
      </x:c>
      <x:c r="O624" s="69" t="str"/>
    </x:row>
    <x:row r="625" ht="21" customHeight="1">
      <x:c r="A625" s="100" t="n">
        <x:v>621</x:v>
      </x:c>
      <x:c r="B625" s="172" t="n">
        <x:v>95211007410</x:v>
      </x:c>
      <x:c r="C625" s="68" t="str">
        <x:v>TRẦN TRUNG MẪN</x:v>
      </x:c>
      <x:c r="D625" s="106" t="str"/>
      <x:c r="E625" s="118" t="n">
        <x:v>40736</x:v>
      </x:c>
      <x:c r="F625" s="106" t="str">
        <x:v>Kinh</x:v>
      </x:c>
      <x:c r="G625" s="68" t="str">
        <x:v>Xã Hồng Dân</x:v>
      </x:c>
      <x:c r="H625" s="68" t="str">
        <x:v>THCS Trương Vĩnh Ký</x:v>
      </x:c>
      <x:c r="I625" s="68" t="str">
        <x:v>Xã Hồng Dân</x:v>
      </x:c>
      <x:c r="J625" s="124" t="n">
        <x:v>29.9</x:v>
      </x:c>
      <x:c r="K625" s="130" t="n">
        <x:v>34</x:v>
      </x:c>
      <x:c r="L625" s="124"/>
      <x:c r="M625" s="124"/>
      <x:c r="N625" s="124" t="n">
        <x:v>63.9</x:v>
      </x:c>
      <x:c r="O625" s="69" t="str"/>
    </x:row>
    <x:row r="626" ht="21" customHeight="1">
      <x:c r="A626" s="100" t="n">
        <x:v>622</x:v>
      </x:c>
      <x:c r="B626" s="172" t="n">
        <x:v>95211008055</x:v>
      </x:c>
      <x:c r="C626" s="68" t="str">
        <x:v>NGUYỄN HUỲNH TRỌNG</x:v>
      </x:c>
      <x:c r="D626" s="106" t="str"/>
      <x:c r="E626" s="118" t="n">
        <x:v>40765</x:v>
      </x:c>
      <x:c r="F626" s="106" t="str">
        <x:v>Kinh</x:v>
      </x:c>
      <x:c r="G626" s="68" t="str">
        <x:v>Xã Phước Long</x:v>
      </x:c>
      <x:c r="H626" s="68" t="str">
        <x:v>THCS Phước Long</x:v>
      </x:c>
      <x:c r="I626" s="68" t="str">
        <x:v>Xã Phước Long</x:v>
      </x:c>
      <x:c r="J626" s="124" t="n">
        <x:v>29.8</x:v>
      </x:c>
      <x:c r="K626" s="130" t="n">
        <x:v>34</x:v>
      </x:c>
      <x:c r="L626" s="124"/>
      <x:c r="M626" s="124"/>
      <x:c r="N626" s="124" t="n">
        <x:v>63.8</x:v>
      </x:c>
      <x:c r="O626" s="69" t="str"/>
    </x:row>
    <x:row r="627" ht="21" customHeight="1">
      <x:c r="A627" s="100" t="n">
        <x:v>623</x:v>
      </x:c>
      <x:c r="B627" s="172" t="n">
        <x:v>95311004519</x:v>
      </x:c>
      <x:c r="C627" s="68" t="str">
        <x:v>NGUYỄN THỊ HỒNG LAM</x:v>
      </x:c>
      <x:c r="D627" s="106" t="str">
        <x:v>X</x:v>
      </x:c>
      <x:c r="E627" s="118" t="n">
        <x:v>40667</x:v>
      </x:c>
      <x:c r="F627" s="106" t="str">
        <x:v>Kinh</x:v>
      </x:c>
      <x:c r="G627" s="68" t="str">
        <x:v>Xã Phước Long</x:v>
      </x:c>
      <x:c r="H627" s="68" t="str">
        <x:v>THCS Phước Long</x:v>
      </x:c>
      <x:c r="I627" s="68" t="str">
        <x:v>Xã Phước Long</x:v>
      </x:c>
      <x:c r="J627" s="124" t="n">
        <x:v>29.8</x:v>
      </x:c>
      <x:c r="K627" s="130" t="n">
        <x:v>34</x:v>
      </x:c>
      <x:c r="L627" s="124"/>
      <x:c r="M627" s="124"/>
      <x:c r="N627" s="124" t="n">
        <x:v>63.8</x:v>
      </x:c>
      <x:c r="O627" s="69" t="str"/>
    </x:row>
    <x:row r="628" ht="21" customHeight="1">
      <x:c r="A628" s="100" t="n">
        <x:v>624</x:v>
      </x:c>
      <x:c r="B628" s="172" t="n">
        <x:v>95311010181</x:v>
      </x:c>
      <x:c r="C628" s="68" t="str">
        <x:v>ĐẶNG HÀ THU THẢO</x:v>
      </x:c>
      <x:c r="D628" s="106" t="str">
        <x:v>X</x:v>
      </x:c>
      <x:c r="E628" s="118" t="n">
        <x:v>40865</x:v>
      </x:c>
      <x:c r="F628" s="106" t="str">
        <x:v>Kinh</x:v>
      </x:c>
      <x:c r="G628" s="68" t="str">
        <x:v>Xã Vĩnh Thanh</x:v>
      </x:c>
      <x:c r="H628" s="68" t="str">
        <x:v>THCS Vĩnh Phú Tây</x:v>
      </x:c>
      <x:c r="I628" s="68" t="str">
        <x:v>Xã Vĩnh Phước</x:v>
      </x:c>
      <x:c r="J628" s="124" t="n">
        <x:v>29.8</x:v>
      </x:c>
      <x:c r="K628" s="130" t="n">
        <x:v>34</x:v>
      </x:c>
      <x:c r="L628" s="124"/>
      <x:c r="M628" s="124"/>
      <x:c r="N628" s="124" t="n">
        <x:v>63.8</x:v>
      </x:c>
      <x:c r="O628" s="69" t="str"/>
    </x:row>
    <x:row r="629" ht="21" customHeight="1">
      <x:c r="A629" s="100" t="n">
        <x:v>625</x:v>
      </x:c>
      <x:c r="B629" s="172" t="n">
        <x:v>95311003244</x:v>
      </x:c>
      <x:c r="C629" s="68" t="str">
        <x:v>PHAN THỊ ANH THƯ</x:v>
      </x:c>
      <x:c r="D629" s="106" t="str">
        <x:v>X</x:v>
      </x:c>
      <x:c r="E629" s="118" t="n">
        <x:v>40761</x:v>
      </x:c>
      <x:c r="F629" s="106" t="str">
        <x:v>Kinh</x:v>
      </x:c>
      <x:c r="G629" s="68" t="str">
        <x:v>Xã Vĩnh Thanh</x:v>
      </x:c>
      <x:c r="H629" s="68" t="str">
        <x:v>THCS Vĩnh Thanh</x:v>
      </x:c>
      <x:c r="I629" s="68" t="str">
        <x:v>Xã Vĩnh Thanh</x:v>
      </x:c>
      <x:c r="J629" s="124" t="n">
        <x:v>29.8</x:v>
      </x:c>
      <x:c r="K629" s="130" t="n">
        <x:v>34</x:v>
      </x:c>
      <x:c r="L629" s="124"/>
      <x:c r="M629" s="124"/>
      <x:c r="N629" s="124" t="n">
        <x:v>63.8</x:v>
      </x:c>
      <x:c r="O629" s="69" t="str"/>
    </x:row>
    <x:row r="630" ht="21" customHeight="1">
      <x:c r="A630" s="100" t="n">
        <x:v>626</x:v>
      </x:c>
      <x:c r="B630" s="172" t="n">
        <x:v>95311001539</x:v>
      </x:c>
      <x:c r="C630" s="68" t="str">
        <x:v>HUỲNH PHẠM HOÀI THƯ</x:v>
      </x:c>
      <x:c r="D630" s="106" t="str">
        <x:v>X</x:v>
      </x:c>
      <x:c r="E630" s="118" t="n">
        <x:v>40888</x:v>
      </x:c>
      <x:c r="F630" s="106" t="str">
        <x:v>Kinh</x:v>
      </x:c>
      <x:c r="G630" s="68" t="str">
        <x:v>Xã Hồng Dân</x:v>
      </x:c>
      <x:c r="H630" s="68" t="str">
        <x:v>THCS Trương Vĩnh Ký</x:v>
      </x:c>
      <x:c r="I630" s="68" t="str">
        <x:v>Xã Hồng Dân</x:v>
      </x:c>
      <x:c r="J630" s="124" t="n">
        <x:v>27.8</x:v>
      </x:c>
      <x:c r="K630" s="130" t="n">
        <x:v>36</x:v>
      </x:c>
      <x:c r="L630" s="124"/>
      <x:c r="M630" s="124"/>
      <x:c r="N630" s="124" t="n">
        <x:v>63.8</x:v>
      </x:c>
      <x:c r="O630" s="69" t="str"/>
    </x:row>
    <x:row r="631" ht="21" customHeight="1">
      <x:c r="A631" s="100" t="n">
        <x:v>627</x:v>
      </x:c>
      <x:c r="B631" s="172" t="n">
        <x:v>95311010293</x:v>
      </x:c>
      <x:c r="C631" s="68" t="str">
        <x:v>LÊ LÂM DIỄM MY</x:v>
      </x:c>
      <x:c r="D631" s="106" t="str">
        <x:v>X</x:v>
      </x:c>
      <x:c r="E631" s="118" t="n">
        <x:v>40779</x:v>
      </x:c>
      <x:c r="F631" s="106" t="str">
        <x:v>Kinh</x:v>
      </x:c>
      <x:c r="G631" s="68" t="str">
        <x:v>Xã Vĩnh Hậu</x:v>
      </x:c>
      <x:c r="H631" s="68" t="str">
        <x:v>THCS Vĩnh Thanh</x:v>
      </x:c>
      <x:c r="I631" s="68" t="str">
        <x:v>Xã Vĩnh Hậu</x:v>
      </x:c>
      <x:c r="J631" s="124" t="n">
        <x:v>28.8</x:v>
      </x:c>
      <x:c r="K631" s="130" t="n">
        <x:v>34</x:v>
      </x:c>
      <x:c r="L631" s="124" t="n">
        <x:v>1</x:v>
      </x:c>
      <x:c r="M631" s="124"/>
      <x:c r="N631" s="124" t="n">
        <x:v>63.8</x:v>
      </x:c>
      <x:c r="O631" s="69" t="str"/>
    </x:row>
    <x:row r="632" ht="21" customHeight="1">
      <x:c r="A632" s="100" t="n">
        <x:v>628</x:v>
      </x:c>
      <x:c r="B632" s="172" t="n">
        <x:v>95311009361</x:v>
      </x:c>
      <x:c r="C632" s="68" t="str">
        <x:v>DƯƠNG THỊ THÙY DƯƠNG</x:v>
      </x:c>
      <x:c r="D632" s="106" t="str">
        <x:v>X</x:v>
      </x:c>
      <x:c r="E632" s="118" t="n">
        <x:v>40793</x:v>
      </x:c>
      <x:c r="F632" s="106" t="str">
        <x:v>Kinh</x:v>
      </x:c>
      <x:c r="G632" s="68" t="str">
        <x:v>Xã Vĩnh Phước</x:v>
      </x:c>
      <x:c r="H632" s="68" t="str">
        <x:v>THCS Phước Long</x:v>
      </x:c>
      <x:c r="I632" s="68" t="str">
        <x:v>Xã Phước Long</x:v>
      </x:c>
      <x:c r="J632" s="124" t="n">
        <x:v>29.7</x:v>
      </x:c>
      <x:c r="K632" s="130" t="n">
        <x:v>34</x:v>
      </x:c>
      <x:c r="L632" s="124"/>
      <x:c r="M632" s="124"/>
      <x:c r="N632" s="124" t="n">
        <x:v>63.7</x:v>
      </x:c>
      <x:c r="O632" s="69" t="str"/>
    </x:row>
    <x:row r="633" ht="21" customHeight="1">
      <x:c r="A633" s="100" t="n">
        <x:v>629</x:v>
      </x:c>
      <x:c r="B633" s="172" t="n">
        <x:v>95311006905</x:v>
      </x:c>
      <x:c r="C633" s="68" t="str">
        <x:v>NGUYỄN THỊ KIM MỸ</x:v>
      </x:c>
      <x:c r="D633" s="106" t="str">
        <x:v>X</x:v>
      </x:c>
      <x:c r="E633" s="118" t="n">
        <x:v>40734</x:v>
      </x:c>
      <x:c r="F633" s="106" t="str">
        <x:v>Kinh</x:v>
      </x:c>
      <x:c r="G633" s="68" t="str">
        <x:v>Xã Phước Long</x:v>
      </x:c>
      <x:c r="H633" s="68" t="str">
        <x:v>THCS Phước Long</x:v>
      </x:c>
      <x:c r="I633" s="68" t="str">
        <x:v>Xã Phước Long</x:v>
      </x:c>
      <x:c r="J633" s="124" t="n">
        <x:v>29.7</x:v>
      </x:c>
      <x:c r="K633" s="130" t="n">
        <x:v>34</x:v>
      </x:c>
      <x:c r="L633" s="124"/>
      <x:c r="M633" s="124"/>
      <x:c r="N633" s="124" t="n">
        <x:v>63.7</x:v>
      </x:c>
      <x:c r="O633" s="69" t="str"/>
    </x:row>
    <x:row r="634" ht="21" customHeight="1">
      <x:c r="A634" s="100" t="n">
        <x:v>630</x:v>
      </x:c>
      <x:c r="B634" s="172" t="n">
        <x:v>95311005374</x:v>
      </x:c>
      <x:c r="C634" s="68" t="str">
        <x:v>LÊ ANH THƯ</x:v>
      </x:c>
      <x:c r="D634" s="106" t="str">
        <x:v>X</x:v>
      </x:c>
      <x:c r="E634" s="118" t="n">
        <x:v>40675</x:v>
      </x:c>
      <x:c r="F634" s="106" t="str">
        <x:v>Kinh</x:v>
      </x:c>
      <x:c r="G634" s="68" t="str">
        <x:v>Xã Vĩnh Phước</x:v>
      </x:c>
      <x:c r="H634" s="68" t="str">
        <x:v>THCS Vĩnh Phú Tây</x:v>
      </x:c>
      <x:c r="I634" s="68" t="str">
        <x:v>Xã Vĩnh Phước</x:v>
      </x:c>
      <x:c r="J634" s="124" t="n">
        <x:v>29.7</x:v>
      </x:c>
      <x:c r="K634" s="130" t="n">
        <x:v>34</x:v>
      </x:c>
      <x:c r="L634" s="124"/>
      <x:c r="M634" s="124"/>
      <x:c r="N634" s="124" t="n">
        <x:v>63.7</x:v>
      </x:c>
      <x:c r="O634" s="69" t="str"/>
    </x:row>
    <x:row r="635" ht="21" customHeight="1">
      <x:c r="A635" s="100" t="n">
        <x:v>631</x:v>
      </x:c>
      <x:c r="B635" s="172" t="n">
        <x:v>95311001518</x:v>
      </x:c>
      <x:c r="C635" s="68" t="str">
        <x:v>LÂM THỊ PHƯƠNG LINH</x:v>
      </x:c>
      <x:c r="D635" s="106" t="str">
        <x:v>X</x:v>
      </x:c>
      <x:c r="E635" s="118" t="n">
        <x:v>40652</x:v>
      </x:c>
      <x:c r="F635" s="106" t="str">
        <x:v>Kinh</x:v>
      </x:c>
      <x:c r="G635" s="68" t="str">
        <x:v>Xã Phước Long</x:v>
      </x:c>
      <x:c r="H635" s="68" t="str">
        <x:v>THCS Hưng Phú</x:v>
      </x:c>
      <x:c r="I635" s="68" t="str">
        <x:v>Xã Vĩnh Thanh</x:v>
      </x:c>
      <x:c r="J635" s="124" t="n">
        <x:v>29.7</x:v>
      </x:c>
      <x:c r="K635" s="130" t="n">
        <x:v>34</x:v>
      </x:c>
      <x:c r="L635" s="124"/>
      <x:c r="M635" s="124"/>
      <x:c r="N635" s="124" t="n">
        <x:v>63.7</x:v>
      </x:c>
      <x:c r="O635" s="69" t="str"/>
    </x:row>
    <x:row r="636" ht="21" customHeight="1">
      <x:c r="A636" s="100" t="n">
        <x:v>632</x:v>
      </x:c>
      <x:c r="B636" s="172" t="n">
        <x:v>95211009094</x:v>
      </x:c>
      <x:c r="C636" s="68" t="str">
        <x:v>NGÔ TUẦN ĐẠT</x:v>
      </x:c>
      <x:c r="D636" s="106" t="str"/>
      <x:c r="E636" s="118" t="n">
        <x:v>40577</x:v>
      </x:c>
      <x:c r="F636" s="106" t="str">
        <x:v>Khmer</x:v>
      </x:c>
      <x:c r="G636" s="68" t="str">
        <x:v>Xã Vĩnh Thanh</x:v>
      </x:c>
      <x:c r="H636" s="68" t="str">
        <x:v>THCS Vĩnh Thanh</x:v>
      </x:c>
      <x:c r="I636" s="68" t="str">
        <x:v>Xã Vĩnh Thanh</x:v>
      </x:c>
      <x:c r="J636" s="124" t="n">
        <x:v>28.7</x:v>
      </x:c>
      <x:c r="K636" s="130" t="n">
        <x:v>34</x:v>
      </x:c>
      <x:c r="L636" s="124" t="n">
        <x:v>1</x:v>
      </x:c>
      <x:c r="M636" s="124"/>
      <x:c r="N636" s="124" t="n">
        <x:v>63.7</x:v>
      </x:c>
      <x:c r="O636" s="69" t="str"/>
    </x:row>
    <x:row r="637" ht="21" customHeight="1">
      <x:c r="A637" s="100" t="n">
        <x:v>633</x:v>
      </x:c>
      <x:c r="B637" s="172" t="n">
        <x:v>95311008025</x:v>
      </x:c>
      <x:c r="C637" s="68" t="str">
        <x:v>TRẦN THIÊN DI</x:v>
      </x:c>
      <x:c r="D637" s="106" t="str">
        <x:v>X</x:v>
      </x:c>
      <x:c r="E637" s="118" t="n">
        <x:v>40905</x:v>
      </x:c>
      <x:c r="F637" s="106" t="str">
        <x:v>Kinh</x:v>
      </x:c>
      <x:c r="G637" s="68" t="str">
        <x:v>Xã Phước Long</x:v>
      </x:c>
      <x:c r="H637" s="68" t="str">
        <x:v>THCS Phước Long</x:v>
      </x:c>
      <x:c r="I637" s="68" t="str">
        <x:v>Xã Phước Long</x:v>
      </x:c>
      <x:c r="J637" s="124" t="n">
        <x:v>29.6</x:v>
      </x:c>
      <x:c r="K637" s="130" t="n">
        <x:v>34</x:v>
      </x:c>
      <x:c r="L637" s="124"/>
      <x:c r="M637" s="124"/>
      <x:c r="N637" s="124" t="n">
        <x:v>63.6</x:v>
      </x:c>
      <x:c r="O637" s="69" t="str"/>
    </x:row>
    <x:row r="638" ht="21" customHeight="1">
      <x:c r="A638" s="100" t="n">
        <x:v>634</x:v>
      </x:c>
      <x:c r="B638" s="172" t="n">
        <x:v>95211005537</x:v>
      </x:c>
      <x:c r="C638" s="68" t="str">
        <x:v>TRẦN MINH KHÔI</x:v>
      </x:c>
      <x:c r="D638" s="106" t="str"/>
      <x:c r="E638" s="118" t="n">
        <x:v>40830</x:v>
      </x:c>
      <x:c r="F638" s="106" t="str">
        <x:v>Kinh</x:v>
      </x:c>
      <x:c r="G638" s="68" t="str">
        <x:v>Xã Vĩnh Phước</x:v>
      </x:c>
      <x:c r="H638" s="68" t="str">
        <x:v>THCS Vĩnh Phú Tây</x:v>
      </x:c>
      <x:c r="I638" s="68" t="str">
        <x:v>Xã Vĩnh Phước</x:v>
      </x:c>
      <x:c r="J638" s="124" t="n">
        <x:v>29.6</x:v>
      </x:c>
      <x:c r="K638" s="130" t="n">
        <x:v>34</x:v>
      </x:c>
      <x:c r="L638" s="124"/>
      <x:c r="M638" s="124"/>
      <x:c r="N638" s="124" t="n">
        <x:v>63.6</x:v>
      </x:c>
      <x:c r="O638" s="69" t="str"/>
    </x:row>
    <x:row r="639" ht="21" customHeight="1">
      <x:c r="A639" s="100" t="n">
        <x:v>635</x:v>
      </x:c>
      <x:c r="B639" s="172" t="n">
        <x:v>79211010157</x:v>
      </x:c>
      <x:c r="C639" s="68" t="str">
        <x:v>NGÔ MINH TRÍ</x:v>
      </x:c>
      <x:c r="D639" s="106" t="str"/>
      <x:c r="E639" s="118" t="n">
        <x:v>40806</x:v>
      </x:c>
      <x:c r="F639" s="106" t="str">
        <x:v>Kinh</x:v>
      </x:c>
      <x:c r="G639" s="68" t="str">
        <x:v>Xã Vĩnh Phước</x:v>
      </x:c>
      <x:c r="H639" s="68" t="str">
        <x:v>THCS Vĩnh Phú Tây</x:v>
      </x:c>
      <x:c r="I639" s="68" t="str">
        <x:v>Xã Vĩnh Phước</x:v>
      </x:c>
      <x:c r="J639" s="124" t="n">
        <x:v>29.6</x:v>
      </x:c>
      <x:c r="K639" s="130" t="n">
        <x:v>34</x:v>
      </x:c>
      <x:c r="L639" s="124"/>
      <x:c r="M639" s="124"/>
      <x:c r="N639" s="124" t="n">
        <x:v>63.6</x:v>
      </x:c>
      <x:c r="O639" s="69" t="str"/>
    </x:row>
    <x:row r="640" ht="21" customHeight="1">
      <x:c r="A640" s="100" t="n">
        <x:v>636</x:v>
      </x:c>
      <x:c r="B640" s="172" t="n">
        <x:v>95311004046</x:v>
      </x:c>
      <x:c r="C640" s="68" t="str">
        <x:v>NGUYỄN NGỌC THƯ</x:v>
      </x:c>
      <x:c r="D640" s="106" t="str">
        <x:v>X</x:v>
      </x:c>
      <x:c r="E640" s="118" t="n">
        <x:v>40732</x:v>
      </x:c>
      <x:c r="F640" s="106" t="str">
        <x:v>Kinh</x:v>
      </x:c>
      <x:c r="G640" s="68" t="str">
        <x:v>Xã Phước Long</x:v>
      </x:c>
      <x:c r="H640" s="68" t="str">
        <x:v>THCS Vĩnh Thanh</x:v>
      </x:c>
      <x:c r="I640" s="68" t="str">
        <x:v>Xã Vĩnh Thanh</x:v>
      </x:c>
      <x:c r="J640" s="124" t="n">
        <x:v>29.6</x:v>
      </x:c>
      <x:c r="K640" s="130" t="n">
        <x:v>34</x:v>
      </x:c>
      <x:c r="L640" s="124"/>
      <x:c r="M640" s="124"/>
      <x:c r="N640" s="124" t="n">
        <x:v>63.6</x:v>
      </x:c>
      <x:c r="O640" s="69" t="str"/>
    </x:row>
    <x:row r="641" ht="21" customHeight="1">
      <x:c r="A641" s="100" t="n">
        <x:v>637</x:v>
      </x:c>
      <x:c r="B641" s="172" t="n">
        <x:v>95211005973</x:v>
      </x:c>
      <x:c r="C641" s="68" t="str">
        <x:v>PHẠM GIA TƯỜNG</x:v>
      </x:c>
      <x:c r="D641" s="106" t="str"/>
      <x:c r="E641" s="118" t="n">
        <x:v>40643</x:v>
      </x:c>
      <x:c r="F641" s="106" t="str">
        <x:v>Kinh</x:v>
      </x:c>
      <x:c r="G641" s="68" t="str">
        <x:v>Xã Phước Long</x:v>
      </x:c>
      <x:c r="H641" s="68" t="str">
        <x:v>THCS Vương Hữu Nhơn</x:v>
      </x:c>
      <x:c r="I641" s="68" t="str">
        <x:v>Xã Phước Long</x:v>
      </x:c>
      <x:c r="J641" s="124" t="n">
        <x:v>29.6</x:v>
      </x:c>
      <x:c r="K641" s="130" t="n">
        <x:v>34</x:v>
      </x:c>
      <x:c r="L641" s="124"/>
      <x:c r="M641" s="124"/>
      <x:c r="N641" s="124" t="n">
        <x:v>63.6</x:v>
      </x:c>
      <x:c r="O641" s="69" t="str"/>
    </x:row>
    <x:row r="642" ht="21" customHeight="1">
      <x:c r="A642" s="100" t="n">
        <x:v>638</x:v>
      </x:c>
      <x:c r="B642" s="172" t="n">
        <x:v>95311005156</x:v>
      </x:c>
      <x:c r="C642" s="68" t="str">
        <x:v>NGUYỄN THỊ NHƯ MUỘI</x:v>
      </x:c>
      <x:c r="D642" s="106" t="str">
        <x:v>X</x:v>
      </x:c>
      <x:c r="E642" s="118" t="n">
        <x:v>40795</x:v>
      </x:c>
      <x:c r="F642" s="106" t="str">
        <x:v>Kinh</x:v>
      </x:c>
      <x:c r="G642" s="68" t="str">
        <x:v>Xã Vĩnh Thanh</x:v>
      </x:c>
      <x:c r="H642" s="68" t="str">
        <x:v>THCS Hưng Phú</x:v>
      </x:c>
      <x:c r="I642" s="68" t="str">
        <x:v>Xã Vĩnh Thanh</x:v>
      </x:c>
      <x:c r="J642" s="124" t="n">
        <x:v>29.6</x:v>
      </x:c>
      <x:c r="K642" s="130" t="n">
        <x:v>34</x:v>
      </x:c>
      <x:c r="L642" s="124"/>
      <x:c r="M642" s="124"/>
      <x:c r="N642" s="124" t="n">
        <x:v>63.6</x:v>
      </x:c>
      <x:c r="O642" s="69" t="str"/>
    </x:row>
    <x:row r="643" ht="21" customHeight="1">
      <x:c r="A643" s="100" t="n">
        <x:v>639</x:v>
      </x:c>
      <x:c r="B643" s="172" t="n">
        <x:v>95209000699</x:v>
      </x:c>
      <x:c r="C643" s="68" t="str">
        <x:v>TRẦN TẤN LỘC</x:v>
      </x:c>
      <x:c r="D643" s="106" t="str"/>
      <x:c r="E643" s="118" t="n">
        <x:v>39905</x:v>
      </x:c>
      <x:c r="F643" s="106" t="str">
        <x:v>Kinh</x:v>
      </x:c>
      <x:c r="G643" s="68" t="str">
        <x:v>Xã Phước Long</x:v>
      </x:c>
      <x:c r="H643" s="68" t="str">
        <x:v>THCS Phước Long</x:v>
      </x:c>
      <x:c r="I643" s="68" t="str">
        <x:v>Xã Phước Long</x:v>
      </x:c>
      <x:c r="J643" s="124" t="n">
        <x:v>29.5</x:v>
      </x:c>
      <x:c r="K643" s="130" t="n">
        <x:v>34</x:v>
      </x:c>
      <x:c r="L643" s="124"/>
      <x:c r="M643" s="124"/>
      <x:c r="N643" s="124" t="n">
        <x:v>63.5</x:v>
      </x:c>
      <x:c r="O643" s="69" t="str"/>
    </x:row>
    <x:row r="644" ht="21" customHeight="1">
      <x:c r="A644" s="100" t="n">
        <x:v>640</x:v>
      </x:c>
      <x:c r="B644" s="172" t="n">
        <x:v>95311009268</x:v>
      </x:c>
      <x:c r="C644" s="68" t="str">
        <x:v>NGUYỄN LÊ TƯỜNG VY</x:v>
      </x:c>
      <x:c r="D644" s="106" t="str">
        <x:v>X</x:v>
      </x:c>
      <x:c r="E644" s="118" t="n">
        <x:v>40851</x:v>
      </x:c>
      <x:c r="F644" s="106" t="str">
        <x:v>Kinh</x:v>
      </x:c>
      <x:c r="G644" s="68" t="str">
        <x:v>Xã Vĩnh Thanh</x:v>
      </x:c>
      <x:c r="H644" s="68" t="str">
        <x:v>THCS Hưng Phú</x:v>
      </x:c>
      <x:c r="I644" s="68" t="str">
        <x:v>Xã Vĩnh Thanh</x:v>
      </x:c>
      <x:c r="J644" s="124" t="n">
        <x:v>29.5</x:v>
      </x:c>
      <x:c r="K644" s="130" t="n">
        <x:v>34</x:v>
      </x:c>
      <x:c r="L644" s="124"/>
      <x:c r="M644" s="124"/>
      <x:c r="N644" s="124" t="n">
        <x:v>63.5</x:v>
      </x:c>
      <x:c r="O644" s="69" t="str"/>
    </x:row>
    <x:row r="645" ht="21" customHeight="1">
      <x:c r="A645" s="100" t="n">
        <x:v>641</x:v>
      </x:c>
      <x:c r="B645" s="172" t="n">
        <x:v>95311000151</x:v>
      </x:c>
      <x:c r="C645" s="68" t="str">
        <x:v>TRẦN THỊ GIA HÂN</x:v>
      </x:c>
      <x:c r="D645" s="106" t="str">
        <x:v>X</x:v>
      </x:c>
      <x:c r="E645" s="118" t="n">
        <x:v>40720</x:v>
      </x:c>
      <x:c r="F645" s="106" t="str">
        <x:v>Kinh</x:v>
      </x:c>
      <x:c r="G645" s="68" t="str">
        <x:v>Xã Phước Long</x:v>
      </x:c>
      <x:c r="H645" s="68" t="str">
        <x:v>THCS Vương Hữu Nhơn</x:v>
      </x:c>
      <x:c r="I645" s="68" t="str">
        <x:v>Xã Phước Long</x:v>
      </x:c>
      <x:c r="J645" s="124" t="n">
        <x:v>29.5</x:v>
      </x:c>
      <x:c r="K645" s="130" t="n">
        <x:v>34</x:v>
      </x:c>
      <x:c r="L645" s="124"/>
      <x:c r="M645" s="124"/>
      <x:c r="N645" s="124" t="n">
        <x:v>63.5</x:v>
      </x:c>
      <x:c r="O645" s="69" t="str"/>
    </x:row>
    <x:row r="646" ht="21" customHeight="1">
      <x:c r="A646" s="100" t="n">
        <x:v>642</x:v>
      </x:c>
      <x:c r="B646" s="172" t="n">
        <x:v>95311005729</x:v>
      </x:c>
      <x:c r="C646" s="68" t="str">
        <x:v>LÊ NGỌC TRÂN</x:v>
      </x:c>
      <x:c r="D646" s="106" t="str">
        <x:v>X</x:v>
      </x:c>
      <x:c r="E646" s="118" t="n">
        <x:v>40628</x:v>
      </x:c>
      <x:c r="F646" s="106" t="str">
        <x:v>Kinh</x:v>
      </x:c>
      <x:c r="G646" s="68" t="str">
        <x:v>Xã Phước Long</x:v>
      </x:c>
      <x:c r="H646" s="68" t="str">
        <x:v>THCS Vĩnh Thanh</x:v>
      </x:c>
      <x:c r="I646" s="68" t="str">
        <x:v>Xã Vĩnh Thanh</x:v>
      </x:c>
      <x:c r="J646" s="124" t="n">
        <x:v>29.4</x:v>
      </x:c>
      <x:c r="K646" s="130" t="n">
        <x:v>34</x:v>
      </x:c>
      <x:c r="L646" s="124"/>
      <x:c r="M646" s="124"/>
      <x:c r="N646" s="124" t="n">
        <x:v>63.4</x:v>
      </x:c>
      <x:c r="O646" s="69" t="str"/>
    </x:row>
    <x:row r="647" ht="21" customHeight="1">
      <x:c r="A647" s="100" t="n">
        <x:v>643</x:v>
      </x:c>
      <x:c r="B647" s="172" t="n">
        <x:v>95311001638</x:v>
      </x:c>
      <x:c r="C647" s="68" t="str">
        <x:v>NGUYỄN THỊ NGỌC THƯ</x:v>
      </x:c>
      <x:c r="D647" s="106" t="str">
        <x:v>X</x:v>
      </x:c>
      <x:c r="E647" s="118" t="n">
        <x:v>40587</x:v>
      </x:c>
      <x:c r="F647" s="106" t="str">
        <x:v>Kinh</x:v>
      </x:c>
      <x:c r="G647" s="68" t="str">
        <x:v>Xã Phước Long</x:v>
      </x:c>
      <x:c r="H647" s="68" t="str">
        <x:v>THCS Vương Hữu Nhơn</x:v>
      </x:c>
      <x:c r="I647" s="68" t="str">
        <x:v>Xã Phước Long</x:v>
      </x:c>
      <x:c r="J647" s="124" t="n">
        <x:v>29.4</x:v>
      </x:c>
      <x:c r="K647" s="130" t="n">
        <x:v>34</x:v>
      </x:c>
      <x:c r="L647" s="124"/>
      <x:c r="M647" s="124"/>
      <x:c r="N647" s="124" t="n">
        <x:v>63.4</x:v>
      </x:c>
      <x:c r="O647" s="69" t="str"/>
    </x:row>
    <x:row r="648" ht="21" customHeight="1">
      <x:c r="A648" s="100" t="n">
        <x:v>644</x:v>
      </x:c>
      <x:c r="B648" s="172" t="n">
        <x:v>95211004457</x:v>
      </x:c>
      <x:c r="C648" s="68" t="str">
        <x:v>ĐINH QUỐC THÁI</x:v>
      </x:c>
      <x:c r="D648" s="106" t="str"/>
      <x:c r="E648" s="118" t="n">
        <x:v>40672</x:v>
      </x:c>
      <x:c r="F648" s="106" t="str">
        <x:v>Kinh</x:v>
      </x:c>
      <x:c r="G648" s="68" t="str">
        <x:v>Xã Phước Long</x:v>
      </x:c>
      <x:c r="H648" s="68" t="str">
        <x:v>THCS Phước Long</x:v>
      </x:c>
      <x:c r="I648" s="68" t="str">
        <x:v>Xã Phước Long</x:v>
      </x:c>
      <x:c r="J648" s="124" t="n">
        <x:v>29.4</x:v>
      </x:c>
      <x:c r="K648" s="130" t="n">
        <x:v>34</x:v>
      </x:c>
      <x:c r="L648" s="124"/>
      <x:c r="M648" s="124"/>
      <x:c r="N648" s="124" t="n">
        <x:v>63.4</x:v>
      </x:c>
      <x:c r="O648" s="69" t="str"/>
    </x:row>
    <x:row r="649" ht="21" customHeight="1">
      <x:c r="A649" s="100" t="n">
        <x:v>645</x:v>
      </x:c>
      <x:c r="B649" s="172" t="n">
        <x:v>95211009608</x:v>
      </x:c>
      <x:c r="C649" s="68" t="str">
        <x:v>HUỲNH KỲ</x:v>
      </x:c>
      <x:c r="D649" s="106" t="str"/>
      <x:c r="E649" s="118" t="n">
        <x:v>40663</x:v>
      </x:c>
      <x:c r="F649" s="106" t="str">
        <x:v>Kinh</x:v>
      </x:c>
      <x:c r="G649" s="68" t="str">
        <x:v>Xã Phước Long</x:v>
      </x:c>
      <x:c r="H649" s="68" t="str">
        <x:v>THCS Phước Long</x:v>
      </x:c>
      <x:c r="I649" s="68" t="str">
        <x:v>Xã Phước Long</x:v>
      </x:c>
      <x:c r="J649" s="124" t="n">
        <x:v>29.4</x:v>
      </x:c>
      <x:c r="K649" s="130" t="n">
        <x:v>34</x:v>
      </x:c>
      <x:c r="L649" s="124"/>
      <x:c r="M649" s="124"/>
      <x:c r="N649" s="124" t="n">
        <x:v>63.4</x:v>
      </x:c>
      <x:c r="O649" s="69" t="str"/>
    </x:row>
    <x:row r="650" ht="21" customHeight="1">
      <x:c r="A650" s="100" t="n">
        <x:v>646</x:v>
      </x:c>
      <x:c r="B650" s="172" t="n">
        <x:v>95211004570</x:v>
      </x:c>
      <x:c r="C650" s="68" t="str">
        <x:v>DƯƠNG VÕ NGỌC HIẾU</x:v>
      </x:c>
      <x:c r="D650" s="106" t="str"/>
      <x:c r="E650" s="118" t="n">
        <x:v>40684</x:v>
      </x:c>
      <x:c r="F650" s="106" t="str">
        <x:v>Kinh</x:v>
      </x:c>
      <x:c r="G650" s="68" t="str">
        <x:v>Xã Vĩnh Thanh</x:v>
      </x:c>
      <x:c r="H650" s="68" t="str">
        <x:v>THCS Phước Long</x:v>
      </x:c>
      <x:c r="I650" s="68" t="str">
        <x:v>Xã Phước Long</x:v>
      </x:c>
      <x:c r="J650" s="124" t="n">
        <x:v>29.4</x:v>
      </x:c>
      <x:c r="K650" s="130" t="n">
        <x:v>34</x:v>
      </x:c>
      <x:c r="L650" s="124"/>
      <x:c r="M650" s="124"/>
      <x:c r="N650" s="124" t="n">
        <x:v>63.4</x:v>
      </x:c>
      <x:c r="O650" s="69" t="str"/>
    </x:row>
    <x:row r="651" ht="21" customHeight="1">
      <x:c r="A651" s="100" t="n">
        <x:v>647</x:v>
      </x:c>
      <x:c r="B651" s="172" t="n">
        <x:v>95311002229</x:v>
      </x:c>
      <x:c r="C651" s="68" t="str">
        <x:v>MAI THỊ TƯỜNG VY</x:v>
      </x:c>
      <x:c r="D651" s="106" t="str">
        <x:v>X</x:v>
      </x:c>
      <x:c r="E651" s="118" t="n">
        <x:v>40863</x:v>
      </x:c>
      <x:c r="F651" s="106" t="str">
        <x:v>Kinh</x:v>
      </x:c>
      <x:c r="G651" s="68" t="str">
        <x:v>Xã Phước Long</x:v>
      </x:c>
      <x:c r="H651" s="68" t="str">
        <x:v>THCS Vương Hữu Nhơn</x:v>
      </x:c>
      <x:c r="I651" s="68" t="str">
        <x:v>Xã Phước Long</x:v>
      </x:c>
      <x:c r="J651" s="124" t="n">
        <x:v>29.4</x:v>
      </x:c>
      <x:c r="K651" s="130" t="n">
        <x:v>34</x:v>
      </x:c>
      <x:c r="L651" s="124"/>
      <x:c r="M651" s="124"/>
      <x:c r="N651" s="124" t="n">
        <x:v>63.4</x:v>
      </x:c>
      <x:c r="O651" s="69" t="str"/>
    </x:row>
    <x:row r="652" ht="21" customHeight="1">
      <x:c r="A652" s="100" t="n">
        <x:v>648</x:v>
      </x:c>
      <x:c r="B652" s="172" t="n">
        <x:v>95311002019</x:v>
      </x:c>
      <x:c r="C652" s="68" t="str">
        <x:v>NGUYỄN THỊ ANH THƯ</x:v>
      </x:c>
      <x:c r="D652" s="106" t="str">
        <x:v>X</x:v>
      </x:c>
      <x:c r="E652" s="118" t="n">
        <x:v>40654</x:v>
      </x:c>
      <x:c r="F652" s="106" t="str">
        <x:v>Kinh</x:v>
      </x:c>
      <x:c r="G652" s="68" t="str">
        <x:v>Xã Phước Long</x:v>
      </x:c>
      <x:c r="H652" s="68" t="str">
        <x:v>THCS Vương Hữu Nhơn</x:v>
      </x:c>
      <x:c r="I652" s="68" t="str">
        <x:v>Xã Phước Long</x:v>
      </x:c>
      <x:c r="J652" s="124" t="n">
        <x:v>29.4</x:v>
      </x:c>
      <x:c r="K652" s="130" t="n">
        <x:v>34</x:v>
      </x:c>
      <x:c r="L652" s="124"/>
      <x:c r="M652" s="124"/>
      <x:c r="N652" s="124" t="n">
        <x:v>63.4</x:v>
      </x:c>
      <x:c r="O652" s="69" t="str"/>
    </x:row>
    <x:row r="653" ht="21" customHeight="1">
      <x:c r="A653" s="100" t="n">
        <x:v>649</x:v>
      </x:c>
      <x:c r="B653" s="172" t="n">
        <x:v>95211002757</x:v>
      </x:c>
      <x:c r="C653" s="68" t="str">
        <x:v>NGUYỄN HOÀI THƯƠNG</x:v>
      </x:c>
      <x:c r="D653" s="106" t="str"/>
      <x:c r="E653" s="118" t="n">
        <x:v>40635</x:v>
      </x:c>
      <x:c r="F653" s="106" t="str">
        <x:v>Kinh</x:v>
      </x:c>
      <x:c r="G653" s="68" t="str">
        <x:v>Xã Vĩnh Phước</x:v>
      </x:c>
      <x:c r="H653" s="68" t="str">
        <x:v>THCS Vĩnh Phú Tây</x:v>
      </x:c>
      <x:c r="I653" s="68" t="str">
        <x:v>Xã Vĩnh Phước</x:v>
      </x:c>
      <x:c r="J653" s="124" t="n">
        <x:v>29.3</x:v>
      </x:c>
      <x:c r="K653" s="130" t="n">
        <x:v>34</x:v>
      </x:c>
      <x:c r="L653" s="124"/>
      <x:c r="M653" s="124"/>
      <x:c r="N653" s="124" t="n">
        <x:v>63.3</x:v>
      </x:c>
      <x:c r="O653" s="69" t="str"/>
    </x:row>
    <x:row r="654" ht="21" customHeight="1">
      <x:c r="A654" s="100" t="n">
        <x:v>650</x:v>
      </x:c>
      <x:c r="B654" s="172" t="n">
        <x:v>95211002971</x:v>
      </x:c>
      <x:c r="C654" s="68" t="str">
        <x:v>TĂNG HIỀN LƯƠNG</x:v>
      </x:c>
      <x:c r="D654" s="106" t="str"/>
      <x:c r="E654" s="118" t="n">
        <x:v>40768</x:v>
      </x:c>
      <x:c r="F654" s="106" t="str">
        <x:v>Kinh</x:v>
      </x:c>
      <x:c r="G654" s="68" t="str">
        <x:v>Xã Vĩnh Thanh</x:v>
      </x:c>
      <x:c r="H654" s="68" t="str">
        <x:v>THCS Hưng Phú</x:v>
      </x:c>
      <x:c r="I654" s="68" t="str">
        <x:v>Xã Vĩnh Thanh</x:v>
      </x:c>
      <x:c r="J654" s="124" t="n">
        <x:v>29.3</x:v>
      </x:c>
      <x:c r="K654" s="130" t="n">
        <x:v>34</x:v>
      </x:c>
      <x:c r="L654" s="124"/>
      <x:c r="M654" s="124"/>
      <x:c r="N654" s="124" t="n">
        <x:v>63.3</x:v>
      </x:c>
      <x:c r="O654" s="69" t="str"/>
    </x:row>
    <x:row r="655" ht="21" customHeight="1">
      <x:c r="A655" s="100" t="n">
        <x:v>651</x:v>
      </x:c>
      <x:c r="B655" s="172" t="n">
        <x:v>95211010032</x:v>
      </x:c>
      <x:c r="C655" s="68" t="str">
        <x:v>VÕ GIA KHÁNH</x:v>
      </x:c>
      <x:c r="D655" s="106" t="str"/>
      <x:c r="E655" s="118" t="n">
        <x:v>40550</x:v>
      </x:c>
      <x:c r="F655" s="106" t="str">
        <x:v>Kinh</x:v>
      </x:c>
      <x:c r="G655" s="68" t="str">
        <x:v>Xã Phước Long</x:v>
      </x:c>
      <x:c r="H655" s="68" t="str">
        <x:v>THCS Vương Hữu Nhơn</x:v>
      </x:c>
      <x:c r="I655" s="68" t="str">
        <x:v>Xã Phước Long</x:v>
      </x:c>
      <x:c r="J655" s="124" t="n">
        <x:v>29.3</x:v>
      </x:c>
      <x:c r="K655" s="130" t="n">
        <x:v>34</x:v>
      </x:c>
      <x:c r="L655" s="124"/>
      <x:c r="M655" s="124"/>
      <x:c r="N655" s="124" t="n">
        <x:v>63.3</x:v>
      </x:c>
      <x:c r="O655" s="69" t="str"/>
    </x:row>
    <x:row r="656" ht="21" customHeight="1">
      <x:c r="A656" s="100" t="n">
        <x:v>652</x:v>
      </x:c>
      <x:c r="B656" s="172" t="n">
        <x:v>95211001111</x:v>
      </x:c>
      <x:c r="C656" s="68" t="str">
        <x:v>NGUYỄN HOÀNG THÁI</x:v>
      </x:c>
      <x:c r="D656" s="106" t="str"/>
      <x:c r="E656" s="118" t="n">
        <x:v>40797</x:v>
      </x:c>
      <x:c r="F656" s="106" t="str">
        <x:v>Kinh</x:v>
      </x:c>
      <x:c r="G656" s="68" t="str">
        <x:v>Xã Vĩnh Phước</x:v>
      </x:c>
      <x:c r="H656" s="68" t="str">
        <x:v>THCS Vĩnh Phú Tây</x:v>
      </x:c>
      <x:c r="I656" s="68" t="str">
        <x:v>Xã Vĩnh Phước</x:v>
      </x:c>
      <x:c r="J656" s="124" t="n">
        <x:v>29.2</x:v>
      </x:c>
      <x:c r="K656" s="130" t="n">
        <x:v>34</x:v>
      </x:c>
      <x:c r="L656" s="124"/>
      <x:c r="M656" s="124"/>
      <x:c r="N656" s="124" t="n">
        <x:v>63.2</x:v>
      </x:c>
      <x:c r="O656" s="69" t="str"/>
    </x:row>
    <x:row r="657" ht="21" customHeight="1">
      <x:c r="A657" s="100" t="n">
        <x:v>653</x:v>
      </x:c>
      <x:c r="B657" s="172" t="n">
        <x:v>95211005745</x:v>
      </x:c>
      <x:c r="C657" s="68" t="str">
        <x:v>TRẦN QUỐC KHÁNH</x:v>
      </x:c>
      <x:c r="D657" s="106" t="str"/>
      <x:c r="E657" s="118" t="n">
        <x:v>40710</x:v>
      </x:c>
      <x:c r="F657" s="106" t="str">
        <x:v>Kinh</x:v>
      </x:c>
      <x:c r="G657" s="68" t="str">
        <x:v>Xã Vĩnh Thanh</x:v>
      </x:c>
      <x:c r="H657" s="68" t="str">
        <x:v>THCS Hưng Phú</x:v>
      </x:c>
      <x:c r="I657" s="68" t="str">
        <x:v>Xã Vĩnh Thanh</x:v>
      </x:c>
      <x:c r="J657" s="124" t="n">
        <x:v>29.2</x:v>
      </x:c>
      <x:c r="K657" s="130" t="n">
        <x:v>34</x:v>
      </x:c>
      <x:c r="L657" s="124"/>
      <x:c r="M657" s="124"/>
      <x:c r="N657" s="124" t="n">
        <x:v>63.2</x:v>
      </x:c>
      <x:c r="O657" s="69" t="str"/>
    </x:row>
    <x:row r="658" ht="21" customHeight="1">
      <x:c r="A658" s="100" t="n">
        <x:v>654</x:v>
      </x:c>
      <x:c r="B658" s="172" t="n">
        <x:v>95311003772</x:v>
      </x:c>
      <x:c r="C658" s="68" t="str">
        <x:v>QUÁCH THỊ MỸ NGÂN</x:v>
      </x:c>
      <x:c r="D658" s="106" t="str">
        <x:v>X</x:v>
      </x:c>
      <x:c r="E658" s="118" t="n">
        <x:v>40835</x:v>
      </x:c>
      <x:c r="F658" s="106" t="str">
        <x:v>Kinh</x:v>
      </x:c>
      <x:c r="G658" s="68" t="str">
        <x:v>Xã Hồng Dân</x:v>
      </x:c>
      <x:c r="H658" s="68" t="str">
        <x:v>THCS Phước Long</x:v>
      </x:c>
      <x:c r="I658" s="68" t="str">
        <x:v>Xã Vĩnh Phước</x:v>
      </x:c>
      <x:c r="J658" s="124" t="n">
        <x:v>30.2</x:v>
      </x:c>
      <x:c r="K658" s="130" t="n">
        <x:v>33</x:v>
      </x:c>
      <x:c r="L658" s="124"/>
      <x:c r="M658" s="124"/>
      <x:c r="N658" s="124" t="n">
        <x:v>63.2</x:v>
      </x:c>
      <x:c r="O658" s="69" t="str"/>
    </x:row>
    <x:row r="659" ht="21" customHeight="1">
      <x:c r="A659" s="100" t="n">
        <x:v>655</x:v>
      </x:c>
      <x:c r="B659" s="172" t="n">
        <x:v>95311007677</x:v>
      </x:c>
      <x:c r="C659" s="68" t="str">
        <x:v>NGUYỄN NGỌC GIA LINH</x:v>
      </x:c>
      <x:c r="D659" s="106" t="str">
        <x:v>X</x:v>
      </x:c>
      <x:c r="E659" s="118" t="n">
        <x:v>40887</x:v>
      </x:c>
      <x:c r="F659" s="106" t="str">
        <x:v>Kinh</x:v>
      </x:c>
      <x:c r="G659" s="68" t="str">
        <x:v>Xã Vĩnh Thanh</x:v>
      </x:c>
      <x:c r="H659" s="68" t="str">
        <x:v>THCS Vương Hữu Nhơn</x:v>
      </x:c>
      <x:c r="I659" s="68" t="str">
        <x:v>Xã Phước Long</x:v>
      </x:c>
      <x:c r="J659" s="124" t="n">
        <x:v>29.2</x:v>
      </x:c>
      <x:c r="K659" s="130" t="n">
        <x:v>34</x:v>
      </x:c>
      <x:c r="L659" s="124"/>
      <x:c r="M659" s="124"/>
      <x:c r="N659" s="124" t="n">
        <x:v>63.2</x:v>
      </x:c>
      <x:c r="O659" s="69" t="str"/>
    </x:row>
    <x:row r="660" ht="21" customHeight="1">
      <x:c r="A660" s="100" t="n">
        <x:v>656</x:v>
      </x:c>
      <x:c r="B660" s="172" t="n">
        <x:v>93211004994</x:v>
      </x:c>
      <x:c r="C660" s="68" t="str">
        <x:v>TRẦN QUANG PHÚC</x:v>
      </x:c>
      <x:c r="D660" s="106" t="str"/>
      <x:c r="E660" s="118" t="n">
        <x:v>40828</x:v>
      </x:c>
      <x:c r="F660" s="106" t="str">
        <x:v>Kinh</x:v>
      </x:c>
      <x:c r="G660" s="68" t="str">
        <x:v>Xã Vĩnh Phước</x:v>
      </x:c>
      <x:c r="H660" s="68" t="str">
        <x:v>THCS Vĩnh Phú Tây</x:v>
      </x:c>
      <x:c r="I660" s="68" t="str">
        <x:v>Xã Vĩnh Phước</x:v>
      </x:c>
      <x:c r="J660" s="124" t="n">
        <x:v>29.1</x:v>
      </x:c>
      <x:c r="K660" s="130" t="n">
        <x:v>34</x:v>
      </x:c>
      <x:c r="L660" s="124"/>
      <x:c r="M660" s="124"/>
      <x:c r="N660" s="124" t="n">
        <x:v>63.1</x:v>
      </x:c>
      <x:c r="O660" s="69" t="str"/>
    </x:row>
    <x:row r="661" ht="21" customHeight="1">
      <x:c r="A661" s="100" t="n">
        <x:v>657</x:v>
      </x:c>
      <x:c r="B661" s="172" t="n">
        <x:v>95211006281</x:v>
      </x:c>
      <x:c r="C661" s="68" t="str">
        <x:v>SỬ NGUYỄN GIA BẢO</x:v>
      </x:c>
      <x:c r="D661" s="106" t="str"/>
      <x:c r="E661" s="118" t="n">
        <x:v>40641</x:v>
      </x:c>
      <x:c r="F661" s="106" t="str">
        <x:v>Khmer</x:v>
      </x:c>
      <x:c r="G661" s="68" t="str">
        <x:v>Xã Hồng Dân</x:v>
      </x:c>
      <x:c r="H661" s="68" t="str">
        <x:v>THCS Trương Vĩnh Ký</x:v>
      </x:c>
      <x:c r="I661" s="68" t="str">
        <x:v>Xã Hồng Dân</x:v>
      </x:c>
      <x:c r="J661" s="124" t="n">
        <x:v>29.1</x:v>
      </x:c>
      <x:c r="K661" s="130" t="n">
        <x:v>33</x:v>
      </x:c>
      <x:c r="L661" s="124" t="n">
        <x:v>1</x:v>
      </x:c>
      <x:c r="M661" s="124"/>
      <x:c r="N661" s="124" t="n">
        <x:v>63.1</x:v>
      </x:c>
      <x:c r="O661" s="69" t="str"/>
    </x:row>
    <x:row r="662" ht="21" customHeight="1">
      <x:c r="A662" s="100" t="n">
        <x:v>658</x:v>
      </x:c>
      <x:c r="B662" s="172" t="n">
        <x:v>95211002188</x:v>
      </x:c>
      <x:c r="C662" s="68" t="str">
        <x:v>TỐNG THANH SANG</x:v>
      </x:c>
      <x:c r="D662" s="106" t="str"/>
      <x:c r="E662" s="118" t="n">
        <x:v>40670</x:v>
      </x:c>
      <x:c r="F662" s="106" t="str">
        <x:v>Kinh</x:v>
      </x:c>
      <x:c r="G662" s="68" t="str">
        <x:v>Xã Vĩnh Thanh</x:v>
      </x:c>
      <x:c r="H662" s="68" t="str">
        <x:v>THCS Hưng Phú</x:v>
      </x:c>
      <x:c r="I662" s="68" t="str">
        <x:v>Xã Vĩnh Thanh</x:v>
      </x:c>
      <x:c r="J662" s="124" t="n">
        <x:v>29.1</x:v>
      </x:c>
      <x:c r="K662" s="130" t="n">
        <x:v>34</x:v>
      </x:c>
      <x:c r="L662" s="124"/>
      <x:c r="M662" s="124"/>
      <x:c r="N662" s="124" t="n">
        <x:v>63.1</x:v>
      </x:c>
      <x:c r="O662" s="69" t="str"/>
    </x:row>
    <x:row r="663" ht="21" customHeight="1">
      <x:c r="A663" s="100" t="n">
        <x:v>659</x:v>
      </x:c>
      <x:c r="B663" s="172" t="n">
        <x:v>95311004765</x:v>
      </x:c>
      <x:c r="C663" s="68" t="str">
        <x:v>NGÔ TRÚC QUỲNH</x:v>
      </x:c>
      <x:c r="D663" s="106" t="str">
        <x:v>X</x:v>
      </x:c>
      <x:c r="E663" s="118" t="n">
        <x:v>40690</x:v>
      </x:c>
      <x:c r="F663" s="106" t="str">
        <x:v>Kinh</x:v>
      </x:c>
      <x:c r="G663" s="68" t="str">
        <x:v>Xã Vĩnh Thanh</x:v>
      </x:c>
      <x:c r="H663" s="68" t="str">
        <x:v>THCS Vĩnh Thanh</x:v>
      </x:c>
      <x:c r="I663" s="68" t="str">
        <x:v>Xã Vĩnh Thanh</x:v>
      </x:c>
      <x:c r="J663" s="124" t="n">
        <x:v>29.1</x:v>
      </x:c>
      <x:c r="K663" s="130" t="n">
        <x:v>34</x:v>
      </x:c>
      <x:c r="L663" s="124"/>
      <x:c r="M663" s="124"/>
      <x:c r="N663" s="124" t="n">
        <x:v>63.1</x:v>
      </x:c>
      <x:c r="O663" s="69" t="str"/>
    </x:row>
    <x:row r="664" ht="21" customHeight="1">
      <x:c r="A664" s="100" t="n">
        <x:v>660</x:v>
      </x:c>
      <x:c r="B664" s="172" t="n">
        <x:v>95311008177</x:v>
      </x:c>
      <x:c r="C664" s="68" t="str">
        <x:v>NGUYỄN THỊ THÙY DUYÊN</x:v>
      </x:c>
      <x:c r="D664" s="106" t="str">
        <x:v>X</x:v>
      </x:c>
      <x:c r="E664" s="118" t="n">
        <x:v>40679</x:v>
      </x:c>
      <x:c r="F664" s="106" t="str">
        <x:v>Kinh</x:v>
      </x:c>
      <x:c r="G664" s="68" t="str">
        <x:v>Xã Hồng Dân</x:v>
      </x:c>
      <x:c r="H664" s="68" t="str">
        <x:v>THCS Trương Vĩnh Ký</x:v>
      </x:c>
      <x:c r="I664" s="68" t="str">
        <x:v>Xã Hồng Dân</x:v>
      </x:c>
      <x:c r="J664" s="124" t="n">
        <x:v>29.1</x:v>
      </x:c>
      <x:c r="K664" s="130" t="n">
        <x:v>34</x:v>
      </x:c>
      <x:c r="L664" s="124"/>
      <x:c r="M664" s="124"/>
      <x:c r="N664" s="124" t="n">
        <x:v>63.1</x:v>
      </x:c>
      <x:c r="O664" s="69" t="str"/>
    </x:row>
    <x:row r="665" ht="21" customHeight="1">
      <x:c r="A665" s="100" t="n">
        <x:v>661</x:v>
      </x:c>
      <x:c r="B665" s="172" t="n">
        <x:v>95311009680</x:v>
      </x:c>
      <x:c r="C665" s="68" t="str">
        <x:v>NGUYỄN BẢO NGỌC</x:v>
      </x:c>
      <x:c r="D665" s="106" t="str">
        <x:v>X</x:v>
      </x:c>
      <x:c r="E665" s="118" t="n">
        <x:v>40742</x:v>
      </x:c>
      <x:c r="F665" s="106" t="str">
        <x:v>Kinh</x:v>
      </x:c>
      <x:c r="G665" s="68" t="str">
        <x:v>Xã Vĩnh Phước</x:v>
      </x:c>
      <x:c r="H665" s="68" t="str">
        <x:v>THCS Vĩnh Phú Tây</x:v>
      </x:c>
      <x:c r="I665" s="68" t="str">
        <x:v>Xã Vĩnh Phước</x:v>
      </x:c>
      <x:c r="J665" s="124" t="n">
        <x:v>29</x:v>
      </x:c>
      <x:c r="K665" s="130" t="n">
        <x:v>34</x:v>
      </x:c>
      <x:c r="L665" s="124"/>
      <x:c r="M665" s="124"/>
      <x:c r="N665" s="124" t="n">
        <x:v>63</x:v>
      </x:c>
      <x:c r="O665" s="69" t="str"/>
    </x:row>
    <x:row r="666" ht="21" customHeight="1">
      <x:c r="A666" s="100" t="n">
        <x:v>662</x:v>
      </x:c>
      <x:c r="B666" s="172" t="n">
        <x:v>95311010044</x:v>
      </x:c>
      <x:c r="C666" s="68" t="str">
        <x:v>PHẠM KHÁNH NGỌC</x:v>
      </x:c>
      <x:c r="D666" s="106" t="str">
        <x:v>X</x:v>
      </x:c>
      <x:c r="E666" s="118" t="n">
        <x:v>40785</x:v>
      </x:c>
      <x:c r="F666" s="106" t="str">
        <x:v>Kinh</x:v>
      </x:c>
      <x:c r="G666" s="68" t="str">
        <x:v>Xã Vĩnh Thanh</x:v>
      </x:c>
      <x:c r="H666" s="68" t="str">
        <x:v>THCS Vĩnh Thanh</x:v>
      </x:c>
      <x:c r="I666" s="68" t="str">
        <x:v>Xã Vĩnh Thanh</x:v>
      </x:c>
      <x:c r="J666" s="124" t="n">
        <x:v>29</x:v>
      </x:c>
      <x:c r="K666" s="130" t="n">
        <x:v>34</x:v>
      </x:c>
      <x:c r="L666" s="124"/>
      <x:c r="M666" s="124"/>
      <x:c r="N666" s="124" t="n">
        <x:v>63</x:v>
      </x:c>
      <x:c r="O666" s="69" t="str"/>
    </x:row>
    <x:row r="667" ht="21" customHeight="1">
      <x:c r="A667" s="100" t="n">
        <x:v>663</x:v>
      </x:c>
      <x:c r="B667" s="172" t="n">
        <x:v>96211013201</x:v>
      </x:c>
      <x:c r="C667" s="68" t="str">
        <x:v>CAO PHÚ TRỌNG</x:v>
      </x:c>
      <x:c r="D667" s="106" t="str"/>
      <x:c r="E667" s="118" t="n">
        <x:v>40870</x:v>
      </x:c>
      <x:c r="F667" s="106" t="str">
        <x:v>Kinh</x:v>
      </x:c>
      <x:c r="G667" s="68" t="str">
        <x:v>Xã Biển Bạch</x:v>
      </x:c>
      <x:c r="H667" s="68" t="str">
        <x:v>THCS Phước Long</x:v>
      </x:c>
      <x:c r="I667" s="68" t="str">
        <x:v>Xã Vĩnh Phước</x:v>
      </x:c>
      <x:c r="J667" s="124" t="n">
        <x:v>29</x:v>
      </x:c>
      <x:c r="K667" s="130" t="n">
        <x:v>34</x:v>
      </x:c>
      <x:c r="L667" s="124"/>
      <x:c r="M667" s="124"/>
      <x:c r="N667" s="124" t="n">
        <x:v>63</x:v>
      </x:c>
      <x:c r="O667" s="69" t="str"/>
    </x:row>
    <x:row r="668" ht="21" customHeight="1">
      <x:c r="A668" s="100" t="n">
        <x:v>664</x:v>
      </x:c>
      <x:c r="B668" s="172" t="n">
        <x:v>95311002921</x:v>
      </x:c>
      <x:c r="C668" s="68" t="str">
        <x:v>BÙI NGỌC DIỄM</x:v>
      </x:c>
      <x:c r="D668" s="106" t="str">
        <x:v>X</x:v>
      </x:c>
      <x:c r="E668" s="118" t="n">
        <x:v>40851</x:v>
      </x:c>
      <x:c r="F668" s="106" t="str">
        <x:v>Kinh</x:v>
      </x:c>
      <x:c r="G668" s="68" t="str">
        <x:v>Xã Phước Long</x:v>
      </x:c>
      <x:c r="H668" s="68" t="str">
        <x:v>THCS Vương Hữu Nhơn</x:v>
      </x:c>
      <x:c r="I668" s="68" t="str">
        <x:v>Xã Phước Long</x:v>
      </x:c>
      <x:c r="J668" s="124" t="n">
        <x:v>29</x:v>
      </x:c>
      <x:c r="K668" s="130" t="n">
        <x:v>34</x:v>
      </x:c>
      <x:c r="L668" s="124"/>
      <x:c r="M668" s="124"/>
      <x:c r="N668" s="124" t="n">
        <x:v>63</x:v>
      </x:c>
      <x:c r="O668" s="69" t="str"/>
    </x:row>
    <x:row r="669" ht="21" customHeight="1">
      <x:c r="A669" s="100" t="n">
        <x:v>665</x:v>
      </x:c>
      <x:c r="B669" s="172" t="n">
        <x:v>95211006922</x:v>
      </x:c>
      <x:c r="C669" s="68" t="str">
        <x:v>NGUYỄN HOÀNG GIANG</x:v>
      </x:c>
      <x:c r="D669" s="106" t="str"/>
      <x:c r="E669" s="118" t="n">
        <x:v>40828</x:v>
      </x:c>
      <x:c r="F669" s="106" t="str">
        <x:v>Kinh</x:v>
      </x:c>
      <x:c r="G669" s="68" t="str">
        <x:v>Xã Vĩnh Phước</x:v>
      </x:c>
      <x:c r="H669" s="68" t="str">
        <x:v>THCS Vĩnh Phú Tây</x:v>
      </x:c>
      <x:c r="I669" s="68" t="str">
        <x:v>Xã Vĩnh Phước</x:v>
      </x:c>
      <x:c r="J669" s="124" t="n">
        <x:v>28.9</x:v>
      </x:c>
      <x:c r="K669" s="130" t="n">
        <x:v>34</x:v>
      </x:c>
      <x:c r="L669" s="124"/>
      <x:c r="M669" s="124"/>
      <x:c r="N669" s="124" t="n">
        <x:v>62.9</x:v>
      </x:c>
      <x:c r="O669" s="69" t="str"/>
    </x:row>
    <x:row r="670" ht="21" customHeight="1">
      <x:c r="A670" s="100" t="n">
        <x:v>666</x:v>
      </x:c>
      <x:c r="B670" s="172" t="n">
        <x:v>95211007546</x:v>
      </x:c>
      <x:c r="C670" s="68" t="str">
        <x:v>TRẦN TRƯỜNG THỊNH</x:v>
      </x:c>
      <x:c r="D670" s="106" t="str"/>
      <x:c r="E670" s="118" t="n">
        <x:v>40804</x:v>
      </x:c>
      <x:c r="F670" s="106" t="str">
        <x:v>Kinh</x:v>
      </x:c>
      <x:c r="G670" s="68" t="str">
        <x:v>Xã Vĩnh Thanh</x:v>
      </x:c>
      <x:c r="H670" s="68" t="str">
        <x:v>THCS Vĩnh Thanh</x:v>
      </x:c>
      <x:c r="I670" s="68" t="str">
        <x:v>Xã Vĩnh Thanh</x:v>
      </x:c>
      <x:c r="J670" s="124" t="n">
        <x:v>28.9</x:v>
      </x:c>
      <x:c r="K670" s="130" t="n">
        <x:v>34</x:v>
      </x:c>
      <x:c r="L670" s="124"/>
      <x:c r="M670" s="124"/>
      <x:c r="N670" s="124" t="n">
        <x:v>62.9</x:v>
      </x:c>
      <x:c r="O670" s="69" t="str"/>
    </x:row>
    <x:row r="671" ht="21" customHeight="1">
      <x:c r="A671" s="100" t="n">
        <x:v>667</x:v>
      </x:c>
      <x:c r="B671" s="172" t="n">
        <x:v>95310007792</x:v>
      </x:c>
      <x:c r="C671" s="68" t="str">
        <x:v>LƯU KHẢ ÁI</x:v>
      </x:c>
      <x:c r="D671" s="106" t="str">
        <x:v>X</x:v>
      </x:c>
      <x:c r="E671" s="118" t="n">
        <x:v>40419</x:v>
      </x:c>
      <x:c r="F671" s="106" t="str">
        <x:v>Kinh</x:v>
      </x:c>
      <x:c r="G671" s="68" t="str">
        <x:v>Xã Vĩnh Thanh</x:v>
      </x:c>
      <x:c r="H671" s="68" t="str">
        <x:v>THCS Vĩnh Thanh</x:v>
      </x:c>
      <x:c r="I671" s="68" t="str">
        <x:v>Xã Vĩnh Thanh</x:v>
      </x:c>
      <x:c r="J671" s="124" t="n">
        <x:v>28.9</x:v>
      </x:c>
      <x:c r="K671" s="130" t="n">
        <x:v>34</x:v>
      </x:c>
      <x:c r="L671" s="124"/>
      <x:c r="M671" s="124"/>
      <x:c r="N671" s="124" t="n">
        <x:v>62.9</x:v>
      </x:c>
      <x:c r="O671" s="69" t="str"/>
    </x:row>
    <x:row r="672" ht="21" customHeight="1">
      <x:c r="A672" s="100" t="n">
        <x:v>668</x:v>
      </x:c>
      <x:c r="B672" s="172" t="n">
        <x:v>95211001592</x:v>
      </x:c>
      <x:c r="C672" s="68" t="str">
        <x:v>LÊ TRÍ CƯỜNG</x:v>
      </x:c>
      <x:c r="D672" s="106" t="str"/>
      <x:c r="E672" s="118" t="n">
        <x:v>40804</x:v>
      </x:c>
      <x:c r="F672" s="106" t="str">
        <x:v>Kinh</x:v>
      </x:c>
      <x:c r="G672" s="68" t="str">
        <x:v>Xã Hồng Dân</x:v>
      </x:c>
      <x:c r="H672" s="68" t="str">
        <x:v>THCS Phước Long</x:v>
      </x:c>
      <x:c r="I672" s="68" t="str">
        <x:v>Xã Vĩnh Phước</x:v>
      </x:c>
      <x:c r="J672" s="124" t="n">
        <x:v>29.9</x:v>
      </x:c>
      <x:c r="K672" s="130" t="n">
        <x:v>33</x:v>
      </x:c>
      <x:c r="L672" s="124"/>
      <x:c r="M672" s="124"/>
      <x:c r="N672" s="124" t="n">
        <x:v>62.9</x:v>
      </x:c>
      <x:c r="O672" s="69" t="str"/>
    </x:row>
    <x:row r="673" ht="21" customHeight="1">
      <x:c r="A673" s="100" t="n">
        <x:v>669</x:v>
      </x:c>
      <x:c r="B673" s="172" t="n">
        <x:v>95211001256</x:v>
      </x:c>
      <x:c r="C673" s="68" t="str">
        <x:v>NGUYỄN HOÀNG PHI</x:v>
      </x:c>
      <x:c r="D673" s="106" t="str"/>
      <x:c r="E673" s="118" t="n">
        <x:v>40829</x:v>
      </x:c>
      <x:c r="F673" s="106" t="str">
        <x:v>Kinh</x:v>
      </x:c>
      <x:c r="G673" s="68" t="str">
        <x:v>Xã Phước Long</x:v>
      </x:c>
      <x:c r="H673" s="68" t="str">
        <x:v>THCS Phước Long</x:v>
      </x:c>
      <x:c r="I673" s="68" t="str">
        <x:v>Xã Phước Long</x:v>
      </x:c>
      <x:c r="J673" s="124" t="n">
        <x:v>28.9</x:v>
      </x:c>
      <x:c r="K673" s="130" t="n">
        <x:v>34</x:v>
      </x:c>
      <x:c r="L673" s="124"/>
      <x:c r="M673" s="124"/>
      <x:c r="N673" s="124" t="n">
        <x:v>62.9</x:v>
      </x:c>
      <x:c r="O673" s="69" t="str"/>
    </x:row>
    <x:row r="674" ht="21" customHeight="1">
      <x:c r="A674" s="100" t="n">
        <x:v>670</x:v>
      </x:c>
      <x:c r="B674" s="172" t="n">
        <x:v>95311004055</x:v>
      </x:c>
      <x:c r="C674" s="68" t="str">
        <x:v>LÊ THỊ TƯỜNG VY</x:v>
      </x:c>
      <x:c r="D674" s="106" t="str">
        <x:v>X</x:v>
      </x:c>
      <x:c r="E674" s="118" t="n">
        <x:v>40862</x:v>
      </x:c>
      <x:c r="F674" s="106" t="str">
        <x:v>Kinh</x:v>
      </x:c>
      <x:c r="G674" s="68" t="str">
        <x:v>Xã Vĩnh Phước</x:v>
      </x:c>
      <x:c r="H674" s="68" t="str">
        <x:v>THCS Vĩnh Phú Tây</x:v>
      </x:c>
      <x:c r="I674" s="68" t="str">
        <x:v>Xã Vĩnh Phước</x:v>
      </x:c>
      <x:c r="J674" s="124" t="n">
        <x:v>29.8</x:v>
      </x:c>
      <x:c r="K674" s="130" t="n">
        <x:v>33</x:v>
      </x:c>
      <x:c r="L674" s="124"/>
      <x:c r="M674" s="124"/>
      <x:c r="N674" s="124" t="n">
        <x:v>62.8</x:v>
      </x:c>
      <x:c r="O674" s="69" t="str"/>
    </x:row>
    <x:row r="675" ht="21" customHeight="1">
      <x:c r="A675" s="100" t="n">
        <x:v>671</x:v>
      </x:c>
      <x:c r="B675" s="172" t="n">
        <x:v>95311003785</x:v>
      </x:c>
      <x:c r="C675" s="68" t="str">
        <x:v>NGUYỄN TƯỜNG VI</x:v>
      </x:c>
      <x:c r="D675" s="106" t="str">
        <x:v>X</x:v>
      </x:c>
      <x:c r="E675" s="118" t="n">
        <x:v>40756</x:v>
      </x:c>
      <x:c r="F675" s="106" t="str">
        <x:v>Kinh</x:v>
      </x:c>
      <x:c r="G675" s="68" t="str">
        <x:v>Xã Phước Long</x:v>
      </x:c>
      <x:c r="H675" s="68" t="str">
        <x:v>THCS Phước Long</x:v>
      </x:c>
      <x:c r="I675" s="68" t="str">
        <x:v>Xã Phước Long</x:v>
      </x:c>
      <x:c r="J675" s="124" t="n">
        <x:v>28.7</x:v>
      </x:c>
      <x:c r="K675" s="130" t="n">
        <x:v>34</x:v>
      </x:c>
      <x:c r="L675" s="124"/>
      <x:c r="M675" s="124"/>
      <x:c r="N675" s="124" t="n">
        <x:v>62.7</x:v>
      </x:c>
      <x:c r="O675" s="69" t="str"/>
    </x:row>
    <x:row r="676" ht="21" customHeight="1">
      <x:c r="A676" s="100" t="n">
        <x:v>672</x:v>
      </x:c>
      <x:c r="B676" s="172" t="n">
        <x:v>95211010016</x:v>
      </x:c>
      <x:c r="C676" s="68" t="str">
        <x:v>TRƯƠNG CHÍ KHANG</x:v>
      </x:c>
      <x:c r="D676" s="106" t="str"/>
      <x:c r="E676" s="118" t="n">
        <x:v>40669</x:v>
      </x:c>
      <x:c r="F676" s="106" t="str">
        <x:v>Kinh</x:v>
      </x:c>
      <x:c r="G676" s="68" t="str">
        <x:v>Xã Phước Long</x:v>
      </x:c>
      <x:c r="H676" s="68" t="str">
        <x:v>THCS Vương Hữu Nhơn</x:v>
      </x:c>
      <x:c r="I676" s="68" t="str">
        <x:v>Xã Phước Long</x:v>
      </x:c>
      <x:c r="J676" s="124" t="n">
        <x:v>28.7</x:v>
      </x:c>
      <x:c r="K676" s="130" t="n">
        <x:v>34</x:v>
      </x:c>
      <x:c r="L676" s="124"/>
      <x:c r="M676" s="124"/>
      <x:c r="N676" s="124" t="n">
        <x:v>62.7</x:v>
      </x:c>
      <x:c r="O676" s="69" t="str"/>
    </x:row>
    <x:row r="677" ht="21" customHeight="1">
      <x:c r="A677" s="100" t="n">
        <x:v>673</x:v>
      </x:c>
      <x:c r="B677" s="172" t="n">
        <x:v>95311008075</x:v>
      </x:c>
      <x:c r="C677" s="68" t="str">
        <x:v>NGUYỄN THỊ CHÚC NHƯ</x:v>
      </x:c>
      <x:c r="D677" s="106" t="str">
        <x:v>X</x:v>
      </x:c>
      <x:c r="E677" s="118" t="n">
        <x:v>40665</x:v>
      </x:c>
      <x:c r="F677" s="106" t="str">
        <x:v>Kinh</x:v>
      </x:c>
      <x:c r="G677" s="68" t="str">
        <x:v>Xã Phước Long</x:v>
      </x:c>
      <x:c r="H677" s="68" t="str">
        <x:v>THCS Vương Hữu Nhơn</x:v>
      </x:c>
      <x:c r="I677" s="68" t="str">
        <x:v>Xã Phước Long</x:v>
      </x:c>
      <x:c r="J677" s="124" t="n">
        <x:v>28.7</x:v>
      </x:c>
      <x:c r="K677" s="130" t="n">
        <x:v>34</x:v>
      </x:c>
      <x:c r="L677" s="124"/>
      <x:c r="M677" s="124"/>
      <x:c r="N677" s="124" t="n">
        <x:v>62.7</x:v>
      </x:c>
      <x:c r="O677" s="69" t="str"/>
    </x:row>
    <x:row r="678" ht="21" customHeight="1">
      <x:c r="A678" s="100" t="n">
        <x:v>674</x:v>
      </x:c>
      <x:c r="B678" s="172" t="n">
        <x:v>95311002139</x:v>
      </x:c>
      <x:c r="C678" s="68" t="str">
        <x:v>VÕ NGUYỄN BÍCH HỢP</x:v>
      </x:c>
      <x:c r="D678" s="106" t="str">
        <x:v>X</x:v>
      </x:c>
      <x:c r="E678" s="118" t="n">
        <x:v>40880</x:v>
      </x:c>
      <x:c r="F678" s="106" t="str">
        <x:v>Kinh</x:v>
      </x:c>
      <x:c r="G678" s="68" t="str">
        <x:v>Xã Phước Long</x:v>
      </x:c>
      <x:c r="H678" s="68" t="str">
        <x:v>THCS Phước Long</x:v>
      </x:c>
      <x:c r="I678" s="68" t="str">
        <x:v>Xã Phước Long</x:v>
      </x:c>
      <x:c r="J678" s="124" t="n">
        <x:v>28.6</x:v>
      </x:c>
      <x:c r="K678" s="130" t="n">
        <x:v>34</x:v>
      </x:c>
      <x:c r="L678" s="124"/>
      <x:c r="M678" s="124"/>
      <x:c r="N678" s="124" t="n">
        <x:v>62.6</x:v>
      </x:c>
      <x:c r="O678" s="69" t="str"/>
    </x:row>
    <x:row r="679" ht="21" customHeight="1">
      <x:c r="A679" s="100" t="n">
        <x:v>675</x:v>
      </x:c>
      <x:c r="B679" s="172" t="n">
        <x:v>95311005377</x:v>
      </x:c>
      <x:c r="C679" s="68" t="str">
        <x:v>LÊ NGUYỄN KHẢ VY</x:v>
      </x:c>
      <x:c r="D679" s="106" t="str">
        <x:v>X</x:v>
      </x:c>
      <x:c r="E679" s="118" t="n">
        <x:v>40778</x:v>
      </x:c>
      <x:c r="F679" s="106" t="str">
        <x:v>Kinh</x:v>
      </x:c>
      <x:c r="G679" s="68" t="str">
        <x:v>Xã Vĩnh Thanh</x:v>
      </x:c>
      <x:c r="H679" s="68" t="str">
        <x:v>THCS Hưng Phú</x:v>
      </x:c>
      <x:c r="I679" s="68" t="str">
        <x:v>Xã Vĩnh Thanh</x:v>
      </x:c>
      <x:c r="J679" s="124" t="n">
        <x:v>28.5</x:v>
      </x:c>
      <x:c r="K679" s="130" t="n">
        <x:v>34</x:v>
      </x:c>
      <x:c r="L679" s="124"/>
      <x:c r="M679" s="124"/>
      <x:c r="N679" s="124" t="n">
        <x:v>62.5</x:v>
      </x:c>
      <x:c r="O679" s="69" t="str"/>
    </x:row>
    <x:row r="680" ht="21" customHeight="1">
      <x:c r="A680" s="100" t="n">
        <x:v>676</x:v>
      </x:c>
      <x:c r="B680" s="172" t="n">
        <x:v>95311001075</x:v>
      </x:c>
      <x:c r="C680" s="68" t="str">
        <x:v>NGUYỄN THỊ VÂN ANH</x:v>
      </x:c>
      <x:c r="D680" s="106" t="str">
        <x:v>X</x:v>
      </x:c>
      <x:c r="E680" s="118" t="n">
        <x:v>40548</x:v>
      </x:c>
      <x:c r="F680" s="106" t="str">
        <x:v>Kinh</x:v>
      </x:c>
      <x:c r="G680" s="68" t="str">
        <x:v>Xã Vĩnh Thanh</x:v>
      </x:c>
      <x:c r="H680" s="68" t="str">
        <x:v>THCS Hưng Phú</x:v>
      </x:c>
      <x:c r="I680" s="68" t="str">
        <x:v>Xã Vĩnh Thanh</x:v>
      </x:c>
      <x:c r="J680" s="124" t="n">
        <x:v>28.5</x:v>
      </x:c>
      <x:c r="K680" s="130" t="n">
        <x:v>34</x:v>
      </x:c>
      <x:c r="L680" s="124"/>
      <x:c r="M680" s="124"/>
      <x:c r="N680" s="124" t="n">
        <x:v>62.5</x:v>
      </x:c>
      <x:c r="O680" s="69" t="str"/>
    </x:row>
    <x:row r="681" ht="21" customHeight="1">
      <x:c r="A681" s="100" t="n">
        <x:v>677</x:v>
      </x:c>
      <x:c r="B681" s="172" t="n">
        <x:v>95211008191</x:v>
      </x:c>
      <x:c r="C681" s="68" t="str">
        <x:v>TRẦN GIA KIỆT</x:v>
      </x:c>
      <x:c r="D681" s="106" t="str"/>
      <x:c r="E681" s="118" t="n">
        <x:v>40710</x:v>
      </x:c>
      <x:c r="F681" s="106" t="str">
        <x:v>Kinh</x:v>
      </x:c>
      <x:c r="G681" s="68" t="str">
        <x:v>Xã Vĩnh Phước</x:v>
      </x:c>
      <x:c r="H681" s="68" t="str">
        <x:v>THCS Vĩnh Phú Tây</x:v>
      </x:c>
      <x:c r="I681" s="68" t="str">
        <x:v>Xã Vĩnh Phước</x:v>
      </x:c>
      <x:c r="J681" s="124" t="n">
        <x:v>27.3</x:v>
      </x:c>
      <x:c r="K681" s="130" t="n">
        <x:v>34</x:v>
      </x:c>
      <x:c r="L681" s="124" t="n">
        <x:v>1</x:v>
      </x:c>
      <x:c r="M681" s="124"/>
      <x:c r="N681" s="124" t="n">
        <x:v>62.3</x:v>
      </x:c>
      <x:c r="O681" s="69" t="str"/>
    </x:row>
    <x:row r="682" ht="21" customHeight="1">
      <x:c r="A682" s="100" t="n">
        <x:v>678</x:v>
      </x:c>
      <x:c r="B682" s="172" t="n">
        <x:v>95211003209</x:v>
      </x:c>
      <x:c r="C682" s="68" t="str">
        <x:v>TRẦN TRUNG HÀO</x:v>
      </x:c>
      <x:c r="D682" s="106" t="str"/>
      <x:c r="E682" s="118" t="n">
        <x:v>40888</x:v>
      </x:c>
      <x:c r="F682" s="106" t="str">
        <x:v>Kinh</x:v>
      </x:c>
      <x:c r="G682" s="68" t="str">
        <x:v>Xã Phước Long</x:v>
      </x:c>
      <x:c r="H682" s="68" t="str">
        <x:v>THCS Phước Long</x:v>
      </x:c>
      <x:c r="I682" s="68" t="str">
        <x:v>Xã Phước Long</x:v>
      </x:c>
      <x:c r="J682" s="124" t="n">
        <x:v>28.2</x:v>
      </x:c>
      <x:c r="K682" s="130" t="n">
        <x:v>34</x:v>
      </x:c>
      <x:c r="L682" s="124"/>
      <x:c r="M682" s="124"/>
      <x:c r="N682" s="124" t="n">
        <x:v>62.2</x:v>
      </x:c>
      <x:c r="O682" s="69" t="str"/>
    </x:row>
    <x:row r="683" ht="21" customHeight="1">
      <x:c r="A683" s="100" t="n">
        <x:v>679</x:v>
      </x:c>
      <x:c r="B683" s="172" t="n">
        <x:v>95211003701</x:v>
      </x:c>
      <x:c r="C683" s="68" t="str">
        <x:v>NGUYỄN GIA KỲ</x:v>
      </x:c>
      <x:c r="D683" s="106" t="str"/>
      <x:c r="E683" s="118" t="n">
        <x:v>40843</x:v>
      </x:c>
      <x:c r="F683" s="106" t="str">
        <x:v>Kinh</x:v>
      </x:c>
      <x:c r="G683" s="68" t="str">
        <x:v>Xã Phước Long</x:v>
      </x:c>
      <x:c r="H683" s="68" t="str">
        <x:v>THCS Phước Long</x:v>
      </x:c>
      <x:c r="I683" s="68" t="str">
        <x:v>Xã Phước Long</x:v>
      </x:c>
      <x:c r="J683" s="124" t="n">
        <x:v>28.2</x:v>
      </x:c>
      <x:c r="K683" s="130" t="n">
        <x:v>34</x:v>
      </x:c>
      <x:c r="L683" s="124"/>
      <x:c r="M683" s="124"/>
      <x:c r="N683" s="124" t="n">
        <x:v>62.2</x:v>
      </x:c>
      <x:c r="O683" s="69" t="str"/>
    </x:row>
    <x:row r="684" ht="21" customHeight="1">
      <x:c r="A684" s="100" t="n">
        <x:v>680</x:v>
      </x:c>
      <x:c r="B684" s="172" t="n">
        <x:v>95311004940</x:v>
      </x:c>
      <x:c r="C684" s="68" t="str">
        <x:v>LÊ NHÂN ÁI</x:v>
      </x:c>
      <x:c r="D684" s="106" t="str">
        <x:v>X</x:v>
      </x:c>
      <x:c r="E684" s="118" t="n">
        <x:v>40714</x:v>
      </x:c>
      <x:c r="F684" s="106" t="str">
        <x:v>Kinh</x:v>
      </x:c>
      <x:c r="G684" s="68" t="str">
        <x:v>Xã Vĩnh Phước</x:v>
      </x:c>
      <x:c r="H684" s="68" t="str">
        <x:v>THCS Vĩnh Phú Tây</x:v>
      </x:c>
      <x:c r="I684" s="68" t="str">
        <x:v>Xã Vĩnh Phước</x:v>
      </x:c>
      <x:c r="J684" s="124" t="n">
        <x:v>29.2</x:v>
      </x:c>
      <x:c r="K684" s="130" t="n">
        <x:v>33</x:v>
      </x:c>
      <x:c r="L684" s="124"/>
      <x:c r="M684" s="124"/>
      <x:c r="N684" s="124" t="n">
        <x:v>62.2</x:v>
      </x:c>
      <x:c r="O684" s="69" t="str"/>
    </x:row>
    <x:row r="685" ht="21" customHeight="1">
      <x:c r="A685" s="100" t="n">
        <x:v>681</x:v>
      </x:c>
      <x:c r="B685" s="172" t="n">
        <x:v>95211002280</x:v>
      </x:c>
      <x:c r="C685" s="68" t="str">
        <x:v>NGUYỄN GIA KHIÊM</x:v>
      </x:c>
      <x:c r="D685" s="106" t="str"/>
      <x:c r="E685" s="118" t="n">
        <x:v>40843</x:v>
      </x:c>
      <x:c r="F685" s="106" t="str">
        <x:v>Kinh</x:v>
      </x:c>
      <x:c r="G685" s="68" t="str">
        <x:v>Xã Phước Long</x:v>
      </x:c>
      <x:c r="H685" s="68" t="str">
        <x:v>THCS Phước Long</x:v>
      </x:c>
      <x:c r="I685" s="68" t="str">
        <x:v>Xã Phước Long</x:v>
      </x:c>
      <x:c r="J685" s="124" t="n">
        <x:v>28.1</x:v>
      </x:c>
      <x:c r="K685" s="130" t="n">
        <x:v>34</x:v>
      </x:c>
      <x:c r="L685" s="124"/>
      <x:c r="M685" s="124"/>
      <x:c r="N685" s="124" t="n">
        <x:v>62.1</x:v>
      </x:c>
      <x:c r="O685" s="69" t="str"/>
    </x:row>
    <x:row r="686" ht="21" customHeight="1">
      <x:c r="A686" s="100" t="n">
        <x:v>682</x:v>
      </x:c>
      <x:c r="B686" s="172" t="n">
        <x:v>95211005738</x:v>
      </x:c>
      <x:c r="C686" s="68" t="str">
        <x:v>NGUYỄN GIA TƯỜNG</x:v>
      </x:c>
      <x:c r="D686" s="106" t="str"/>
      <x:c r="E686" s="118" t="n">
        <x:v>40675</x:v>
      </x:c>
      <x:c r="F686" s="106" t="str">
        <x:v>Kinh</x:v>
      </x:c>
      <x:c r="G686" s="68" t="str">
        <x:v>Xã Hồng Dân</x:v>
      </x:c>
      <x:c r="H686" s="68" t="str">
        <x:v>THCS Trương Vĩnh Ký</x:v>
      </x:c>
      <x:c r="I686" s="68" t="str">
        <x:v>Xã Hồng Dân</x:v>
      </x:c>
      <x:c r="J686" s="124" t="n">
        <x:v>28.1</x:v>
      </x:c>
      <x:c r="K686" s="130" t="n">
        <x:v>34</x:v>
      </x:c>
      <x:c r="L686" s="124"/>
      <x:c r="M686" s="124"/>
      <x:c r="N686" s="124" t="n">
        <x:v>62.1</x:v>
      </x:c>
      <x:c r="O686" s="69" t="str"/>
    </x:row>
    <x:row r="687" ht="21" customHeight="1">
      <x:c r="A687" s="100" t="n">
        <x:v>683</x:v>
      </x:c>
      <x:c r="B687" s="172" t="n">
        <x:v>95311005807</x:v>
      </x:c>
      <x:c r="C687" s="68" t="str">
        <x:v>NGUYỄN KIỀU THƯ</x:v>
      </x:c>
      <x:c r="D687" s="106" t="str">
        <x:v>X</x:v>
      </x:c>
      <x:c r="E687" s="118" t="n">
        <x:v>40691</x:v>
      </x:c>
      <x:c r="F687" s="106" t="str">
        <x:v>Kinh</x:v>
      </x:c>
      <x:c r="G687" s="68" t="str">
        <x:v>Xã Vĩnh Thanh</x:v>
      </x:c>
      <x:c r="H687" s="68" t="str">
        <x:v>THCS Hưng Phú</x:v>
      </x:c>
      <x:c r="I687" s="68" t="str">
        <x:v>Xã Vĩnh Thanh</x:v>
      </x:c>
      <x:c r="J687" s="124" t="n">
        <x:v>28</x:v>
      </x:c>
      <x:c r="K687" s="130" t="n">
        <x:v>34</x:v>
      </x:c>
      <x:c r="L687" s="124"/>
      <x:c r="M687" s="124"/>
      <x:c r="N687" s="124" t="n">
        <x:v>62</x:v>
      </x:c>
      <x:c r="O687" s="69" t="str"/>
    </x:row>
    <x:row r="688" ht="21" customHeight="1">
      <x:c r="A688" s="100" t="n">
        <x:v>684</x:v>
      </x:c>
      <x:c r="B688" s="172" t="n">
        <x:v>95211009223</x:v>
      </x:c>
      <x:c r="C688" s="68" t="str">
        <x:v>TRANG GIA LÂM</x:v>
      </x:c>
      <x:c r="D688" s="106" t="str"/>
      <x:c r="E688" s="118" t="n">
        <x:v>40800</x:v>
      </x:c>
      <x:c r="F688" s="106" t="str">
        <x:v>Kinh</x:v>
      </x:c>
      <x:c r="G688" s="68" t="str">
        <x:v>Xã Vĩnh Thanh</x:v>
      </x:c>
      <x:c r="H688" s="68" t="str">
        <x:v>THCS Hưng Phú</x:v>
      </x:c>
      <x:c r="I688" s="68" t="str">
        <x:v>Xã Vĩnh Thanh</x:v>
      </x:c>
      <x:c r="J688" s="124" t="n">
        <x:v>28</x:v>
      </x:c>
      <x:c r="K688" s="130" t="n">
        <x:v>34</x:v>
      </x:c>
      <x:c r="L688" s="124"/>
      <x:c r="M688" s="124"/>
      <x:c r="N688" s="124" t="n">
        <x:v>62</x:v>
      </x:c>
      <x:c r="O688" s="69" t="str"/>
    </x:row>
    <x:row r="689" ht="21" customHeight="1">
      <x:c r="A689" s="100" t="n">
        <x:v>685</x:v>
      </x:c>
      <x:c r="B689" s="172" t="n">
        <x:v>95310007899</x:v>
      </x:c>
      <x:c r="C689" s="68" t="str">
        <x:v>HỒNG ÁI NHI</x:v>
      </x:c>
      <x:c r="D689" s="106" t="str">
        <x:v>X</x:v>
      </x:c>
      <x:c r="E689" s="118" t="n">
        <x:v>40187</x:v>
      </x:c>
      <x:c r="F689" s="106" t="str">
        <x:v>Kinh</x:v>
      </x:c>
      <x:c r="G689" s="68" t="str">
        <x:v>Xã Vĩnh Thanh</x:v>
      </x:c>
      <x:c r="H689" s="68" t="str">
        <x:v>THCS Vĩnh Thanh</x:v>
      </x:c>
      <x:c r="I689" s="68" t="str">
        <x:v>Xã Vĩnh Thanh</x:v>
      </x:c>
      <x:c r="J689" s="124" t="n">
        <x:v>28</x:v>
      </x:c>
      <x:c r="K689" s="130" t="n">
        <x:v>34</x:v>
      </x:c>
      <x:c r="L689" s="124"/>
      <x:c r="M689" s="124"/>
      <x:c r="N689" s="124" t="n">
        <x:v>62</x:v>
      </x:c>
      <x:c r="O689" s="69" t="str"/>
    </x:row>
    <x:row r="690" ht="21" customHeight="1">
      <x:c r="A690" s="100" t="n">
        <x:v>686</x:v>
      </x:c>
      <x:c r="B690" s="172" t="n">
        <x:v>95211007116</x:v>
      </x:c>
      <x:c r="C690" s="68" t="str">
        <x:v>NGUYỄN TẤN BO</x:v>
      </x:c>
      <x:c r="D690" s="106" t="str"/>
      <x:c r="E690" s="118" t="n">
        <x:v>40905</x:v>
      </x:c>
      <x:c r="F690" s="106" t="str">
        <x:v>Kinh</x:v>
      </x:c>
      <x:c r="G690" s="68" t="str">
        <x:v>Xã Vĩnh Thanh</x:v>
      </x:c>
      <x:c r="H690" s="68" t="str">
        <x:v>THCS Vĩnh Thanh</x:v>
      </x:c>
      <x:c r="I690" s="68" t="str">
        <x:v>Xã Vĩnh Thanh</x:v>
      </x:c>
      <x:c r="J690" s="124" t="n">
        <x:v>28</x:v>
      </x:c>
      <x:c r="K690" s="130" t="n">
        <x:v>34</x:v>
      </x:c>
      <x:c r="L690" s="124"/>
      <x:c r="M690" s="124"/>
      <x:c r="N690" s="124" t="n">
        <x:v>62</x:v>
      </x:c>
      <x:c r="O690" s="69" t="str"/>
    </x:row>
    <x:row r="691" ht="21" customHeight="1">
      <x:c r="A691" s="100" t="n">
        <x:v>687</x:v>
      </x:c>
      <x:c r="B691" s="172" t="n">
        <x:v>95211000153</x:v>
      </x:c>
      <x:c r="C691" s="68" t="str">
        <x:v>NGUYỄN HỮU HIỆU</x:v>
      </x:c>
      <x:c r="D691" s="106" t="str"/>
      <x:c r="E691" s="118" t="n">
        <x:v>40671</x:v>
      </x:c>
      <x:c r="F691" s="106" t="str">
        <x:v>Kinh</x:v>
      </x:c>
      <x:c r="G691" s="68" t="str">
        <x:v>Xã Phước Long</x:v>
      </x:c>
      <x:c r="H691" s="68" t="str">
        <x:v>THCS Vương Hữu Nhơn</x:v>
      </x:c>
      <x:c r="I691" s="68" t="str">
        <x:v>Xã Phước Long</x:v>
      </x:c>
      <x:c r="J691" s="124" t="n">
        <x:v>27.9</x:v>
      </x:c>
      <x:c r="K691" s="130" t="n">
        <x:v>34</x:v>
      </x:c>
      <x:c r="L691" s="124"/>
      <x:c r="M691" s="124"/>
      <x:c r="N691" s="124" t="n">
        <x:v>61.9</x:v>
      </x:c>
      <x:c r="O691" s="69" t="str"/>
    </x:row>
    <x:row r="692" ht="21" customHeight="1">
      <x:c r="A692" s="100" t="n">
        <x:v>688</x:v>
      </x:c>
      <x:c r="B692" s="172" t="n">
        <x:v>95311009758</x:v>
      </x:c>
      <x:c r="C692" s="68" t="str">
        <x:v>NGUYỄN HỒNG MƠ</x:v>
      </x:c>
      <x:c r="D692" s="106" t="str">
        <x:v>X</x:v>
      </x:c>
      <x:c r="E692" s="118" t="n">
        <x:v>40812</x:v>
      </x:c>
      <x:c r="F692" s="106" t="str">
        <x:v>Kinh</x:v>
      </x:c>
      <x:c r="G692" s="68" t="str">
        <x:v>Xã Phước Long</x:v>
      </x:c>
      <x:c r="H692" s="68" t="str">
        <x:v>THCS Phước Long</x:v>
      </x:c>
      <x:c r="I692" s="68" t="str">
        <x:v>Xã Phước Long</x:v>
      </x:c>
      <x:c r="J692" s="124" t="n">
        <x:v>29.9</x:v>
      </x:c>
      <x:c r="K692" s="130" t="n">
        <x:v>32</x:v>
      </x:c>
      <x:c r="L692" s="124"/>
      <x:c r="M692" s="124"/>
      <x:c r="N692" s="124" t="n">
        <x:v>61.9</x:v>
      </x:c>
      <x:c r="O692" s="69" t="str"/>
    </x:row>
    <x:row r="693" ht="21" customHeight="1">
      <x:c r="A693" s="100" t="n">
        <x:v>689</x:v>
      </x:c>
      <x:c r="B693" s="172" t="n">
        <x:v>95211009049</x:v>
      </x:c>
      <x:c r="C693" s="68" t="str">
        <x:v>MAI ĐĂNG KHÔI</x:v>
      </x:c>
      <x:c r="D693" s="106" t="str"/>
      <x:c r="E693" s="118" t="n">
        <x:v>40736</x:v>
      </x:c>
      <x:c r="F693" s="106" t="str">
        <x:v>Kinh</x:v>
      </x:c>
      <x:c r="G693" s="68" t="str">
        <x:v>Xã Phước Long</x:v>
      </x:c>
      <x:c r="H693" s="68" t="str">
        <x:v>THCS Phước Long</x:v>
      </x:c>
      <x:c r="I693" s="68" t="str">
        <x:v>Xã Phước Long</x:v>
      </x:c>
      <x:c r="J693" s="124" t="n">
        <x:v>28.9</x:v>
      </x:c>
      <x:c r="K693" s="130" t="n">
        <x:v>33</x:v>
      </x:c>
      <x:c r="L693" s="124"/>
      <x:c r="M693" s="124"/>
      <x:c r="N693" s="124" t="n">
        <x:v>61.9</x:v>
      </x:c>
      <x:c r="O693" s="69" t="str"/>
    </x:row>
    <x:row r="694" ht="21" customHeight="1">
      <x:c r="A694" s="100" t="n">
        <x:v>690</x:v>
      </x:c>
      <x:c r="B694" s="172" t="n">
        <x:v>95211001668</x:v>
      </x:c>
      <x:c r="C694" s="68" t="str">
        <x:v>PHAN NHẬT NAM</x:v>
      </x:c>
      <x:c r="D694" s="106" t="str"/>
      <x:c r="E694" s="118" t="n">
        <x:v>40578</x:v>
      </x:c>
      <x:c r="F694" s="106" t="str">
        <x:v>Kinh</x:v>
      </x:c>
      <x:c r="G694" s="68" t="str">
        <x:v>Xã Vĩnh Thanh</x:v>
      </x:c>
      <x:c r="H694" s="68" t="str">
        <x:v>THCS Vĩnh Thanh</x:v>
      </x:c>
      <x:c r="I694" s="68" t="str">
        <x:v>Xã Vĩnh Thanh</x:v>
      </x:c>
      <x:c r="J694" s="124" t="n">
        <x:v>27.9</x:v>
      </x:c>
      <x:c r="K694" s="130" t="n">
        <x:v>34</x:v>
      </x:c>
      <x:c r="L694" s="124"/>
      <x:c r="M694" s="124"/>
      <x:c r="N694" s="124" t="n">
        <x:v>61.9</x:v>
      </x:c>
      <x:c r="O694" s="69" t="str"/>
    </x:row>
    <x:row r="695" ht="21" customHeight="1">
      <x:c r="A695" s="100" t="n">
        <x:v>691</x:v>
      </x:c>
      <x:c r="B695" s="172" t="n">
        <x:v>95311009755</x:v>
      </x:c>
      <x:c r="C695" s="68" t="str">
        <x:v>NGUYỄN TƯỜNG LAM</x:v>
      </x:c>
      <x:c r="D695" s="106" t="str">
        <x:v>X</x:v>
      </x:c>
      <x:c r="E695" s="118" t="n">
        <x:v>40741</x:v>
      </x:c>
      <x:c r="F695" s="106" t="str">
        <x:v>Kinh</x:v>
      </x:c>
      <x:c r="G695" s="68" t="str">
        <x:v>Xã Vĩnh Phước</x:v>
      </x:c>
      <x:c r="H695" s="68" t="str">
        <x:v>THCS Vĩnh Phú Tây</x:v>
      </x:c>
      <x:c r="I695" s="68" t="str">
        <x:v>Xã Vĩnh Phước</x:v>
      </x:c>
      <x:c r="J695" s="124" t="n">
        <x:v>28.8</x:v>
      </x:c>
      <x:c r="K695" s="130" t="n">
        <x:v>32</x:v>
      </x:c>
      <x:c r="L695" s="124" t="n">
        <x:v>1</x:v>
      </x:c>
      <x:c r="M695" s="124"/>
      <x:c r="N695" s="124" t="n">
        <x:v>61.8</x:v>
      </x:c>
      <x:c r="O695" s="69" t="str"/>
    </x:row>
    <x:row r="696" ht="21" customHeight="1">
      <x:c r="A696" s="100" t="n">
        <x:v>692</x:v>
      </x:c>
      <x:c r="B696" s="172" t="n">
        <x:v>95211004792</x:v>
      </x:c>
      <x:c r="C696" s="68" t="str">
        <x:v>NGUYỄN THÁI KHÔI</x:v>
      </x:c>
      <x:c r="D696" s="106" t="str"/>
      <x:c r="E696" s="118" t="n">
        <x:v>40845</x:v>
      </x:c>
      <x:c r="F696" s="106" t="str">
        <x:v>Kinh</x:v>
      </x:c>
      <x:c r="G696" s="68" t="str">
        <x:v>Xã Vĩnh Thanh</x:v>
      </x:c>
      <x:c r="H696" s="68" t="str">
        <x:v>THCS Hưng Phú</x:v>
      </x:c>
      <x:c r="I696" s="68" t="str">
        <x:v>Xã Vĩnh Thanh</x:v>
      </x:c>
      <x:c r="J696" s="124" t="n">
        <x:v>28.8</x:v>
      </x:c>
      <x:c r="K696" s="130" t="n">
        <x:v>33</x:v>
      </x:c>
      <x:c r="L696" s="124"/>
      <x:c r="M696" s="124"/>
      <x:c r="N696" s="124" t="n">
        <x:v>61.8</x:v>
      </x:c>
      <x:c r="O696" s="69" t="str"/>
    </x:row>
    <x:row r="697" ht="21" customHeight="1">
      <x:c r="A697" s="100" t="n">
        <x:v>693</x:v>
      </x:c>
      <x:c r="B697" s="172" t="n">
        <x:v>95211009604</x:v>
      </x:c>
      <x:c r="C697" s="68" t="str">
        <x:v>NGUYỄN TẤN LỘC</x:v>
      </x:c>
      <x:c r="D697" s="106" t="str"/>
      <x:c r="E697" s="118" t="n">
        <x:v>40648</x:v>
      </x:c>
      <x:c r="F697" s="106" t="str">
        <x:v>Kinh</x:v>
      </x:c>
      <x:c r="G697" s="68" t="str">
        <x:v>Xã Vĩnh Phước</x:v>
      </x:c>
      <x:c r="H697" s="68" t="str">
        <x:v>THCS Phước Long</x:v>
      </x:c>
      <x:c r="I697" s="68" t="str">
        <x:v>Xã Vĩnh Phước</x:v>
      </x:c>
      <x:c r="J697" s="124" t="n">
        <x:v>28.8</x:v>
      </x:c>
      <x:c r="K697" s="130" t="n">
        <x:v>32</x:v>
      </x:c>
      <x:c r="L697" s="124" t="n">
        <x:v>1</x:v>
      </x:c>
      <x:c r="M697" s="124"/>
      <x:c r="N697" s="124" t="n">
        <x:v>61.8</x:v>
      </x:c>
      <x:c r="O697" s="69" t="str"/>
    </x:row>
    <x:row r="698" ht="21" customHeight="1">
      <x:c r="A698" s="100" t="n">
        <x:v>694</x:v>
      </x:c>
      <x:c r="B698" s="172" t="n">
        <x:v>95311007960</x:v>
      </x:c>
      <x:c r="C698" s="68" t="str">
        <x:v>NGUYỄN QUỲNH MƠ</x:v>
      </x:c>
      <x:c r="D698" s="106" t="str">
        <x:v>X</x:v>
      </x:c>
      <x:c r="E698" s="118" t="n">
        <x:v>40862</x:v>
      </x:c>
      <x:c r="F698" s="106" t="str">
        <x:v>Kinh</x:v>
      </x:c>
      <x:c r="G698" s="68" t="str">
        <x:v>Xã Vĩnh Phước</x:v>
      </x:c>
      <x:c r="H698" s="68" t="str">
        <x:v>THCS Vĩnh Phú Tây</x:v>
      </x:c>
      <x:c r="I698" s="68" t="str">
        <x:v>Xã Vĩnh Phước</x:v>
      </x:c>
      <x:c r="J698" s="124" t="n">
        <x:v>27.7</x:v>
      </x:c>
      <x:c r="K698" s="130" t="n">
        <x:v>34</x:v>
      </x:c>
      <x:c r="L698" s="124"/>
      <x:c r="M698" s="124"/>
      <x:c r="N698" s="124" t="n">
        <x:v>61.7</x:v>
      </x:c>
      <x:c r="O698" s="69" t="str"/>
    </x:row>
    <x:row r="699" ht="21" customHeight="1">
      <x:c r="A699" s="100" t="n">
        <x:v>695</x:v>
      </x:c>
      <x:c r="B699" s="172" t="n">
        <x:v>95211000633</x:v>
      </x:c>
      <x:c r="C699" s="68" t="str">
        <x:v>TRƯƠNG HẠO THIÊN</x:v>
      </x:c>
      <x:c r="D699" s="106" t="str"/>
      <x:c r="E699" s="118" t="n">
        <x:v>40750</x:v>
      </x:c>
      <x:c r="F699" s="106" t="str">
        <x:v>Kinh</x:v>
      </x:c>
      <x:c r="G699" s="68" t="str">
        <x:v>Xã Vĩnh Thanh</x:v>
      </x:c>
      <x:c r="H699" s="68" t="str">
        <x:v>THCS Hưng Phú</x:v>
      </x:c>
      <x:c r="I699" s="68" t="str">
        <x:v>Xã Vĩnh Thanh</x:v>
      </x:c>
      <x:c r="J699" s="124" t="n">
        <x:v>27.7</x:v>
      </x:c>
      <x:c r="K699" s="130" t="n">
        <x:v>34</x:v>
      </x:c>
      <x:c r="L699" s="124"/>
      <x:c r="M699" s="124"/>
      <x:c r="N699" s="124" t="n">
        <x:v>61.7</x:v>
      </x:c>
      <x:c r="O699" s="69" t="str"/>
    </x:row>
    <x:row r="700" ht="21" customHeight="1">
      <x:c r="A700" s="100" t="n">
        <x:v>696</x:v>
      </x:c>
      <x:c r="B700" s="172" t="n">
        <x:v>95311001563</x:v>
      </x:c>
      <x:c r="C700" s="68" t="str">
        <x:v>HỒ THỊ MỸ NGÂN</x:v>
      </x:c>
      <x:c r="D700" s="106" t="str">
        <x:v>X</x:v>
      </x:c>
      <x:c r="E700" s="118" t="n">
        <x:v>40623</x:v>
      </x:c>
      <x:c r="F700" s="106" t="str">
        <x:v>Kinh</x:v>
      </x:c>
      <x:c r="G700" s="68" t="str">
        <x:v>Xã Vĩnh Thanh</x:v>
      </x:c>
      <x:c r="H700" s="68" t="str">
        <x:v>THCS Hưng Phú</x:v>
      </x:c>
      <x:c r="I700" s="68" t="str">
        <x:v>Xã Vĩnh Thanh</x:v>
      </x:c>
      <x:c r="J700" s="124" t="n">
        <x:v>28.7</x:v>
      </x:c>
      <x:c r="K700" s="130" t="n">
        <x:v>33</x:v>
      </x:c>
      <x:c r="L700" s="124"/>
      <x:c r="M700" s="124"/>
      <x:c r="N700" s="124" t="n">
        <x:v>61.7</x:v>
      </x:c>
      <x:c r="O700" s="69" t="str"/>
    </x:row>
    <x:row r="701" ht="21" customHeight="1">
      <x:c r="A701" s="100" t="n">
        <x:v>697</x:v>
      </x:c>
      <x:c r="B701" s="172" t="n">
        <x:v>95211002870</x:v>
      </x:c>
      <x:c r="C701" s="68" t="str">
        <x:v>NGUYỄN HẢI ÂU</x:v>
      </x:c>
      <x:c r="D701" s="106" t="str"/>
      <x:c r="E701" s="118" t="n">
        <x:v>40778</x:v>
      </x:c>
      <x:c r="F701" s="106" t="str">
        <x:v>Kinh</x:v>
      </x:c>
      <x:c r="G701" s="68" t="str">
        <x:v>Xã Vĩnh Phước</x:v>
      </x:c>
      <x:c r="H701" s="68" t="str">
        <x:v>THCS Vĩnh Thanh</x:v>
      </x:c>
      <x:c r="I701" s="68" t="str">
        <x:v>Xã Vĩnh Thanh</x:v>
      </x:c>
      <x:c r="J701" s="124" t="n">
        <x:v>28.5</x:v>
      </x:c>
      <x:c r="K701" s="130" t="n">
        <x:v>32</x:v>
      </x:c>
      <x:c r="L701" s="124" t="n">
        <x:v>1</x:v>
      </x:c>
      <x:c r="M701" s="124"/>
      <x:c r="N701" s="124" t="n">
        <x:v>61.5</x:v>
      </x:c>
      <x:c r="O701" s="69" t="str"/>
    </x:row>
    <x:row r="702" ht="21" customHeight="1">
      <x:c r="A702" s="100" t="n">
        <x:v>698</x:v>
      </x:c>
      <x:c r="B702" s="172" t="n">
        <x:v>95311003617</x:v>
      </x:c>
      <x:c r="C702" s="68" t="str">
        <x:v>NGUYỄN THỊ NGA</x:v>
      </x:c>
      <x:c r="D702" s="106" t="str">
        <x:v>X</x:v>
      </x:c>
      <x:c r="E702" s="118" t="n">
        <x:v>40711</x:v>
      </x:c>
      <x:c r="F702" s="106" t="str">
        <x:v>Kinh</x:v>
      </x:c>
      <x:c r="G702" s="68" t="str">
        <x:v>Xã Phước Long</x:v>
      </x:c>
      <x:c r="H702" s="68" t="str">
        <x:v>THCS Vương Hữu Nhơn</x:v>
      </x:c>
      <x:c r="I702" s="68" t="str">
        <x:v>Xã Phước Long</x:v>
      </x:c>
      <x:c r="J702" s="124" t="n">
        <x:v>27.5</x:v>
      </x:c>
      <x:c r="K702" s="130" t="n">
        <x:v>34</x:v>
      </x:c>
      <x:c r="L702" s="124"/>
      <x:c r="M702" s="124"/>
      <x:c r="N702" s="124" t="n">
        <x:v>61.5</x:v>
      </x:c>
      <x:c r="O702" s="69" t="str"/>
    </x:row>
    <x:row r="703" ht="21" customHeight="1">
      <x:c r="A703" s="100" t="n">
        <x:v>699</x:v>
      </x:c>
      <x:c r="B703" s="172" t="n">
        <x:v>95311003376</x:v>
      </x:c>
      <x:c r="C703" s="68" t="str">
        <x:v>VÕ THỊ PHƯƠNG NGHI</x:v>
      </x:c>
      <x:c r="D703" s="106" t="str">
        <x:v>X</x:v>
      </x:c>
      <x:c r="E703" s="118" t="n">
        <x:v>40900</x:v>
      </x:c>
      <x:c r="F703" s="106" t="str">
        <x:v>Khmer</x:v>
      </x:c>
      <x:c r="G703" s="68" t="str">
        <x:v>Xã Phước Long</x:v>
      </x:c>
      <x:c r="H703" s="68" t="str">
        <x:v>THCS Phước Long</x:v>
      </x:c>
      <x:c r="I703" s="68" t="str">
        <x:v>Xã Phước Long</x:v>
      </x:c>
      <x:c r="J703" s="124" t="n">
        <x:v>28.4</x:v>
      </x:c>
      <x:c r="K703" s="130" t="n">
        <x:v>32</x:v>
      </x:c>
      <x:c r="L703" s="124" t="n">
        <x:v>1</x:v>
      </x:c>
      <x:c r="M703" s="124"/>
      <x:c r="N703" s="124" t="n">
        <x:v>61.4</x:v>
      </x:c>
      <x:c r="O703" s="69" t="str"/>
    </x:row>
    <x:row r="704" ht="21" customHeight="1">
      <x:c r="A704" s="100" t="n">
        <x:v>700</x:v>
      </x:c>
      <x:c r="B704" s="172" t="n">
        <x:v>95311004360</x:v>
      </x:c>
      <x:c r="C704" s="68" t="str">
        <x:v>MAI THỊ THÙY DƯƠNG</x:v>
      </x:c>
      <x:c r="D704" s="106" t="str">
        <x:v>X</x:v>
      </x:c>
      <x:c r="E704" s="118" t="n">
        <x:v>40735</x:v>
      </x:c>
      <x:c r="F704" s="106" t="str">
        <x:v>Kinh</x:v>
      </x:c>
      <x:c r="G704" s="68" t="str">
        <x:v>Xã Phước Long</x:v>
      </x:c>
      <x:c r="H704" s="68" t="str">
        <x:v>THCS Phước Long</x:v>
      </x:c>
      <x:c r="I704" s="68" t="str">
        <x:v>Xã Phước Long</x:v>
      </x:c>
      <x:c r="J704" s="124" t="n">
        <x:v>29.4</x:v>
      </x:c>
      <x:c r="K704" s="130" t="n">
        <x:v>32</x:v>
      </x:c>
      <x:c r="L704" s="124"/>
      <x:c r="M704" s="124"/>
      <x:c r="N704" s="124" t="n">
        <x:v>61.4</x:v>
      </x:c>
      <x:c r="O704" s="69" t="str"/>
    </x:row>
    <x:row r="705" ht="21" customHeight="1">
      <x:c r="A705" s="100" t="n">
        <x:v>701</x:v>
      </x:c>
      <x:c r="B705" s="172" t="n">
        <x:v>95211007951</x:v>
      </x:c>
      <x:c r="C705" s="68" t="str">
        <x:v>LÊ HOÀNG THUẬN</x:v>
      </x:c>
      <x:c r="D705" s="106" t="str"/>
      <x:c r="E705" s="118" t="n">
        <x:v>40579</x:v>
      </x:c>
      <x:c r="F705" s="106" t="str">
        <x:v>Kinh</x:v>
      </x:c>
      <x:c r="G705" s="68" t="str">
        <x:v>Xã Phước Long</x:v>
      </x:c>
      <x:c r="H705" s="68" t="str">
        <x:v>THCS Phước Long</x:v>
      </x:c>
      <x:c r="I705" s="68" t="str">
        <x:v>Xã Phước Long</x:v>
      </x:c>
      <x:c r="J705" s="124" t="n">
        <x:v>29.3</x:v>
      </x:c>
      <x:c r="K705" s="130" t="n">
        <x:v>32</x:v>
      </x:c>
      <x:c r="L705" s="124"/>
      <x:c r="M705" s="124"/>
      <x:c r="N705" s="124" t="n">
        <x:v>61.3</x:v>
      </x:c>
      <x:c r="O705" s="69" t="str"/>
    </x:row>
    <x:row r="706" ht="21" customHeight="1">
      <x:c r="A706" s="100" t="n">
        <x:v>702</x:v>
      </x:c>
      <x:c r="B706" s="172" t="n">
        <x:v>95211008926</x:v>
      </x:c>
      <x:c r="C706" s="68" t="str">
        <x:v>NGUYỄN MINH THIỆN</x:v>
      </x:c>
      <x:c r="D706" s="106" t="str"/>
      <x:c r="E706" s="118" t="n">
        <x:v>40751</x:v>
      </x:c>
      <x:c r="F706" s="106" t="str">
        <x:v>Kinh</x:v>
      </x:c>
      <x:c r="G706" s="68" t="str">
        <x:v>Xã Phước Long</x:v>
      </x:c>
      <x:c r="H706" s="68" t="str">
        <x:v>THCS Phước Long</x:v>
      </x:c>
      <x:c r="I706" s="68" t="str">
        <x:v>Xã Phước Long</x:v>
      </x:c>
      <x:c r="J706" s="124" t="n">
        <x:v>29.3</x:v>
      </x:c>
      <x:c r="K706" s="130" t="n">
        <x:v>32</x:v>
      </x:c>
      <x:c r="L706" s="124"/>
      <x:c r="M706" s="124"/>
      <x:c r="N706" s="124" t="n">
        <x:v>61.3</x:v>
      </x:c>
      <x:c r="O706" s="69" t="str"/>
    </x:row>
    <x:row r="707" ht="21" customHeight="1">
      <x:c r="A707" s="100" t="n">
        <x:v>703</x:v>
      </x:c>
      <x:c r="B707" s="172" t="n">
        <x:v>95311010237</x:v>
      </x:c>
      <x:c r="C707" s="68" t="str">
        <x:v>PHẠM NGỌC QUỲNH</x:v>
      </x:c>
      <x:c r="D707" s="106" t="str">
        <x:v>X</x:v>
      </x:c>
      <x:c r="E707" s="118" t="n">
        <x:v>40843</x:v>
      </x:c>
      <x:c r="F707" s="106" t="str">
        <x:v>Kinh</x:v>
      </x:c>
      <x:c r="G707" s="68" t="str">
        <x:v>Xã Vĩnh Thanh</x:v>
      </x:c>
      <x:c r="H707" s="68" t="str">
        <x:v>THCS Hưng Phú</x:v>
      </x:c>
      <x:c r="I707" s="68" t="str">
        <x:v>Xã Vĩnh Thanh</x:v>
      </x:c>
      <x:c r="J707" s="124" t="n">
        <x:v>29.3</x:v>
      </x:c>
      <x:c r="K707" s="130" t="n">
        <x:v>32</x:v>
      </x:c>
      <x:c r="L707" s="124"/>
      <x:c r="M707" s="124"/>
      <x:c r="N707" s="124" t="n">
        <x:v>61.3</x:v>
      </x:c>
      <x:c r="O707" s="69" t="str"/>
    </x:row>
    <x:row r="708" ht="21" customHeight="1">
      <x:c r="A708" s="100" t="n">
        <x:v>704</x:v>
      </x:c>
      <x:c r="B708" s="172" t="n">
        <x:v>95311006774</x:v>
      </x:c>
      <x:c r="C708" s="68" t="str">
        <x:v>ĐOÀN THỦY VY</x:v>
      </x:c>
      <x:c r="D708" s="106" t="str">
        <x:v>X</x:v>
      </x:c>
      <x:c r="E708" s="118" t="n">
        <x:v>40788</x:v>
      </x:c>
      <x:c r="F708" s="106" t="str">
        <x:v>Kinh</x:v>
      </x:c>
      <x:c r="G708" s="68" t="str">
        <x:v>Xã Phước Long</x:v>
      </x:c>
      <x:c r="H708" s="68" t="str">
        <x:v>THCS Trương Vĩnh Ký</x:v>
      </x:c>
      <x:c r="I708" s="68" t="str">
        <x:v>Xã Hồng Dân</x:v>
      </x:c>
      <x:c r="J708" s="124" t="n">
        <x:v>27.2</x:v>
      </x:c>
      <x:c r="K708" s="130" t="n">
        <x:v>34</x:v>
      </x:c>
      <x:c r="L708" s="124"/>
      <x:c r="M708" s="124"/>
      <x:c r="N708" s="124" t="n">
        <x:v>61.2</x:v>
      </x:c>
      <x:c r="O708" s="69" t="str"/>
    </x:row>
    <x:row r="709" ht="21" customHeight="1">
      <x:c r="A709" s="100" t="n">
        <x:v>705</x:v>
      </x:c>
      <x:c r="B709" s="172" t="n">
        <x:v>95211009971</x:v>
      </x:c>
      <x:c r="C709" s="68" t="str">
        <x:v>TRẦN TIÊN TỶ</x:v>
      </x:c>
      <x:c r="D709" s="106" t="str"/>
      <x:c r="E709" s="118" t="n">
        <x:v>40835</x:v>
      </x:c>
      <x:c r="F709" s="106" t="str">
        <x:v>Khmer</x:v>
      </x:c>
      <x:c r="G709" s="68" t="str">
        <x:v>Xã Phước Long</x:v>
      </x:c>
      <x:c r="H709" s="68" t="str">
        <x:v>THCS Vương Hữu Nhơn</x:v>
      </x:c>
      <x:c r="I709" s="68" t="str">
        <x:v>Xã Phước Long</x:v>
      </x:c>
      <x:c r="J709" s="124" t="n">
        <x:v>28.2</x:v>
      </x:c>
      <x:c r="K709" s="130" t="n">
        <x:v>32</x:v>
      </x:c>
      <x:c r="L709" s="124" t="n">
        <x:v>1</x:v>
      </x:c>
      <x:c r="M709" s="124"/>
      <x:c r="N709" s="124" t="n">
        <x:v>61.2</x:v>
      </x:c>
      <x:c r="O709" s="69" t="str"/>
    </x:row>
    <x:row r="710" ht="21" customHeight="1">
      <x:c r="A710" s="100" t="n">
        <x:v>706</x:v>
      </x:c>
      <x:c r="B710" s="172" t="n">
        <x:v>95211002141</x:v>
      </x:c>
      <x:c r="C710" s="68" t="str">
        <x:v>LÊ DUY TƯỜNG</x:v>
      </x:c>
      <x:c r="D710" s="106" t="str"/>
      <x:c r="E710" s="118" t="n">
        <x:v>40803</x:v>
      </x:c>
      <x:c r="F710" s="106" t="str">
        <x:v>Kinh</x:v>
      </x:c>
      <x:c r="G710" s="68" t="str">
        <x:v>Xã Phước Long</x:v>
      </x:c>
      <x:c r="H710" s="68" t="str">
        <x:v>THCS Phước Long</x:v>
      </x:c>
      <x:c r="I710" s="68" t="str">
        <x:v>Xã Phước Long</x:v>
      </x:c>
      <x:c r="J710" s="124" t="n">
        <x:v>29.1</x:v>
      </x:c>
      <x:c r="K710" s="130" t="n">
        <x:v>32</x:v>
      </x:c>
      <x:c r="L710" s="124"/>
      <x:c r="M710" s="124"/>
      <x:c r="N710" s="124" t="n">
        <x:v>61.1</x:v>
      </x:c>
      <x:c r="O710" s="69" t="str"/>
    </x:row>
    <x:row r="711" ht="21" customHeight="1">
      <x:c r="A711" s="100" t="n">
        <x:v>707</x:v>
      </x:c>
      <x:c r="B711" s="172" t="n">
        <x:v>95311004449</x:v>
      </x:c>
      <x:c r="C711" s="68" t="str">
        <x:v>NGUYỄN NGỌC DUYÊN</x:v>
      </x:c>
      <x:c r="D711" s="106" t="str">
        <x:v>X</x:v>
      </x:c>
      <x:c r="E711" s="118" t="n">
        <x:v>40889</x:v>
      </x:c>
      <x:c r="F711" s="106" t="str">
        <x:v>Kinh</x:v>
      </x:c>
      <x:c r="G711" s="68" t="str">
        <x:v>Xã Vĩnh Thanh</x:v>
      </x:c>
      <x:c r="H711" s="68" t="str">
        <x:v>THCS Hưng Phú</x:v>
      </x:c>
      <x:c r="I711" s="68" t="str">
        <x:v>Xã Vĩnh Thanh</x:v>
      </x:c>
      <x:c r="J711" s="124" t="n">
        <x:v>27.1</x:v>
      </x:c>
      <x:c r="K711" s="130" t="n">
        <x:v>34</x:v>
      </x:c>
      <x:c r="L711" s="124"/>
      <x:c r="M711" s="124"/>
      <x:c r="N711" s="124" t="n">
        <x:v>61.1</x:v>
      </x:c>
      <x:c r="O711" s="69" t="str"/>
    </x:row>
    <x:row r="712" ht="21" customHeight="1">
      <x:c r="A712" s="100" t="n">
        <x:v>708</x:v>
      </x:c>
      <x:c r="B712" s="172" t="n">
        <x:v>95311001900</x:v>
      </x:c>
      <x:c r="C712" s="68" t="str">
        <x:v>NGUYỄN NGỌC ĐÀI TRANG</x:v>
      </x:c>
      <x:c r="D712" s="106" t="str">
        <x:v>X</x:v>
      </x:c>
      <x:c r="E712" s="118" t="n">
        <x:v>40718</x:v>
      </x:c>
      <x:c r="F712" s="106" t="str">
        <x:v>Kinh</x:v>
      </x:c>
      <x:c r="G712" s="68" t="str">
        <x:v>Xã Vĩnh Phước</x:v>
      </x:c>
      <x:c r="H712" s="68" t="str">
        <x:v>THCS Phước Long</x:v>
      </x:c>
      <x:c r="I712" s="68" t="str">
        <x:v>Xã Phước Long</x:v>
      </x:c>
      <x:c r="J712" s="124" t="n">
        <x:v>30</x:v>
      </x:c>
      <x:c r="K712" s="130" t="n">
        <x:v>31</x:v>
      </x:c>
      <x:c r="L712" s="124"/>
      <x:c r="M712" s="124"/>
      <x:c r="N712" s="124" t="n">
        <x:v>61</x:v>
      </x:c>
      <x:c r="O712" s="69" t="str"/>
    </x:row>
    <x:row r="713" ht="21" customHeight="1">
      <x:c r="A713" s="100" t="n">
        <x:v>709</x:v>
      </x:c>
      <x:c r="B713" s="172" t="n">
        <x:v>95311006061</x:v>
      </x:c>
      <x:c r="C713" s="68" t="str">
        <x:v>LÊ THỊ VÀNG CHI</x:v>
      </x:c>
      <x:c r="D713" s="106" t="str">
        <x:v>X</x:v>
      </x:c>
      <x:c r="E713" s="118" t="n">
        <x:v>40758</x:v>
      </x:c>
      <x:c r="F713" s="106" t="str">
        <x:v>Kinh</x:v>
      </x:c>
      <x:c r="G713" s="68" t="str">
        <x:v>Xã Phước Long</x:v>
      </x:c>
      <x:c r="H713" s="68" t="str">
        <x:v>THCS Vĩnh Thanh</x:v>
      </x:c>
      <x:c r="I713" s="68" t="str">
        <x:v>Xã Vĩnh Thanh</x:v>
      </x:c>
      <x:c r="J713" s="124" t="n">
        <x:v>28.9</x:v>
      </x:c>
      <x:c r="K713" s="130" t="n">
        <x:v>32</x:v>
      </x:c>
      <x:c r="L713" s="124"/>
      <x:c r="M713" s="124"/>
      <x:c r="N713" s="124" t="n">
        <x:v>60.9</x:v>
      </x:c>
      <x:c r="O713" s="69" t="str"/>
    </x:row>
    <x:row r="714" ht="21" customHeight="1">
      <x:c r="A714" s="100" t="n">
        <x:v>710</x:v>
      </x:c>
      <x:c r="B714" s="172" t="n">
        <x:v>95311002289</x:v>
      </x:c>
      <x:c r="C714" s="68" t="str">
        <x:v>LÂM TRẦN HẠ VI</x:v>
      </x:c>
      <x:c r="D714" s="106" t="str">
        <x:v>X</x:v>
      </x:c>
      <x:c r="E714" s="118" t="n">
        <x:v>40837</x:v>
      </x:c>
      <x:c r="F714" s="106" t="str">
        <x:v>Hoa</x:v>
      </x:c>
      <x:c r="G714" s="68" t="str">
        <x:v>Xã Vĩnh Thanh</x:v>
      </x:c>
      <x:c r="H714" s="68" t="str">
        <x:v>THCS Hưng Phú</x:v>
      </x:c>
      <x:c r="I714" s="68" t="str">
        <x:v>Xã Vĩnh Thanh</x:v>
      </x:c>
      <x:c r="J714" s="124" t="n">
        <x:v>27.9</x:v>
      </x:c>
      <x:c r="K714" s="130" t="n">
        <x:v>32</x:v>
      </x:c>
      <x:c r="L714" s="124" t="n">
        <x:v>1</x:v>
      </x:c>
      <x:c r="M714" s="124"/>
      <x:c r="N714" s="124" t="n">
        <x:v>60.9</x:v>
      </x:c>
      <x:c r="O714" s="69" t="str"/>
    </x:row>
    <x:row r="715" ht="21" customHeight="1">
      <x:c r="A715" s="100" t="n">
        <x:v>711</x:v>
      </x:c>
      <x:c r="B715" s="172" t="n">
        <x:v>95311005826</x:v>
      </x:c>
      <x:c r="C715" s="68" t="str">
        <x:v>LÊ THỊ NHƯ Ý</x:v>
      </x:c>
      <x:c r="D715" s="106" t="str">
        <x:v>X</x:v>
      </x:c>
      <x:c r="E715" s="118" t="n">
        <x:v>40763</x:v>
      </x:c>
      <x:c r="F715" s="106" t="str">
        <x:v>Kinh</x:v>
      </x:c>
      <x:c r="G715" s="68" t="str">
        <x:v>Xã Vĩnh Thanh</x:v>
      </x:c>
      <x:c r="H715" s="68" t="str">
        <x:v>THCS Hưng Phú</x:v>
      </x:c>
      <x:c r="I715" s="68" t="str">
        <x:v>Xã Vĩnh Thanh</x:v>
      </x:c>
      <x:c r="J715" s="124" t="n">
        <x:v>28.7</x:v>
      </x:c>
      <x:c r="K715" s="130" t="n">
        <x:v>32</x:v>
      </x:c>
      <x:c r="L715" s="124"/>
      <x:c r="M715" s="124"/>
      <x:c r="N715" s="124" t="n">
        <x:v>60.7</x:v>
      </x:c>
      <x:c r="O715" s="69" t="str"/>
    </x:row>
    <x:row r="716" ht="21" customHeight="1">
      <x:c r="A716" s="100" t="n">
        <x:v>712</x:v>
      </x:c>
      <x:c r="B716" s="172" t="n">
        <x:v>95311005466</x:v>
      </x:c>
      <x:c r="C716" s="68" t="str">
        <x:v>TRẦN HUỲNH NHƯ</x:v>
      </x:c>
      <x:c r="D716" s="106" t="str">
        <x:v>X</x:v>
      </x:c>
      <x:c r="E716" s="118" t="n">
        <x:v>40851</x:v>
      </x:c>
      <x:c r="F716" s="106" t="str">
        <x:v>Kinh</x:v>
      </x:c>
      <x:c r="G716" s="68" t="str">
        <x:v>Xã Vĩnh Thanh</x:v>
      </x:c>
      <x:c r="H716" s="68" t="str">
        <x:v>THCS Vĩnh Thanh</x:v>
      </x:c>
      <x:c r="I716" s="68" t="str">
        <x:v>Xã Vĩnh Thanh</x:v>
      </x:c>
      <x:c r="J716" s="124" t="n">
        <x:v>28.5</x:v>
      </x:c>
      <x:c r="K716" s="130" t="n">
        <x:v>32</x:v>
      </x:c>
      <x:c r="L716" s="124"/>
      <x:c r="M716" s="124"/>
      <x:c r="N716" s="124" t="n">
        <x:v>60.5</x:v>
      </x:c>
      <x:c r="O716" s="69" t="str"/>
    </x:row>
    <x:row r="717" ht="21" customHeight="1">
      <x:c r="A717" s="100" t="n">
        <x:v>713</x:v>
      </x:c>
      <x:c r="B717" s="172" t="n">
        <x:v>95211006843</x:v>
      </x:c>
      <x:c r="C717" s="68" t="str">
        <x:v>NGUYỄN HUỲNH BẢO HUY</x:v>
      </x:c>
      <x:c r="D717" s="106" t="str"/>
      <x:c r="E717" s="118" t="n">
        <x:v>40868</x:v>
      </x:c>
      <x:c r="F717" s="106" t="str">
        <x:v>Kinh</x:v>
      </x:c>
      <x:c r="G717" s="68" t="str">
        <x:v>Xã Phước Long</x:v>
      </x:c>
      <x:c r="H717" s="68" t="str">
        <x:v>THCS Phước Long</x:v>
      </x:c>
      <x:c r="I717" s="68" t="str">
        <x:v>Xã Phước Long</x:v>
      </x:c>
      <x:c r="J717" s="124" t="n">
        <x:v>28.4</x:v>
      </x:c>
      <x:c r="K717" s="130" t="n">
        <x:v>32</x:v>
      </x:c>
      <x:c r="L717" s="124"/>
      <x:c r="M717" s="124"/>
      <x:c r="N717" s="124" t="n">
        <x:v>60.4</x:v>
      </x:c>
      <x:c r="O717" s="69" t="str"/>
    </x:row>
    <x:row r="718" ht="21" customHeight="1">
      <x:c r="A718" s="100" t="n">
        <x:v>714</x:v>
      </x:c>
      <x:c r="B718" s="172" t="n">
        <x:v>95211003157</x:v>
      </x:c>
      <x:c r="C718" s="68" t="str">
        <x:v>NGUYỄN TRUNG BIẾT</x:v>
      </x:c>
      <x:c r="D718" s="106" t="str"/>
      <x:c r="E718" s="118" t="n">
        <x:v>40837</x:v>
      </x:c>
      <x:c r="F718" s="106" t="str">
        <x:v>Kinh</x:v>
      </x:c>
      <x:c r="G718" s="68" t="str">
        <x:v>Xã Phước Long</x:v>
      </x:c>
      <x:c r="H718" s="68" t="str">
        <x:v>THCS Phước Long</x:v>
      </x:c>
      <x:c r="I718" s="68" t="str">
        <x:v>Xã Phước Long</x:v>
      </x:c>
      <x:c r="J718" s="124" t="n">
        <x:v>28.3</x:v>
      </x:c>
      <x:c r="K718" s="130" t="n">
        <x:v>32</x:v>
      </x:c>
      <x:c r="L718" s="124"/>
      <x:c r="M718" s="124"/>
      <x:c r="N718" s="124" t="n">
        <x:v>60.3</x:v>
      </x:c>
      <x:c r="O718" s="69" t="str"/>
    </x:row>
    <x:row r="719" ht="21" customHeight="1">
      <x:c r="A719" s="100" t="n">
        <x:v>715</x:v>
      </x:c>
      <x:c r="B719" s="172" t="n">
        <x:v>95211008330</x:v>
      </x:c>
      <x:c r="C719" s="68" t="str">
        <x:v>NGUYỄN TẤN PHÁT</x:v>
      </x:c>
      <x:c r="D719" s="106" t="str"/>
      <x:c r="E719" s="118" t="n">
        <x:v>40616</x:v>
      </x:c>
      <x:c r="F719" s="106" t="str">
        <x:v>Kinh</x:v>
      </x:c>
      <x:c r="G719" s="68" t="str">
        <x:v>Xã Phước Long</x:v>
      </x:c>
      <x:c r="H719" s="68" t="str">
        <x:v>THCS Phước Long</x:v>
      </x:c>
      <x:c r="I719" s="68" t="str">
        <x:v>Xã Phước Long</x:v>
      </x:c>
      <x:c r="J719" s="124" t="n">
        <x:v>28.3</x:v>
      </x:c>
      <x:c r="K719" s="130" t="n">
        <x:v>32</x:v>
      </x:c>
      <x:c r="L719" s="124"/>
      <x:c r="M719" s="124"/>
      <x:c r="N719" s="124" t="n">
        <x:v>60.3</x:v>
      </x:c>
      <x:c r="O719" s="69" t="str"/>
    </x:row>
    <x:row r="720" ht="21" customHeight="1">
      <x:c r="A720" s="100" t="n">
        <x:v>716</x:v>
      </x:c>
      <x:c r="B720" s="172" t="n">
        <x:v>95210001723</x:v>
      </x:c>
      <x:c r="C720" s="68" t="str">
        <x:v>HỒ MINH ĐẠT</x:v>
      </x:c>
      <x:c r="D720" s="106" t="str"/>
      <x:c r="E720" s="118" t="n">
        <x:v>40515</x:v>
      </x:c>
      <x:c r="F720" s="106" t="str">
        <x:v>Kinh</x:v>
      </x:c>
      <x:c r="G720" s="68" t="str">
        <x:v>Xã Vĩnh Thanh</x:v>
      </x:c>
      <x:c r="H720" s="68" t="str">
        <x:v>THCS Hưng Phú</x:v>
      </x:c>
      <x:c r="I720" s="68" t="str">
        <x:v>Xã Vĩnh Thanh</x:v>
      </x:c>
      <x:c r="J720" s="124" t="n">
        <x:v>28.3</x:v>
      </x:c>
      <x:c r="K720" s="130" t="n">
        <x:v>32</x:v>
      </x:c>
      <x:c r="L720" s="124"/>
      <x:c r="M720" s="124"/>
      <x:c r="N720" s="124" t="n">
        <x:v>60.3</x:v>
      </x:c>
      <x:c r="O720" s="69" t="str"/>
    </x:row>
    <x:row r="721" ht="21" customHeight="1">
      <x:c r="A721" s="100" t="n">
        <x:v>717</x:v>
      </x:c>
      <x:c r="B721" s="172" t="n">
        <x:v>95211007431</x:v>
      </x:c>
      <x:c r="C721" s="68" t="str">
        <x:v>TRẦN QUỐC TIẾN</x:v>
      </x:c>
      <x:c r="D721" s="106" t="str"/>
      <x:c r="E721" s="118" t="n">
        <x:v>40810</x:v>
      </x:c>
      <x:c r="F721" s="106" t="str">
        <x:v>Kinh</x:v>
      </x:c>
      <x:c r="G721" s="68" t="str">
        <x:v>Xã Phước Long</x:v>
      </x:c>
      <x:c r="H721" s="68" t="str">
        <x:v>THCS Phước Long</x:v>
      </x:c>
      <x:c r="I721" s="68" t="str">
        <x:v>Xã Phước Long</x:v>
      </x:c>
      <x:c r="J721" s="124" t="n">
        <x:v>28.2</x:v>
      </x:c>
      <x:c r="K721" s="130" t="n">
        <x:v>32</x:v>
      </x:c>
      <x:c r="L721" s="124"/>
      <x:c r="M721" s="124"/>
      <x:c r="N721" s="124" t="n">
        <x:v>60.2</x:v>
      </x:c>
      <x:c r="O721" s="69" t="str"/>
    </x:row>
    <x:row r="722" ht="21" customHeight="1">
      <x:c r="A722" s="100" t="n">
        <x:v>718</x:v>
      </x:c>
      <x:c r="B722" s="172" t="n">
        <x:v>95311009919</x:v>
      </x:c>
      <x:c r="C722" s="68" t="str">
        <x:v>QUẢNG ANH THƯ</x:v>
      </x:c>
      <x:c r="D722" s="106" t="str">
        <x:v>X</x:v>
      </x:c>
      <x:c r="E722" s="118" t="n">
        <x:v>40868</x:v>
      </x:c>
      <x:c r="F722" s="106" t="str">
        <x:v>Kinh</x:v>
      </x:c>
      <x:c r="G722" s="68" t="str">
        <x:v>Xã Phước Long</x:v>
      </x:c>
      <x:c r="H722" s="68" t="str">
        <x:v>THCS Phước Long</x:v>
      </x:c>
      <x:c r="I722" s="68" t="str">
        <x:v>Xã Phước Long</x:v>
      </x:c>
      <x:c r="J722" s="124" t="n">
        <x:v>28.2</x:v>
      </x:c>
      <x:c r="K722" s="130" t="n">
        <x:v>32</x:v>
      </x:c>
      <x:c r="L722" s="124"/>
      <x:c r="M722" s="124"/>
      <x:c r="N722" s="124" t="n">
        <x:v>60.2</x:v>
      </x:c>
      <x:c r="O722" s="69" t="str"/>
    </x:row>
    <x:row r="723" ht="21" customHeight="1">
      <x:c r="A723" s="100" t="n">
        <x:v>719</x:v>
      </x:c>
      <x:c r="B723" s="172" t="n">
        <x:v>95210002586</x:v>
      </x:c>
      <x:c r="C723" s="68" t="str">
        <x:v>NGUYỄN HOÀNG LỘC</x:v>
      </x:c>
      <x:c r="D723" s="106" t="str"/>
      <x:c r="E723" s="118" t="n">
        <x:v>40394</x:v>
      </x:c>
      <x:c r="F723" s="106" t="str">
        <x:v>Kinh</x:v>
      </x:c>
      <x:c r="G723" s="68" t="str">
        <x:v>Xã Vĩnh Thanh</x:v>
      </x:c>
      <x:c r="H723" s="68" t="str">
        <x:v>THCS Vĩnh Thanh</x:v>
      </x:c>
      <x:c r="I723" s="68" t="str">
        <x:v>Xã Vĩnh Thanh</x:v>
      </x:c>
      <x:c r="J723" s="124" t="n">
        <x:v>28.2</x:v>
      </x:c>
      <x:c r="K723" s="130" t="n">
        <x:v>32</x:v>
      </x:c>
      <x:c r="L723" s="124"/>
      <x:c r="M723" s="124"/>
      <x:c r="N723" s="124" t="n">
        <x:v>60.2</x:v>
      </x:c>
      <x:c r="O723" s="69" t="str"/>
    </x:row>
    <x:row r="724" ht="21" customHeight="1">
      <x:c r="A724" s="100" t="n">
        <x:v>720</x:v>
      </x:c>
      <x:c r="B724" s="172" t="n">
        <x:v>95311004026</x:v>
      </x:c>
      <x:c r="C724" s="68" t="str">
        <x:v>TRẦN THỊ THẢO LY</x:v>
      </x:c>
      <x:c r="D724" s="106" t="str">
        <x:v>X</x:v>
      </x:c>
      <x:c r="E724" s="118" t="n">
        <x:v>40702</x:v>
      </x:c>
      <x:c r="F724" s="106" t="str">
        <x:v>Kinh</x:v>
      </x:c>
      <x:c r="G724" s="68" t="str">
        <x:v>Xã Phước Long</x:v>
      </x:c>
      <x:c r="H724" s="68" t="str">
        <x:v>THCS Phước Long</x:v>
      </x:c>
      <x:c r="I724" s="68" t="str">
        <x:v>Xã Phước Long</x:v>
      </x:c>
      <x:c r="J724" s="124" t="n">
        <x:v>28</x:v>
      </x:c>
      <x:c r="K724" s="130" t="n">
        <x:v>32</x:v>
      </x:c>
      <x:c r="L724" s="124"/>
      <x:c r="M724" s="124"/>
      <x:c r="N724" s="124" t="n">
        <x:v>60</x:v>
      </x:c>
      <x:c r="O724" s="69" t="str"/>
    </x:row>
    <x:row r="725" ht="21" customHeight="1">
      <x:c r="A725" s="100" t="n">
        <x:v>721</x:v>
      </x:c>
      <x:c r="B725" s="172" t="n">
        <x:v>95211001796</x:v>
      </x:c>
      <x:c r="C725" s="68" t="str">
        <x:v>NGUYỄN KHÁNH DUY</x:v>
      </x:c>
      <x:c r="D725" s="106" t="str"/>
      <x:c r="E725" s="118" t="n">
        <x:v>40803</x:v>
      </x:c>
      <x:c r="F725" s="106" t="str">
        <x:v>Kinh</x:v>
      </x:c>
      <x:c r="G725" s="68" t="str">
        <x:v>Xã Phước Long</x:v>
      </x:c>
      <x:c r="H725" s="68" t="str">
        <x:v>THCS Vương Hữu Nhơn</x:v>
      </x:c>
      <x:c r="I725" s="68" t="str">
        <x:v>Xã Phước Long</x:v>
      </x:c>
      <x:c r="J725" s="124" t="n">
        <x:v>28</x:v>
      </x:c>
      <x:c r="K725" s="130" t="n">
        <x:v>32</x:v>
      </x:c>
      <x:c r="L725" s="124"/>
      <x:c r="M725" s="124"/>
      <x:c r="N725" s="124" t="n">
        <x:v>60</x:v>
      </x:c>
      <x:c r="O725" s="69" t="str"/>
    </x:row>
    <x:row r="726" ht="21" customHeight="1">
      <x:c r="A726" s="100" t="n">
        <x:v>722</x:v>
      </x:c>
      <x:c r="B726" s="172" t="n">
        <x:v>95311008091</x:v>
      </x:c>
      <x:c r="C726" s="68" t="str">
        <x:v>NGUYỄN THANH THƯ</x:v>
      </x:c>
      <x:c r="D726" s="106" t="str">
        <x:v>X</x:v>
      </x:c>
      <x:c r="E726" s="118" t="n">
        <x:v>40710</x:v>
      </x:c>
      <x:c r="F726" s="106" t="str">
        <x:v>Kinh</x:v>
      </x:c>
      <x:c r="G726" s="68" t="str">
        <x:v>Xã Phước Long</x:v>
      </x:c>
      <x:c r="H726" s="68" t="str">
        <x:v>THCS Vĩnh Thanh</x:v>
      </x:c>
      <x:c r="I726" s="68" t="str">
        <x:v>Xã Vĩnh Thanh</x:v>
      </x:c>
      <x:c r="J726" s="124" t="n">
        <x:v>27.9</x:v>
      </x:c>
      <x:c r="K726" s="130" t="n">
        <x:v>32</x:v>
      </x:c>
      <x:c r="L726" s="124"/>
      <x:c r="M726" s="124"/>
      <x:c r="N726" s="124" t="n">
        <x:v>59.9</x:v>
      </x:c>
      <x:c r="O726" s="69" t="str"/>
    </x:row>
    <x:row r="727" ht="21" customHeight="1">
      <x:c r="A727" s="100" t="n">
        <x:v>723</x:v>
      </x:c>
      <x:c r="B727" s="172" t="n">
        <x:v>95211008027</x:v>
      </x:c>
      <x:c r="C727" s="68" t="str">
        <x:v>PHƯƠNG TÙNG VỸ</x:v>
      </x:c>
      <x:c r="D727" s="106" t="str"/>
      <x:c r="E727" s="118" t="n">
        <x:v>40598</x:v>
      </x:c>
      <x:c r="F727" s="106" t="str">
        <x:v>Hoa</x:v>
      </x:c>
      <x:c r="G727" s="68" t="str">
        <x:v>Xã Vĩnh Phước</x:v>
      </x:c>
      <x:c r="H727" s="68" t="str">
        <x:v>THCS Phước Long</x:v>
      </x:c>
      <x:c r="I727" s="68" t="str">
        <x:v>Xã Phước Long</x:v>
      </x:c>
      <x:c r="J727" s="124" t="n">
        <x:v>26.9</x:v>
      </x:c>
      <x:c r="K727" s="130" t="n">
        <x:v>32</x:v>
      </x:c>
      <x:c r="L727" s="124" t="n">
        <x:v>1</x:v>
      </x:c>
      <x:c r="M727" s="124"/>
      <x:c r="N727" s="124" t="n">
        <x:v>59.9</x:v>
      </x:c>
      <x:c r="O727" s="69" t="str"/>
    </x:row>
    <x:row r="728" ht="21" customHeight="1">
      <x:c r="A728" s="100" t="n">
        <x:v>724</x:v>
      </x:c>
      <x:c r="B728" s="172" t="n">
        <x:v>95211008917</x:v>
      </x:c>
      <x:c r="C728" s="68" t="str">
        <x:v>PHẠM ĐĂNG KHÔI</x:v>
      </x:c>
      <x:c r="D728" s="106" t="str"/>
      <x:c r="E728" s="118" t="n">
        <x:v>40866</x:v>
      </x:c>
      <x:c r="F728" s="106" t="str">
        <x:v>Kinh</x:v>
      </x:c>
      <x:c r="G728" s="68" t="str">
        <x:v>Xã Vĩnh Thanh</x:v>
      </x:c>
      <x:c r="H728" s="68" t="str">
        <x:v>THCS Hưng Phú</x:v>
      </x:c>
      <x:c r="I728" s="68" t="str">
        <x:v>Xã Vĩnh Thanh</x:v>
      </x:c>
      <x:c r="J728" s="124" t="n">
        <x:v>27.9</x:v>
      </x:c>
      <x:c r="K728" s="130" t="n">
        <x:v>32</x:v>
      </x:c>
      <x:c r="L728" s="124"/>
      <x:c r="M728" s="124"/>
      <x:c r="N728" s="124" t="n">
        <x:v>59.9</x:v>
      </x:c>
      <x:c r="O728" s="69" t="str"/>
    </x:row>
    <x:row r="729" ht="21" customHeight="1">
      <x:c r="A729" s="100" t="n">
        <x:v>725</x:v>
      </x:c>
      <x:c r="B729" s="172" t="n">
        <x:v>95210004214</x:v>
      </x:c>
      <x:c r="C729" s="68" t="str">
        <x:v>NGUYỄN TRỌNG PHÚC</x:v>
      </x:c>
      <x:c r="D729" s="106" t="str"/>
      <x:c r="E729" s="118" t="n">
        <x:v>40192</x:v>
      </x:c>
      <x:c r="F729" s="106" t="str">
        <x:v>Kinh</x:v>
      </x:c>
      <x:c r="G729" s="68" t="str">
        <x:v>Xã Phước Long</x:v>
      </x:c>
      <x:c r="H729" s="68" t="str">
        <x:v>THCS Phước Long</x:v>
      </x:c>
      <x:c r="I729" s="68" t="str">
        <x:v>Xã Phước Long</x:v>
      </x:c>
      <x:c r="J729" s="124" t="n">
        <x:v>28.8</x:v>
      </x:c>
      <x:c r="K729" s="130" t="n">
        <x:v>31</x:v>
      </x:c>
      <x:c r="L729" s="124"/>
      <x:c r="M729" s="124"/>
      <x:c r="N729" s="124" t="n">
        <x:v>59.8</x:v>
      </x:c>
      <x:c r="O729" s="69" t="str"/>
    </x:row>
    <x:row r="730" ht="21" customHeight="1">
      <x:c r="A730" s="100" t="n">
        <x:v>726</x:v>
      </x:c>
      <x:c r="B730" s="172" t="n">
        <x:v>95211008418</x:v>
      </x:c>
      <x:c r="C730" s="68" t="str">
        <x:v>ĐỖ CHÍ HIỀN</x:v>
      </x:c>
      <x:c r="D730" s="106" t="str"/>
      <x:c r="E730" s="118" t="n">
        <x:v>40847</x:v>
      </x:c>
      <x:c r="F730" s="106" t="str">
        <x:v>Kinh</x:v>
      </x:c>
      <x:c r="G730" s="68" t="str">
        <x:v>Xã Vĩnh Phước</x:v>
      </x:c>
      <x:c r="H730" s="68" t="str">
        <x:v>THCS Vĩnh Phú Tây</x:v>
      </x:c>
      <x:c r="I730" s="68" t="str">
        <x:v>Xã Vĩnh Phước</x:v>
      </x:c>
      <x:c r="J730" s="124" t="n">
        <x:v>28.8</x:v>
      </x:c>
      <x:c r="K730" s="130" t="n">
        <x:v>30</x:v>
      </x:c>
      <x:c r="L730" s="124" t="n">
        <x:v>1</x:v>
      </x:c>
      <x:c r="M730" s="124"/>
      <x:c r="N730" s="124" t="n">
        <x:v>59.8</x:v>
      </x:c>
      <x:c r="O730" s="69" t="str"/>
    </x:row>
    <x:row r="731" ht="21" customHeight="1">
      <x:c r="A731" s="100" t="n">
        <x:v>727</x:v>
      </x:c>
      <x:c r="B731" s="172" t="n">
        <x:v>95211000938</x:v>
      </x:c>
      <x:c r="C731" s="68" t="str">
        <x:v>LÊ HOÀNG NGHĨA</x:v>
      </x:c>
      <x:c r="D731" s="106" t="str"/>
      <x:c r="E731" s="118" t="n">
        <x:v>40799</x:v>
      </x:c>
      <x:c r="F731" s="106" t="str">
        <x:v>Kinh</x:v>
      </x:c>
      <x:c r="G731" s="68" t="str">
        <x:v>Xã Phước Long</x:v>
      </x:c>
      <x:c r="H731" s="68" t="str">
        <x:v>THCS Vĩnh Thanh</x:v>
      </x:c>
      <x:c r="I731" s="68" t="str">
        <x:v>Xã Vĩnh Thanh</x:v>
      </x:c>
      <x:c r="J731" s="124" t="n">
        <x:v>27.8</x:v>
      </x:c>
      <x:c r="K731" s="130" t="n">
        <x:v>32</x:v>
      </x:c>
      <x:c r="L731" s="124"/>
      <x:c r="M731" s="124"/>
      <x:c r="N731" s="124" t="n">
        <x:v>59.8</x:v>
      </x:c>
      <x:c r="O731" s="69" t="str"/>
    </x:row>
    <x:row r="732" ht="21" customHeight="1">
      <x:c r="A732" s="100" t="n">
        <x:v>728</x:v>
      </x:c>
      <x:c r="B732" s="172" t="n">
        <x:v>95311008390</x:v>
      </x:c>
      <x:c r="C732" s="68" t="str">
        <x:v>TRƯƠNG GIA HÂN</x:v>
      </x:c>
      <x:c r="D732" s="106" t="str">
        <x:v>X</x:v>
      </x:c>
      <x:c r="E732" s="118" t="n">
        <x:v>40561</x:v>
      </x:c>
      <x:c r="F732" s="106" t="str">
        <x:v>Kinh</x:v>
      </x:c>
      <x:c r="G732" s="68" t="str">
        <x:v>Xã Phước Long</x:v>
      </x:c>
      <x:c r="H732" s="68" t="str">
        <x:v>THCS Phước Long</x:v>
      </x:c>
      <x:c r="I732" s="68" t="str">
        <x:v>Xã Phước Long</x:v>
      </x:c>
      <x:c r="J732" s="124" t="n">
        <x:v>29.7</x:v>
      </x:c>
      <x:c r="K732" s="130" t="n">
        <x:v>30</x:v>
      </x:c>
      <x:c r="L732" s="124"/>
      <x:c r="M732" s="124"/>
      <x:c r="N732" s="124" t="n">
        <x:v>59.7</x:v>
      </x:c>
      <x:c r="O732" s="69" t="str"/>
    </x:row>
    <x:row r="733" ht="21" customHeight="1">
      <x:c r="A733" s="100" t="n">
        <x:v>729</x:v>
      </x:c>
      <x:c r="B733" s="172" t="n">
        <x:v>95211006732</x:v>
      </x:c>
      <x:c r="C733" s="68" t="str">
        <x:v>NGUYỄN QUỐC DINH</x:v>
      </x:c>
      <x:c r="D733" s="106" t="str"/>
      <x:c r="E733" s="118" t="n">
        <x:v>40737</x:v>
      </x:c>
      <x:c r="F733" s="106" t="str">
        <x:v>Kinh</x:v>
      </x:c>
      <x:c r="G733" s="68" t="str">
        <x:v>Xã Vĩnh Thanh</x:v>
      </x:c>
      <x:c r="H733" s="68" t="str">
        <x:v>THCS Hưng Phú</x:v>
      </x:c>
      <x:c r="I733" s="68" t="str">
        <x:v>Xã Vĩnh Thanh</x:v>
      </x:c>
      <x:c r="J733" s="124" t="n">
        <x:v>27.6</x:v>
      </x:c>
      <x:c r="K733" s="130" t="n">
        <x:v>32</x:v>
      </x:c>
      <x:c r="L733" s="124"/>
      <x:c r="M733" s="124"/>
      <x:c r="N733" s="124" t="n">
        <x:v>59.6</x:v>
      </x:c>
      <x:c r="O733" s="69" t="str"/>
    </x:row>
    <x:row r="734" ht="21" customHeight="1">
      <x:c r="A734" s="100" t="n">
        <x:v>730</x:v>
      </x:c>
      <x:c r="B734" s="172" t="n">
        <x:v>95211008647</x:v>
      </x:c>
      <x:c r="C734" s="68" t="str">
        <x:v>TRẦN VĂN MINH DUY</x:v>
      </x:c>
      <x:c r="D734" s="106" t="str"/>
      <x:c r="E734" s="118" t="n">
        <x:v>40590</x:v>
      </x:c>
      <x:c r="F734" s="106" t="str">
        <x:v>Kinh</x:v>
      </x:c>
      <x:c r="G734" s="68" t="str">
        <x:v>Xã Phước Long</x:v>
      </x:c>
      <x:c r="H734" s="68" t="str">
        <x:v>THCS Vĩnh Thanh</x:v>
      </x:c>
      <x:c r="I734" s="68" t="str">
        <x:v>Xã Vĩnh Thanh</x:v>
      </x:c>
      <x:c r="J734" s="124" t="n">
        <x:v>27.6</x:v>
      </x:c>
      <x:c r="K734" s="130" t="n">
        <x:v>32</x:v>
      </x:c>
      <x:c r="L734" s="124"/>
      <x:c r="M734" s="124"/>
      <x:c r="N734" s="124" t="n">
        <x:v>59.6</x:v>
      </x:c>
      <x:c r="O734" s="69" t="str"/>
    </x:row>
    <x:row r="735" ht="21" customHeight="1">
      <x:c r="A735" s="100" t="n">
        <x:v>731</x:v>
      </x:c>
      <x:c r="B735" s="172" t="n">
        <x:v>95211003874</x:v>
      </x:c>
      <x:c r="C735" s="68" t="str">
        <x:v>LÊ QUANG HÀ</x:v>
      </x:c>
      <x:c r="D735" s="106" t="str"/>
      <x:c r="E735" s="118" t="n">
        <x:v>40907</x:v>
      </x:c>
      <x:c r="F735" s="106" t="str">
        <x:v>Kinh</x:v>
      </x:c>
      <x:c r="G735" s="68" t="str">
        <x:v>Xã Vĩnh Phước</x:v>
      </x:c>
      <x:c r="H735" s="68" t="str">
        <x:v>THCS Vĩnh Phú Tây</x:v>
      </x:c>
      <x:c r="I735" s="68" t="str">
        <x:v>Xã Vĩnh Phước</x:v>
      </x:c>
      <x:c r="J735" s="124" t="n">
        <x:v>27.6</x:v>
      </x:c>
      <x:c r="K735" s="130" t="n">
        <x:v>32</x:v>
      </x:c>
      <x:c r="L735" s="124"/>
      <x:c r="M735" s="124"/>
      <x:c r="N735" s="124" t="n">
        <x:v>59.6</x:v>
      </x:c>
      <x:c r="O735" s="69" t="str"/>
    </x:row>
    <x:row r="736" ht="21" customHeight="1">
      <x:c r="A736" s="100" t="n">
        <x:v>732</x:v>
      </x:c>
      <x:c r="B736" s="172" t="n">
        <x:v>95311004368</x:v>
      </x:c>
      <x:c r="C736" s="68" t="str">
        <x:v>NGUYỄN THỊ YẾN NHI</x:v>
      </x:c>
      <x:c r="D736" s="106" t="str">
        <x:v>X</x:v>
      </x:c>
      <x:c r="E736" s="118" t="n">
        <x:v>40791</x:v>
      </x:c>
      <x:c r="F736" s="106" t="str">
        <x:v>Kinh</x:v>
      </x:c>
      <x:c r="G736" s="68" t="str">
        <x:v>Xã Phước Long</x:v>
      </x:c>
      <x:c r="H736" s="68" t="str">
        <x:v>THCS Phước Long</x:v>
      </x:c>
      <x:c r="I736" s="68" t="str">
        <x:v>Xã Phước Long</x:v>
      </x:c>
      <x:c r="J736" s="124" t="n">
        <x:v>27.5</x:v>
      </x:c>
      <x:c r="K736" s="130" t="n">
        <x:v>32</x:v>
      </x:c>
      <x:c r="L736" s="124"/>
      <x:c r="M736" s="124"/>
      <x:c r="N736" s="124" t="n">
        <x:v>59.5</x:v>
      </x:c>
      <x:c r="O736" s="69" t="str"/>
    </x:row>
    <x:row r="737" ht="21" customHeight="1">
      <x:c r="A737" s="100" t="n">
        <x:v>733</x:v>
      </x:c>
      <x:c r="B737" s="172" t="n">
        <x:v>95311010013</x:v>
      </x:c>
      <x:c r="C737" s="68" t="str">
        <x:v>VƯƠNG THỊ GIA QUYÊN</x:v>
      </x:c>
      <x:c r="D737" s="106" t="str">
        <x:v>X</x:v>
      </x:c>
      <x:c r="E737" s="118" t="n">
        <x:v>40594</x:v>
      </x:c>
      <x:c r="F737" s="106" t="str">
        <x:v>Kinh</x:v>
      </x:c>
      <x:c r="G737" s="68" t="str">
        <x:v>Xã Vĩnh Phước</x:v>
      </x:c>
      <x:c r="H737" s="68" t="str">
        <x:v>THCS Vĩnh Phú Tây</x:v>
      </x:c>
      <x:c r="I737" s="68" t="str">
        <x:v>Xã Vĩnh Phước</x:v>
      </x:c>
      <x:c r="J737" s="124" t="n">
        <x:v>27.5</x:v>
      </x:c>
      <x:c r="K737" s="130" t="n">
        <x:v>32</x:v>
      </x:c>
      <x:c r="L737" s="124"/>
      <x:c r="M737" s="124"/>
      <x:c r="N737" s="124" t="n">
        <x:v>59.5</x:v>
      </x:c>
      <x:c r="O737" s="69" t="str"/>
    </x:row>
    <x:row r="738" ht="21" customHeight="1">
      <x:c r="A738" s="100" t="n">
        <x:v>734</x:v>
      </x:c>
      <x:c r="B738" s="172" t="n">
        <x:v>95311002021</x:v>
      </x:c>
      <x:c r="C738" s="68" t="str">
        <x:v>NGUYỄN THÚY VY</x:v>
      </x:c>
      <x:c r="D738" s="106" t="str">
        <x:v>X</x:v>
      </x:c>
      <x:c r="E738" s="118" t="n">
        <x:v>40850</x:v>
      </x:c>
      <x:c r="F738" s="106" t="str">
        <x:v>Kinh</x:v>
      </x:c>
      <x:c r="G738" s="68" t="str">
        <x:v>Xã Vĩnh Thanh</x:v>
      </x:c>
      <x:c r="H738" s="68" t="str">
        <x:v>THCS Hưng Phú</x:v>
      </x:c>
      <x:c r="I738" s="68" t="str">
        <x:v>Xã Vĩnh Thanh</x:v>
      </x:c>
      <x:c r="J738" s="124" t="n">
        <x:v>27.5</x:v>
      </x:c>
      <x:c r="K738" s="130" t="n">
        <x:v>32</x:v>
      </x:c>
      <x:c r="L738" s="124"/>
      <x:c r="M738" s="124"/>
      <x:c r="N738" s="124" t="n">
        <x:v>59.5</x:v>
      </x:c>
      <x:c r="O738" s="69" t="str"/>
    </x:row>
    <x:row r="739" ht="21" customHeight="1">
      <x:c r="A739" s="100" t="n">
        <x:v>735</x:v>
      </x:c>
      <x:c r="B739" s="172" t="n">
        <x:v>95311007096</x:v>
      </x:c>
      <x:c r="C739" s="68" t="str">
        <x:v>NGUYỄN THỊ BÍCH NHƯ</x:v>
      </x:c>
      <x:c r="D739" s="106" t="str">
        <x:v>X</x:v>
      </x:c>
      <x:c r="E739" s="118" t="n">
        <x:v>40846</x:v>
      </x:c>
      <x:c r="F739" s="106" t="str">
        <x:v>Kinh</x:v>
      </x:c>
      <x:c r="G739" s="68" t="str">
        <x:v>Xã Phước Long</x:v>
      </x:c>
      <x:c r="H739" s="68" t="str">
        <x:v>THCS Trương Vĩnh Ký</x:v>
      </x:c>
      <x:c r="I739" s="68" t="str">
        <x:v>Xã Hồng Dân</x:v>
      </x:c>
      <x:c r="J739" s="124" t="n">
        <x:v>27.5</x:v>
      </x:c>
      <x:c r="K739" s="130" t="n">
        <x:v>32</x:v>
      </x:c>
      <x:c r="L739" s="124"/>
      <x:c r="M739" s="124"/>
      <x:c r="N739" s="124" t="n">
        <x:v>59.5</x:v>
      </x:c>
      <x:c r="O739" s="69" t="str"/>
    </x:row>
    <x:row r="740" ht="21" customHeight="1">
      <x:c r="A740" s="100" t="n">
        <x:v>736</x:v>
      </x:c>
      <x:c r="B740" s="172" t="n">
        <x:v>95211009034</x:v>
      </x:c>
      <x:c r="C740" s="68" t="str">
        <x:v>HUỲNH VĂN AN</x:v>
      </x:c>
      <x:c r="D740" s="106" t="str"/>
      <x:c r="E740" s="118" t="n">
        <x:v>40566</x:v>
      </x:c>
      <x:c r="F740" s="106" t="str">
        <x:v>Kinh</x:v>
      </x:c>
      <x:c r="G740" s="68" t="str">
        <x:v>Xã Phước Long</x:v>
      </x:c>
      <x:c r="H740" s="68" t="str">
        <x:v>THCS Vương Hữu Nhơn</x:v>
      </x:c>
      <x:c r="I740" s="68" t="str">
        <x:v>Xã Phước Long</x:v>
      </x:c>
      <x:c r="J740" s="124" t="n">
        <x:v>27.5</x:v>
      </x:c>
      <x:c r="K740" s="130" t="n">
        <x:v>32</x:v>
      </x:c>
      <x:c r="L740" s="124"/>
      <x:c r="M740" s="124"/>
      <x:c r="N740" s="124" t="n">
        <x:v>59.5</x:v>
      </x:c>
      <x:c r="O740" s="69" t="str"/>
    </x:row>
    <x:row r="741" ht="21" customHeight="1">
      <x:c r="A741" s="100" t="n">
        <x:v>737</x:v>
      </x:c>
      <x:c r="B741" s="172" t="n">
        <x:v>95211008198</x:v>
      </x:c>
      <x:c r="C741" s="68" t="str">
        <x:v>HUỲNH HOÀNG NAM</x:v>
      </x:c>
      <x:c r="D741" s="106" t="str"/>
      <x:c r="E741" s="118" t="n">
        <x:v>40676</x:v>
      </x:c>
      <x:c r="F741" s="106" t="str">
        <x:v>Kinh</x:v>
      </x:c>
      <x:c r="G741" s="68" t="str">
        <x:v>Xã Phước Long</x:v>
      </x:c>
      <x:c r="H741" s="68" t="str">
        <x:v>THCS Phước Long</x:v>
      </x:c>
      <x:c r="I741" s="68" t="str">
        <x:v>Xã Phước Long</x:v>
      </x:c>
      <x:c r="J741" s="124" t="n">
        <x:v>27.4</x:v>
      </x:c>
      <x:c r="K741" s="130" t="n">
        <x:v>32</x:v>
      </x:c>
      <x:c r="L741" s="124"/>
      <x:c r="M741" s="124"/>
      <x:c r="N741" s="124" t="n">
        <x:v>59.4</x:v>
      </x:c>
      <x:c r="O741" s="69" t="str"/>
    </x:row>
    <x:row r="742" ht="21" customHeight="1">
      <x:c r="A742" s="100" t="n">
        <x:v>738</x:v>
      </x:c>
      <x:c r="B742" s="172" t="n">
        <x:v>95311006145</x:v>
      </x:c>
      <x:c r="C742" s="68" t="str">
        <x:v>ĐOÀN THỊ PHƯƠNG VY</x:v>
      </x:c>
      <x:c r="D742" s="106" t="str">
        <x:v>X</x:v>
      </x:c>
      <x:c r="E742" s="118" t="n">
        <x:v>40638</x:v>
      </x:c>
      <x:c r="F742" s="106" t="str">
        <x:v>Khmer</x:v>
      </x:c>
      <x:c r="G742" s="68" t="str">
        <x:v>Xã Vĩnh Phước</x:v>
      </x:c>
      <x:c r="H742" s="68" t="str">
        <x:v>THCS Vĩnh Phú Tây</x:v>
      </x:c>
      <x:c r="I742" s="68" t="str">
        <x:v>Xã Vĩnh Phước</x:v>
      </x:c>
      <x:c r="J742" s="124" t="n">
        <x:v>28.4</x:v>
      </x:c>
      <x:c r="K742" s="130" t="n">
        <x:v>30</x:v>
      </x:c>
      <x:c r="L742" s="124" t="n">
        <x:v>1</x:v>
      </x:c>
      <x:c r="M742" s="124"/>
      <x:c r="N742" s="124" t="n">
        <x:v>59.4</x:v>
      </x:c>
      <x:c r="O742" s="69" t="str"/>
    </x:row>
    <x:row r="743" ht="21" customHeight="1">
      <x:c r="A743" s="100" t="n">
        <x:v>739</x:v>
      </x:c>
      <x:c r="B743" s="172" t="n">
        <x:v>95211000503</x:v>
      </x:c>
      <x:c r="C743" s="68" t="str">
        <x:v>NGUYỄN MINH TƯỜNG</x:v>
      </x:c>
      <x:c r="D743" s="106" t="str"/>
      <x:c r="E743" s="118" t="n">
        <x:v>40563</x:v>
      </x:c>
      <x:c r="F743" s="106" t="str">
        <x:v>Kinh</x:v>
      </x:c>
      <x:c r="G743" s="68" t="str">
        <x:v>Xã Vĩnh Phước</x:v>
      </x:c>
      <x:c r="H743" s="68" t="str">
        <x:v>THCS Vĩnh Phú Tây</x:v>
      </x:c>
      <x:c r="I743" s="68" t="str">
        <x:v>Xã Vĩnh Phước</x:v>
      </x:c>
      <x:c r="J743" s="124" t="n">
        <x:v>27.4</x:v>
      </x:c>
      <x:c r="K743" s="130" t="n">
        <x:v>32</x:v>
      </x:c>
      <x:c r="L743" s="124"/>
      <x:c r="M743" s="124"/>
      <x:c r="N743" s="124" t="n">
        <x:v>59.4</x:v>
      </x:c>
      <x:c r="O743" s="69" t="str"/>
    </x:row>
    <x:row r="744" ht="21" customHeight="1">
      <x:c r="A744" s="100" t="n">
        <x:v>740</x:v>
      </x:c>
      <x:c r="B744" s="172" t="n">
        <x:v>95311002720</x:v>
      </x:c>
      <x:c r="C744" s="68" t="str">
        <x:v>LÊ THỊ MỸ DUYÊN</x:v>
      </x:c>
      <x:c r="D744" s="106" t="str">
        <x:v>X</x:v>
      </x:c>
      <x:c r="E744" s="118" t="n">
        <x:v>40810</x:v>
      </x:c>
      <x:c r="F744" s="106" t="str">
        <x:v>Kinh</x:v>
      </x:c>
      <x:c r="G744" s="68" t="str">
        <x:v>Xã Vĩnh Thanh</x:v>
      </x:c>
      <x:c r="H744" s="68" t="str">
        <x:v>THCS Hưng Phú</x:v>
      </x:c>
      <x:c r="I744" s="68" t="str">
        <x:v>Xã Vĩnh Thanh</x:v>
      </x:c>
      <x:c r="J744" s="124" t="n">
        <x:v>27.4</x:v>
      </x:c>
      <x:c r="K744" s="130" t="n">
        <x:v>32</x:v>
      </x:c>
      <x:c r="L744" s="124"/>
      <x:c r="M744" s="124"/>
      <x:c r="N744" s="124" t="n">
        <x:v>59.4</x:v>
      </x:c>
      <x:c r="O744" s="69" t="str"/>
    </x:row>
    <x:row r="745" ht="21" customHeight="1">
      <x:c r="A745" s="100" t="n">
        <x:v>741</x:v>
      </x:c>
      <x:c r="B745" s="172" t="n">
        <x:v>95311003676</x:v>
      </x:c>
      <x:c r="C745" s="68" t="str">
        <x:v>TRẦN TÚ LAM</x:v>
      </x:c>
      <x:c r="D745" s="106" t="str">
        <x:v>X</x:v>
      </x:c>
      <x:c r="E745" s="118" t="n">
        <x:v>40871</x:v>
      </x:c>
      <x:c r="F745" s="106" t="str">
        <x:v>Kinh</x:v>
      </x:c>
      <x:c r="G745" s="68" t="str">
        <x:v>Xã Phước Long</x:v>
      </x:c>
      <x:c r="H745" s="68" t="str">
        <x:v>THCS Phước Long</x:v>
      </x:c>
      <x:c r="I745" s="68" t="str">
        <x:v>Xã Phước Long</x:v>
      </x:c>
      <x:c r="J745" s="124" t="n">
        <x:v>27.3</x:v>
      </x:c>
      <x:c r="K745" s="130" t="n">
        <x:v>32</x:v>
      </x:c>
      <x:c r="L745" s="124"/>
      <x:c r="M745" s="124"/>
      <x:c r="N745" s="124" t="n">
        <x:v>59.3</x:v>
      </x:c>
      <x:c r="O745" s="69" t="str"/>
    </x:row>
    <x:row r="746" ht="21" customHeight="1">
      <x:c r="A746" s="100" t="n">
        <x:v>742</x:v>
      </x:c>
      <x:c r="B746" s="172" t="n">
        <x:v>95211001271</x:v>
      </x:c>
      <x:c r="C746" s="68" t="str">
        <x:v>TRẦN CHÍ THÊM</x:v>
      </x:c>
      <x:c r="D746" s="106" t="str"/>
      <x:c r="E746" s="118" t="n">
        <x:v>40718</x:v>
      </x:c>
      <x:c r="F746" s="106" t="str">
        <x:v>Kinh</x:v>
      </x:c>
      <x:c r="G746" s="68" t="str">
        <x:v>Xã Vĩnh Thanh</x:v>
      </x:c>
      <x:c r="H746" s="68" t="str">
        <x:v>THCS Vĩnh Thanh</x:v>
      </x:c>
      <x:c r="I746" s="68" t="str">
        <x:v>Xã Vĩnh Thanh</x:v>
      </x:c>
      <x:c r="J746" s="124" t="n">
        <x:v>27.3</x:v>
      </x:c>
      <x:c r="K746" s="130" t="n">
        <x:v>32</x:v>
      </x:c>
      <x:c r="L746" s="124"/>
      <x:c r="M746" s="124"/>
      <x:c r="N746" s="124" t="n">
        <x:v>59.3</x:v>
      </x:c>
      <x:c r="O746" s="69" t="str"/>
    </x:row>
    <x:row r="747" ht="21" customHeight="1">
      <x:c r="A747" s="100" t="n">
        <x:v>743</x:v>
      </x:c>
      <x:c r="B747" s="172" t="n">
        <x:v>95211008558</x:v>
      </x:c>
      <x:c r="C747" s="68" t="str">
        <x:v>LÊ QUỐC NAM</x:v>
      </x:c>
      <x:c r="D747" s="106" t="str"/>
      <x:c r="E747" s="118" t="n">
        <x:v>40666</x:v>
      </x:c>
      <x:c r="F747" s="106" t="str">
        <x:v>Kinh</x:v>
      </x:c>
      <x:c r="G747" s="68" t="str">
        <x:v>Xã Phước Long</x:v>
      </x:c>
      <x:c r="H747" s="68" t="str">
        <x:v>THCS Vương Hữu Nhơn</x:v>
      </x:c>
      <x:c r="I747" s="68" t="str">
        <x:v>Xã Phước Long</x:v>
      </x:c>
      <x:c r="J747" s="124" t="n">
        <x:v>27.3</x:v>
      </x:c>
      <x:c r="K747" s="130" t="n">
        <x:v>32</x:v>
      </x:c>
      <x:c r="L747" s="124"/>
      <x:c r="M747" s="124"/>
      <x:c r="N747" s="124" t="n">
        <x:v>59.3</x:v>
      </x:c>
      <x:c r="O747" s="69" t="str"/>
    </x:row>
    <x:row r="748" ht="21" customHeight="1">
      <x:c r="A748" s="100" t="n">
        <x:v>744</x:v>
      </x:c>
      <x:c r="B748" s="172" t="n">
        <x:v>95311010266</x:v>
      </x:c>
      <x:c r="C748" s="68" t="str">
        <x:v>VÕ THỊ KHÁNH BĂNG</x:v>
      </x:c>
      <x:c r="D748" s="106" t="str">
        <x:v>X</x:v>
      </x:c>
      <x:c r="E748" s="118" t="n">
        <x:v>40562</x:v>
      </x:c>
      <x:c r="F748" s="106" t="str">
        <x:v>Kinh</x:v>
      </x:c>
      <x:c r="G748" s="68" t="str">
        <x:v>Xã Vĩnh Thanh</x:v>
      </x:c>
      <x:c r="H748" s="68" t="str">
        <x:v>THCS Vương Hữu Nhơn</x:v>
      </x:c>
      <x:c r="I748" s="68" t="str">
        <x:v>Xã Phước Long</x:v>
      </x:c>
      <x:c r="J748" s="124" t="n">
        <x:v>28.2</x:v>
      </x:c>
      <x:c r="K748" s="130" t="n">
        <x:v>31</x:v>
      </x:c>
      <x:c r="L748" s="124"/>
      <x:c r="M748" s="124"/>
      <x:c r="N748" s="124" t="n">
        <x:v>59.2</x:v>
      </x:c>
      <x:c r="O748" s="69" t="str"/>
    </x:row>
    <x:row r="749" ht="21" customHeight="1">
      <x:c r="A749" s="100" t="n">
        <x:v>745</x:v>
      </x:c>
      <x:c r="B749" s="172" t="n">
        <x:v>95210008187</x:v>
      </x:c>
      <x:c r="C749" s="68" t="str">
        <x:v>NGUYỄN KIÊN THỨC</x:v>
      </x:c>
      <x:c r="D749" s="106" t="str"/>
      <x:c r="E749" s="118" t="n">
        <x:v>40324</x:v>
      </x:c>
      <x:c r="F749" s="106" t="str">
        <x:v>Kinh</x:v>
      </x:c>
      <x:c r="G749" s="68" t="str">
        <x:v>Xã Hồng Dân</x:v>
      </x:c>
      <x:c r="H749" s="68" t="str">
        <x:v>THCS Trương Vĩnh Ký</x:v>
      </x:c>
      <x:c r="I749" s="68" t="str">
        <x:v>Xã Hồng Dân</x:v>
      </x:c>
      <x:c r="J749" s="124" t="n">
        <x:v>27.2</x:v>
      </x:c>
      <x:c r="K749" s="130" t="n">
        <x:v>32</x:v>
      </x:c>
      <x:c r="L749" s="124"/>
      <x:c r="M749" s="124"/>
      <x:c r="N749" s="124" t="n">
        <x:v>59.2</x:v>
      </x:c>
      <x:c r="O749" s="69" t="str"/>
    </x:row>
    <x:row r="750" ht="21" customHeight="1">
      <x:c r="A750" s="100" t="n">
        <x:v>746</x:v>
      </x:c>
      <x:c r="B750" s="172" t="n">
        <x:v>95311001101</x:v>
      </x:c>
      <x:c r="C750" s="68" t="str">
        <x:v>HUỲNH THỊ BẢO NHƯ</x:v>
      </x:c>
      <x:c r="D750" s="106" t="str">
        <x:v>X</x:v>
      </x:c>
      <x:c r="E750" s="118" t="n">
        <x:v>40804</x:v>
      </x:c>
      <x:c r="F750" s="106" t="str">
        <x:v>Kinh</x:v>
      </x:c>
      <x:c r="G750" s="68" t="str">
        <x:v>Xã Phước Long</x:v>
      </x:c>
      <x:c r="H750" s="68" t="str">
        <x:v>THCS Phước Long</x:v>
      </x:c>
      <x:c r="I750" s="68" t="str">
        <x:v>Xã Phước Long</x:v>
      </x:c>
      <x:c r="J750" s="124" t="n">
        <x:v>27.1</x:v>
      </x:c>
      <x:c r="K750" s="130" t="n">
        <x:v>32</x:v>
      </x:c>
      <x:c r="L750" s="124"/>
      <x:c r="M750" s="124"/>
      <x:c r="N750" s="124" t="n">
        <x:v>59.1</x:v>
      </x:c>
      <x:c r="O750" s="69" t="str"/>
    </x:row>
    <x:row r="751" ht="21" customHeight="1">
      <x:c r="A751" s="100" t="n">
        <x:v>747</x:v>
      </x:c>
      <x:c r="B751" s="172" t="n">
        <x:v>95211001461</x:v>
      </x:c>
      <x:c r="C751" s="68" t="str">
        <x:v>LÊ NGUYỄN MINH TƯỜNG</x:v>
      </x:c>
      <x:c r="D751" s="106" t="str"/>
      <x:c r="E751" s="118" t="n">
        <x:v>40709</x:v>
      </x:c>
      <x:c r="F751" s="106" t="str">
        <x:v>Kinh</x:v>
      </x:c>
      <x:c r="G751" s="68" t="str">
        <x:v>Xã Vĩnh Thanh</x:v>
      </x:c>
      <x:c r="H751" s="68" t="str">
        <x:v>THCS Vĩnh Thanh</x:v>
      </x:c>
      <x:c r="I751" s="68" t="str">
        <x:v>Xã Vĩnh Thanh</x:v>
      </x:c>
      <x:c r="J751" s="124" t="n">
        <x:v>26.9</x:v>
      </x:c>
      <x:c r="K751" s="130" t="n">
        <x:v>32</x:v>
      </x:c>
      <x:c r="L751" s="124"/>
      <x:c r="M751" s="124"/>
      <x:c r="N751" s="124" t="n">
        <x:v>58.9</x:v>
      </x:c>
      <x:c r="O751" s="69" t="str"/>
    </x:row>
    <x:row r="752" ht="21" customHeight="1">
      <x:c r="A752" s="100" t="n">
        <x:v>748</x:v>
      </x:c>
      <x:c r="B752" s="172" t="n">
        <x:v>95311009575</x:v>
      </x:c>
      <x:c r="C752" s="68" t="str">
        <x:v>PHAN THỊ KIM NGUYỄN</x:v>
      </x:c>
      <x:c r="D752" s="106" t="str">
        <x:v>X</x:v>
      </x:c>
      <x:c r="E752" s="118" t="n">
        <x:v>40701</x:v>
      </x:c>
      <x:c r="F752" s="106" t="str">
        <x:v>Kinh</x:v>
      </x:c>
      <x:c r="G752" s="68" t="str">
        <x:v>Xã Phước Long</x:v>
      </x:c>
      <x:c r="H752" s="68" t="str">
        <x:v>THCS Phước Long</x:v>
      </x:c>
      <x:c r="I752" s="68" t="str">
        <x:v>Xã Phước Long</x:v>
      </x:c>
      <x:c r="J752" s="124" t="n">
        <x:v>26.9</x:v>
      </x:c>
      <x:c r="K752" s="130" t="n">
        <x:v>32</x:v>
      </x:c>
      <x:c r="L752" s="124"/>
      <x:c r="M752" s="124"/>
      <x:c r="N752" s="124" t="n">
        <x:v>58.9</x:v>
      </x:c>
      <x:c r="O752" s="69" t="str"/>
    </x:row>
    <x:row r="753" ht="21" customHeight="1">
      <x:c r="A753" s="100" t="n">
        <x:v>749</x:v>
      </x:c>
      <x:c r="B753" s="172" t="n">
        <x:v>95311001492</x:v>
      </x:c>
      <x:c r="C753" s="68" t="str">
        <x:v>ĐINH KHÁNH BĂNG</x:v>
      </x:c>
      <x:c r="D753" s="106" t="str">
        <x:v>X</x:v>
      </x:c>
      <x:c r="E753" s="118" t="n">
        <x:v>40555</x:v>
      </x:c>
      <x:c r="F753" s="106" t="str">
        <x:v>Kinh</x:v>
      </x:c>
      <x:c r="G753" s="68" t="str">
        <x:v>Xã Phước Long</x:v>
      </x:c>
      <x:c r="H753" s="68" t="str">
        <x:v>THCS Vương Hữu Nhơn</x:v>
      </x:c>
      <x:c r="I753" s="68" t="str">
        <x:v>Xã Phước Long</x:v>
      </x:c>
      <x:c r="J753" s="124" t="n">
        <x:v>26.9</x:v>
      </x:c>
      <x:c r="K753" s="130" t="n">
        <x:v>32</x:v>
      </x:c>
      <x:c r="L753" s="124"/>
      <x:c r="M753" s="124"/>
      <x:c r="N753" s="124" t="n">
        <x:v>58.9</x:v>
      </x:c>
      <x:c r="O753" s="69" t="str"/>
    </x:row>
    <x:row r="754" ht="21" customHeight="1">
      <x:c r="A754" s="100" t="n">
        <x:v>750</x:v>
      </x:c>
      <x:c r="B754" s="172" t="n">
        <x:v>95311000392</x:v>
      </x:c>
      <x:c r="C754" s="68" t="str">
        <x:v>NGUYỄN THỊ TÚ MY</x:v>
      </x:c>
      <x:c r="D754" s="106" t="str">
        <x:v>X</x:v>
      </x:c>
      <x:c r="E754" s="118" t="n">
        <x:v>40697</x:v>
      </x:c>
      <x:c r="F754" s="106" t="str">
        <x:v>Kinh</x:v>
      </x:c>
      <x:c r="G754" s="68" t="str">
        <x:v>Xã Phước Long</x:v>
      </x:c>
      <x:c r="H754" s="68" t="str">
        <x:v>THCS Phước Long</x:v>
      </x:c>
      <x:c r="I754" s="68" t="str">
        <x:v>Xã Phước Long</x:v>
      </x:c>
      <x:c r="J754" s="124" t="n">
        <x:v>27.8</x:v>
      </x:c>
      <x:c r="K754" s="130" t="n">
        <x:v>31</x:v>
      </x:c>
      <x:c r="L754" s="124"/>
      <x:c r="M754" s="124"/>
      <x:c r="N754" s="124" t="n">
        <x:v>58.8</x:v>
      </x:c>
      <x:c r="O754" s="69" t="str"/>
    </x:row>
    <x:row r="755" ht="21" customHeight="1">
      <x:c r="A755" s="100" t="n">
        <x:v>751</x:v>
      </x:c>
      <x:c r="B755" s="172" t="n">
        <x:v>95311002784</x:v>
      </x:c>
      <x:c r="C755" s="68" t="str">
        <x:v>NGUYỄN ANH THƯ</x:v>
      </x:c>
      <x:c r="D755" s="106" t="str">
        <x:v>X</x:v>
      </x:c>
      <x:c r="E755" s="118" t="n">
        <x:v>40690</x:v>
      </x:c>
      <x:c r="F755" s="106" t="str">
        <x:v>Kinh</x:v>
      </x:c>
      <x:c r="G755" s="68" t="str">
        <x:v>Xã Vĩnh Thanh</x:v>
      </x:c>
      <x:c r="H755" s="68" t="str">
        <x:v>THCS Hưng Phú</x:v>
      </x:c>
      <x:c r="I755" s="68" t="str">
        <x:v>Xã Vĩnh Thanh</x:v>
      </x:c>
      <x:c r="J755" s="124" t="n">
        <x:v>27.8</x:v>
      </x:c>
      <x:c r="K755" s="130" t="n">
        <x:v>31</x:v>
      </x:c>
      <x:c r="L755" s="124"/>
      <x:c r="M755" s="124"/>
      <x:c r="N755" s="124" t="n">
        <x:v>58.8</x:v>
      </x:c>
      <x:c r="O755" s="69" t="str"/>
    </x:row>
    <x:row r="756" ht="21" customHeight="1">
      <x:c r="A756" s="100" t="n">
        <x:v>752</x:v>
      </x:c>
      <x:c r="B756" s="172" t="n">
        <x:v>95211010131</x:v>
      </x:c>
      <x:c r="C756" s="68" t="str">
        <x:v>NGŨ GIA HUY</x:v>
      </x:c>
      <x:c r="D756" s="106" t="str"/>
      <x:c r="E756" s="118" t="n">
        <x:v>40828</x:v>
      </x:c>
      <x:c r="F756" s="106" t="str">
        <x:v>Kinh</x:v>
      </x:c>
      <x:c r="G756" s="68" t="str">
        <x:v>Xã Vĩnh Phước</x:v>
      </x:c>
      <x:c r="H756" s="68" t="str">
        <x:v>THCS Vĩnh Thanh</x:v>
      </x:c>
      <x:c r="I756" s="68" t="str">
        <x:v>Xã Vĩnh Thanh</x:v>
      </x:c>
      <x:c r="J756" s="124" t="n">
        <x:v>27.8</x:v>
      </x:c>
      <x:c r="K756" s="130" t="n">
        <x:v>30</x:v>
      </x:c>
      <x:c r="L756" s="124" t="n">
        <x:v>1</x:v>
      </x:c>
      <x:c r="M756" s="124"/>
      <x:c r="N756" s="124" t="n">
        <x:v>58.8</x:v>
      </x:c>
      <x:c r="O756" s="69" t="str"/>
    </x:row>
    <x:row r="757" ht="21" customHeight="1">
      <x:c r="A757" s="100" t="n">
        <x:v>753</x:v>
      </x:c>
      <x:c r="B757" s="172" t="n">
        <x:v>95311004032</x:v>
      </x:c>
      <x:c r="C757" s="68" t="str">
        <x:v>HẰNG CHÂM ANH</x:v>
      </x:c>
      <x:c r="D757" s="106" t="str">
        <x:v>X</x:v>
      </x:c>
      <x:c r="E757" s="118" t="n">
        <x:v>40735</x:v>
      </x:c>
      <x:c r="F757" s="106" t="str">
        <x:v>Kinh</x:v>
      </x:c>
      <x:c r="G757" s="68" t="str">
        <x:v>Xã Phước Long</x:v>
      </x:c>
      <x:c r="H757" s="68" t="str">
        <x:v>THCS Phước Long</x:v>
      </x:c>
      <x:c r="I757" s="68" t="str">
        <x:v>Xã Phước Long</x:v>
      </x:c>
      <x:c r="J757" s="124" t="n">
        <x:v>28.7</x:v>
      </x:c>
      <x:c r="K757" s="130" t="n">
        <x:v>30</x:v>
      </x:c>
      <x:c r="L757" s="124"/>
      <x:c r="M757" s="124"/>
      <x:c r="N757" s="124" t="n">
        <x:v>58.7</x:v>
      </x:c>
      <x:c r="O757" s="69" t="str"/>
    </x:row>
    <x:row r="758" ht="21" customHeight="1">
      <x:c r="A758" s="100" t="n">
        <x:v>754</x:v>
      </x:c>
      <x:c r="B758" s="172" t="n">
        <x:v>96210009601</x:v>
      </x:c>
      <x:c r="C758" s="68" t="str">
        <x:v>TRỊNH PHẠM QUỐC BẢO</x:v>
      </x:c>
      <x:c r="D758" s="106" t="str"/>
      <x:c r="E758" s="118" t="n">
        <x:v>40512</x:v>
      </x:c>
      <x:c r="F758" s="106" t="str">
        <x:v>Hoa</x:v>
      </x:c>
      <x:c r="G758" s="68" t="str">
        <x:v>Xã Tân Thạnh</x:v>
      </x:c>
      <x:c r="H758" s="68" t="str">
        <x:v>THCS Phước Long</x:v>
      </x:c>
      <x:c r="I758" s="68" t="str">
        <x:v>Xã Phước Long</x:v>
      </x:c>
      <x:c r="J758" s="124" t="n">
        <x:v>27.7</x:v>
      </x:c>
      <x:c r="K758" s="130" t="n">
        <x:v>30</x:v>
      </x:c>
      <x:c r="L758" s="124" t="n">
        <x:v>1</x:v>
      </x:c>
      <x:c r="M758" s="124"/>
      <x:c r="N758" s="124" t="n">
        <x:v>58.7</x:v>
      </x:c>
      <x:c r="O758" s="69" t="str"/>
    </x:row>
    <x:row r="759" ht="21" customHeight="1">
      <x:c r="A759" s="100" t="n">
        <x:v>755</x:v>
      </x:c>
      <x:c r="B759" s="172" t="n">
        <x:v>95211002214</x:v>
      </x:c>
      <x:c r="C759" s="68" t="str">
        <x:v>LƯƠNG DUY LÂM</x:v>
      </x:c>
      <x:c r="D759" s="106" t="str"/>
      <x:c r="E759" s="118" t="n">
        <x:v>40809</x:v>
      </x:c>
      <x:c r="F759" s="106" t="str">
        <x:v>Kinh</x:v>
      </x:c>
      <x:c r="G759" s="68" t="str">
        <x:v>Xã Vĩnh Thanh</x:v>
      </x:c>
      <x:c r="H759" s="68" t="str">
        <x:v>THCS Hưng Phú</x:v>
      </x:c>
      <x:c r="I759" s="68" t="str">
        <x:v>Xã Vĩnh Thanh</x:v>
      </x:c>
      <x:c r="J759" s="124" t="n">
        <x:v>26.7</x:v>
      </x:c>
      <x:c r="K759" s="130" t="n">
        <x:v>32</x:v>
      </x:c>
      <x:c r="L759" s="124"/>
      <x:c r="M759" s="124"/>
      <x:c r="N759" s="124" t="n">
        <x:v>58.7</x:v>
      </x:c>
      <x:c r="O759" s="69" t="str"/>
    </x:row>
    <x:row r="760" ht="21" customHeight="1">
      <x:c r="A760" s="100" t="n">
        <x:v>756</x:v>
      </x:c>
      <x:c r="B760" s="172" t="n">
        <x:v>95210005671</x:v>
      </x:c>
      <x:c r="C760" s="68" t="str">
        <x:v>NGUYỄN THIỆN NHÂN</x:v>
      </x:c>
      <x:c r="D760" s="106" t="str"/>
      <x:c r="E760" s="118" t="n">
        <x:v>40341</x:v>
      </x:c>
      <x:c r="F760" s="106" t="str">
        <x:v>Kinh</x:v>
      </x:c>
      <x:c r="G760" s="68" t="str">
        <x:v>Xã Phước Long</x:v>
      </x:c>
      <x:c r="H760" s="68" t="str">
        <x:v>THCS Phước Long</x:v>
      </x:c>
      <x:c r="I760" s="68" t="str">
        <x:v>Xã Phước Long</x:v>
      </x:c>
      <x:c r="J760" s="124" t="n">
        <x:v>27.6</x:v>
      </x:c>
      <x:c r="K760" s="130" t="n">
        <x:v>31</x:v>
      </x:c>
      <x:c r="L760" s="124"/>
      <x:c r="M760" s="124"/>
      <x:c r="N760" s="124" t="n">
        <x:v>58.6</x:v>
      </x:c>
      <x:c r="O760" s="69" t="str"/>
    </x:row>
    <x:row r="761" ht="21" customHeight="1">
      <x:c r="A761" s="100" t="n">
        <x:v>757</x:v>
      </x:c>
      <x:c r="B761" s="172" t="n">
        <x:v>95211008459</x:v>
      </x:c>
      <x:c r="C761" s="68" t="str">
        <x:v>NGUYỄN VĂN THỨC</x:v>
      </x:c>
      <x:c r="D761" s="106" t="str"/>
      <x:c r="E761" s="118" t="n">
        <x:v>40827</x:v>
      </x:c>
      <x:c r="F761" s="106" t="str">
        <x:v>Kinh</x:v>
      </x:c>
      <x:c r="G761" s="68" t="str">
        <x:v>Xã Vĩnh Thanh</x:v>
      </x:c>
      <x:c r="H761" s="68" t="str">
        <x:v>THCS Vĩnh Thanh</x:v>
      </x:c>
      <x:c r="I761" s="68" t="str">
        <x:v>Xã Vĩnh Thanh</x:v>
      </x:c>
      <x:c r="J761" s="124" t="n">
        <x:v>26.6</x:v>
      </x:c>
      <x:c r="K761" s="130" t="n">
        <x:v>32</x:v>
      </x:c>
      <x:c r="L761" s="124"/>
      <x:c r="M761" s="124"/>
      <x:c r="N761" s="124" t="n">
        <x:v>58.6</x:v>
      </x:c>
      <x:c r="O761" s="69" t="str"/>
    </x:row>
    <x:row r="762" ht="21" customHeight="1">
      <x:c r="A762" s="100" t="n">
        <x:v>758</x:v>
      </x:c>
      <x:c r="B762" s="172" t="n">
        <x:v>95211008385</x:v>
      </x:c>
      <x:c r="C762" s="68" t="str">
        <x:v>ĐẶNG BÁ QUYẾT</x:v>
      </x:c>
      <x:c r="D762" s="106" t="str"/>
      <x:c r="E762" s="118" t="n">
        <x:v>40863</x:v>
      </x:c>
      <x:c r="F762" s="106" t="str">
        <x:v>Kinh</x:v>
      </x:c>
      <x:c r="G762" s="68" t="str">
        <x:v>Xã Ninh Quới</x:v>
      </x:c>
      <x:c r="H762" s="68" t="str">
        <x:v>THCS Phước Long</x:v>
      </x:c>
      <x:c r="I762" s="68" t="str">
        <x:v>Xã Phước Long</x:v>
      </x:c>
      <x:c r="J762" s="124" t="n">
        <x:v>26.5</x:v>
      </x:c>
      <x:c r="K762" s="130" t="n">
        <x:v>32</x:v>
      </x:c>
      <x:c r="L762" s="124"/>
      <x:c r="M762" s="124"/>
      <x:c r="N762" s="124" t="n">
        <x:v>58.5</x:v>
      </x:c>
      <x:c r="O762" s="69" t="str"/>
    </x:row>
    <x:row r="763" ht="21" customHeight="1">
      <x:c r="A763" s="100" t="n">
        <x:v>759</x:v>
      </x:c>
      <x:c r="B763" s="172" t="n">
        <x:v>95211000813</x:v>
      </x:c>
      <x:c r="C763" s="68" t="str">
        <x:v>NGUYỄN VĂN KHA</x:v>
      </x:c>
      <x:c r="D763" s="106" t="str"/>
      <x:c r="E763" s="118" t="n">
        <x:v>40850</x:v>
      </x:c>
      <x:c r="F763" s="106" t="str">
        <x:v>Kinh</x:v>
      </x:c>
      <x:c r="G763" s="68" t="str">
        <x:v>Xã Phước Long</x:v>
      </x:c>
      <x:c r="H763" s="68" t="str">
        <x:v>THCS Hưng Phú</x:v>
      </x:c>
      <x:c r="I763" s="68" t="str">
        <x:v>Xã Vĩnh Thanh</x:v>
      </x:c>
      <x:c r="J763" s="124" t="n">
        <x:v>28.4</x:v>
      </x:c>
      <x:c r="K763" s="130" t="n">
        <x:v>30</x:v>
      </x:c>
      <x:c r="L763" s="124"/>
      <x:c r="M763" s="124"/>
      <x:c r="N763" s="124" t="n">
        <x:v>58.4</x:v>
      </x:c>
      <x:c r="O763" s="69" t="str"/>
    </x:row>
    <x:row r="764" ht="21" customHeight="1">
      <x:c r="A764" s="100" t="n">
        <x:v>760</x:v>
      </x:c>
      <x:c r="B764" s="172" t="n">
        <x:v>95311008910</x:v>
      </x:c>
      <x:c r="C764" s="68" t="str">
        <x:v>NGUYỄN THU THẢO</x:v>
      </x:c>
      <x:c r="D764" s="106" t="str">
        <x:v>X</x:v>
      </x:c>
      <x:c r="E764" s="118" t="n">
        <x:v>40800</x:v>
      </x:c>
      <x:c r="F764" s="106" t="str">
        <x:v>Kinh</x:v>
      </x:c>
      <x:c r="G764" s="68" t="str">
        <x:v>Xã Vĩnh Phước</x:v>
      </x:c>
      <x:c r="H764" s="68" t="str">
        <x:v>THCS Vĩnh Thanh</x:v>
      </x:c>
      <x:c r="I764" s="68" t="str">
        <x:v>Xã Vĩnh Thanh</x:v>
      </x:c>
      <x:c r="J764" s="124" t="n">
        <x:v>27.4</x:v>
      </x:c>
      <x:c r="K764" s="130" t="n">
        <x:v>30</x:v>
      </x:c>
      <x:c r="L764" s="124" t="n">
        <x:v>1</x:v>
      </x:c>
      <x:c r="M764" s="124"/>
      <x:c r="N764" s="124" t="n">
        <x:v>58.4</x:v>
      </x:c>
      <x:c r="O764" s="69" t="str"/>
    </x:row>
    <x:row r="765" ht="21" customHeight="1">
      <x:c r="A765" s="100" t="n">
        <x:v>761</x:v>
      </x:c>
      <x:c r="B765" s="172" t="n">
        <x:v>95211005384</x:v>
      </x:c>
      <x:c r="C765" s="68" t="str">
        <x:v>LÊ QUỐC TAM</x:v>
      </x:c>
      <x:c r="D765" s="106" t="str"/>
      <x:c r="E765" s="118" t="n">
        <x:v>40544</x:v>
      </x:c>
      <x:c r="F765" s="106" t="str">
        <x:v>Kinh</x:v>
      </x:c>
      <x:c r="G765" s="68" t="str">
        <x:v>Xã Phước Long</x:v>
      </x:c>
      <x:c r="H765" s="68" t="str">
        <x:v>THCS Phước Long</x:v>
      </x:c>
      <x:c r="I765" s="68" t="str">
        <x:v>Xã Phước Long</x:v>
      </x:c>
      <x:c r="J765" s="124" t="n">
        <x:v>28.3</x:v>
      </x:c>
      <x:c r="K765" s="130" t="n">
        <x:v>30</x:v>
      </x:c>
      <x:c r="L765" s="124"/>
      <x:c r="M765" s="124"/>
      <x:c r="N765" s="124" t="n">
        <x:v>58.3</x:v>
      </x:c>
      <x:c r="O765" s="69" t="str"/>
    </x:row>
    <x:row r="766" ht="21" customHeight="1">
      <x:c r="A766" s="100" t="n">
        <x:v>762</x:v>
      </x:c>
      <x:c r="B766" s="172" t="n">
        <x:v>95211001861</x:v>
      </x:c>
      <x:c r="C766" s="68" t="str">
        <x:v>PHẠM QUỐC THỊNH</x:v>
      </x:c>
      <x:c r="D766" s="106" t="str"/>
      <x:c r="E766" s="118" t="n">
        <x:v>40617</x:v>
      </x:c>
      <x:c r="F766" s="106" t="str">
        <x:v>Kinh</x:v>
      </x:c>
      <x:c r="G766" s="68" t="str">
        <x:v>Xã Vĩnh Thanh</x:v>
      </x:c>
      <x:c r="H766" s="68" t="str">
        <x:v>THCS Hưng Phú</x:v>
      </x:c>
      <x:c r="I766" s="68" t="str">
        <x:v>Xã Vĩnh Thanh</x:v>
      </x:c>
      <x:c r="J766" s="124" t="n">
        <x:v>27.3</x:v>
      </x:c>
      <x:c r="K766" s="130" t="n">
        <x:v>31</x:v>
      </x:c>
      <x:c r="L766" s="124"/>
      <x:c r="M766" s="124"/>
      <x:c r="N766" s="124" t="n">
        <x:v>58.3</x:v>
      </x:c>
      <x:c r="O766" s="69" t="str"/>
    </x:row>
    <x:row r="767" ht="21" customHeight="1">
      <x:c r="A767" s="100" t="n">
        <x:v>763</x:v>
      </x:c>
      <x:c r="B767" s="172" t="n">
        <x:v>95211000297</x:v>
      </x:c>
      <x:c r="C767" s="68" t="str">
        <x:v>LÊ GIA HUY</x:v>
      </x:c>
      <x:c r="D767" s="106" t="str"/>
      <x:c r="E767" s="118" t="n">
        <x:v>40873</x:v>
      </x:c>
      <x:c r="F767" s="106" t="str">
        <x:v>Kinh</x:v>
      </x:c>
      <x:c r="G767" s="68" t="str">
        <x:v>Xã Vĩnh Thanh</x:v>
      </x:c>
      <x:c r="H767" s="68" t="str">
        <x:v>THCS Vĩnh Thanh</x:v>
      </x:c>
      <x:c r="I767" s="68" t="str">
        <x:v>Xã Vĩnh Thanh</x:v>
      </x:c>
      <x:c r="J767" s="124" t="n">
        <x:v>28.2</x:v>
      </x:c>
      <x:c r="K767" s="130" t="n">
        <x:v>30</x:v>
      </x:c>
      <x:c r="L767" s="124"/>
      <x:c r="M767" s="124"/>
      <x:c r="N767" s="124" t="n">
        <x:v>58.2</x:v>
      </x:c>
      <x:c r="O767" s="69" t="str"/>
    </x:row>
    <x:row r="768" ht="21" customHeight="1">
      <x:c r="A768" s="100" t="n">
        <x:v>764</x:v>
      </x:c>
      <x:c r="B768" s="172" t="n">
        <x:v>95211006422</x:v>
      </x:c>
      <x:c r="C768" s="68" t="str">
        <x:v>DANH CHÍ THIỆN</x:v>
      </x:c>
      <x:c r="D768" s="106" t="str"/>
      <x:c r="E768" s="118" t="n">
        <x:v>40758</x:v>
      </x:c>
      <x:c r="F768" s="106" t="str">
        <x:v>Khmer</x:v>
      </x:c>
      <x:c r="G768" s="68" t="str">
        <x:v>Xã Phước Long</x:v>
      </x:c>
      <x:c r="H768" s="68" t="str">
        <x:v>THCS Vương Hữu Nhơn</x:v>
      </x:c>
      <x:c r="I768" s="68" t="str">
        <x:v>Xã Phước Long</x:v>
      </x:c>
      <x:c r="J768" s="124" t="n">
        <x:v>27.2</x:v>
      </x:c>
      <x:c r="K768" s="130" t="n">
        <x:v>30</x:v>
      </x:c>
      <x:c r="L768" s="124" t="n">
        <x:v>1</x:v>
      </x:c>
      <x:c r="M768" s="124"/>
      <x:c r="N768" s="124" t="n">
        <x:v>58.2</x:v>
      </x:c>
      <x:c r="O768" s="69" t="str"/>
    </x:row>
    <x:row r="769" ht="21" customHeight="1">
      <x:c r="A769" s="100" t="n">
        <x:v>765</x:v>
      </x:c>
      <x:c r="B769" s="172" t="n">
        <x:v>95211005220</x:v>
      </x:c>
      <x:c r="C769" s="68" t="str">
        <x:v>PHAN MINH ĐĂNG</x:v>
      </x:c>
      <x:c r="D769" s="106" t="str"/>
      <x:c r="E769" s="118" t="n">
        <x:v>40896</x:v>
      </x:c>
      <x:c r="F769" s="106" t="str">
        <x:v>Kinh</x:v>
      </x:c>
      <x:c r="G769" s="68" t="str">
        <x:v>Xã Phước Long</x:v>
      </x:c>
      <x:c r="H769" s="68" t="str">
        <x:v>THCS Phước Long</x:v>
      </x:c>
      <x:c r="I769" s="68" t="str">
        <x:v>Xã Vĩnh Phước</x:v>
      </x:c>
      <x:c r="J769" s="124" t="n">
        <x:v>28.1</x:v>
      </x:c>
      <x:c r="K769" s="130" t="n">
        <x:v>30</x:v>
      </x:c>
      <x:c r="L769" s="124"/>
      <x:c r="M769" s="124"/>
      <x:c r="N769" s="124" t="n">
        <x:v>58.1</x:v>
      </x:c>
      <x:c r="O769" s="69" t="str"/>
    </x:row>
    <x:row r="770" ht="21" customHeight="1">
      <x:c r="A770" s="100" t="n">
        <x:v>766</x:v>
      </x:c>
      <x:c r="B770" s="172" t="n">
        <x:v>95311004189</x:v>
      </x:c>
      <x:c r="C770" s="68" t="str">
        <x:v>HUỲNH KHẢ Ý</x:v>
      </x:c>
      <x:c r="D770" s="106" t="str">
        <x:v>X</x:v>
      </x:c>
      <x:c r="E770" s="118" t="n">
        <x:v>40873</x:v>
      </x:c>
      <x:c r="F770" s="106" t="str">
        <x:v>Kinh</x:v>
      </x:c>
      <x:c r="G770" s="68" t="str">
        <x:v>Xã Phước Long</x:v>
      </x:c>
      <x:c r="H770" s="68" t="str">
        <x:v>THCS Phước Long</x:v>
      </x:c>
      <x:c r="I770" s="68" t="str">
        <x:v>Xã Phước Long</x:v>
      </x:c>
      <x:c r="J770" s="124" t="n">
        <x:v>28.1</x:v>
      </x:c>
      <x:c r="K770" s="130" t="n">
        <x:v>30</x:v>
      </x:c>
      <x:c r="L770" s="124"/>
      <x:c r="M770" s="124"/>
      <x:c r="N770" s="124" t="n">
        <x:v>58.1</x:v>
      </x:c>
      <x:c r="O770" s="69" t="str"/>
    </x:row>
    <x:row r="771" ht="21" customHeight="1">
      <x:c r="A771" s="100" t="n">
        <x:v>767</x:v>
      </x:c>
      <x:c r="B771" s="172" t="n">
        <x:v>95211001745</x:v>
      </x:c>
      <x:c r="C771" s="68" t="str">
        <x:v>BÙI HOÀNG ĐĂNG</x:v>
      </x:c>
      <x:c r="D771" s="106" t="str"/>
      <x:c r="E771" s="118" t="n">
        <x:v>40608</x:v>
      </x:c>
      <x:c r="F771" s="106" t="str">
        <x:v>Kinh</x:v>
      </x:c>
      <x:c r="G771" s="68" t="str">
        <x:v>Xã Vĩnh Phước</x:v>
      </x:c>
      <x:c r="H771" s="68" t="str">
        <x:v>THCS Vĩnh Phú Tây</x:v>
      </x:c>
      <x:c r="I771" s="68" t="str">
        <x:v>Xã Vĩnh Phước</x:v>
      </x:c>
      <x:c r="J771" s="124" t="n">
        <x:v>28</x:v>
      </x:c>
      <x:c r="K771" s="130" t="n">
        <x:v>30</x:v>
      </x:c>
      <x:c r="L771" s="124"/>
      <x:c r="M771" s="124"/>
      <x:c r="N771" s="124" t="n">
        <x:v>58</x:v>
      </x:c>
      <x:c r="O771" s="69" t="str"/>
    </x:row>
    <x:row r="772" ht="21" customHeight="1">
      <x:c r="A772" s="100" t="n">
        <x:v>768</x:v>
      </x:c>
      <x:c r="B772" s="172" t="n">
        <x:v>95211006597</x:v>
      </x:c>
      <x:c r="C772" s="68" t="str">
        <x:v>NGUYỄN VĂN TÀI</x:v>
      </x:c>
      <x:c r="D772" s="106" t="str"/>
      <x:c r="E772" s="118" t="n">
        <x:v>40907</x:v>
      </x:c>
      <x:c r="F772" s="106" t="str">
        <x:v>Kinh</x:v>
      </x:c>
      <x:c r="G772" s="68" t="str">
        <x:v>Xã Vĩnh Thanh</x:v>
      </x:c>
      <x:c r="H772" s="68" t="str">
        <x:v>THCS Hưng Phú</x:v>
      </x:c>
      <x:c r="I772" s="68" t="str">
        <x:v>Xã Vĩnh Thanh</x:v>
      </x:c>
      <x:c r="J772" s="124" t="n">
        <x:v>28</x:v>
      </x:c>
      <x:c r="K772" s="130" t="n">
        <x:v>30</x:v>
      </x:c>
      <x:c r="L772" s="124"/>
      <x:c r="M772" s="124"/>
      <x:c r="N772" s="124" t="n">
        <x:v>58</x:v>
      </x:c>
      <x:c r="O772" s="69" t="str"/>
    </x:row>
    <x:row r="773" ht="21" customHeight="1">
      <x:c r="A773" s="100" t="n">
        <x:v>769</x:v>
      </x:c>
      <x:c r="B773" s="172" t="n">
        <x:v>95211009441</x:v>
      </x:c>
      <x:c r="C773" s="68" t="str">
        <x:v>DANH KIM TRUNG</x:v>
      </x:c>
      <x:c r="D773" s="106" t="str"/>
      <x:c r="E773" s="118" t="n">
        <x:v>40724</x:v>
      </x:c>
      <x:c r="F773" s="106" t="str">
        <x:v>Khmer</x:v>
      </x:c>
      <x:c r="G773" s="68" t="str">
        <x:v>Xã Vĩnh Phước</x:v>
      </x:c>
      <x:c r="H773" s="68" t="str">
        <x:v>THCS Vĩnh Thanh</x:v>
      </x:c>
      <x:c r="I773" s="68" t="str">
        <x:v>Xã Vĩnh Thanh</x:v>
      </x:c>
      <x:c r="J773" s="124" t="n">
        <x:v>27</x:v>
      </x:c>
      <x:c r="K773" s="130" t="n">
        <x:v>30</x:v>
      </x:c>
      <x:c r="L773" s="124" t="n">
        <x:v>1</x:v>
      </x:c>
      <x:c r="M773" s="124"/>
      <x:c r="N773" s="124" t="n">
        <x:v>58</x:v>
      </x:c>
      <x:c r="O773" s="69" t="str"/>
    </x:row>
    <x:row r="774" ht="21" customHeight="1">
      <x:c r="A774" s="100" t="n">
        <x:v>770</x:v>
      </x:c>
      <x:c r="B774" s="172" t="n">
        <x:v>95211007355</x:v>
      </x:c>
      <x:c r="C774" s="68" t="str">
        <x:v>ĐẶNG HOÀNG ĐÔ</x:v>
      </x:c>
      <x:c r="D774" s="106" t="str"/>
      <x:c r="E774" s="118" t="n">
        <x:v>40688</x:v>
      </x:c>
      <x:c r="F774" s="106" t="str">
        <x:v>Kinh</x:v>
      </x:c>
      <x:c r="G774" s="68" t="str">
        <x:v>Xã Vĩnh Phước</x:v>
      </x:c>
      <x:c r="H774" s="68" t="str">
        <x:v>THCS Vĩnh Phú Tây</x:v>
      </x:c>
      <x:c r="I774" s="68" t="str">
        <x:v>Xã Vĩnh Phước</x:v>
      </x:c>
      <x:c r="J774" s="124" t="n">
        <x:v>25.9</x:v>
      </x:c>
      <x:c r="K774" s="130" t="n">
        <x:v>32</x:v>
      </x:c>
      <x:c r="L774" s="124"/>
      <x:c r="M774" s="124"/>
      <x:c r="N774" s="124" t="n">
        <x:v>57.9</x:v>
      </x:c>
      <x:c r="O774" s="69" t="str"/>
    </x:row>
    <x:row r="775" ht="21" customHeight="1">
      <x:c r="A775" s="100" t="n">
        <x:v>771</x:v>
      </x:c>
      <x:c r="B775" s="172" t="n">
        <x:v>95311003056</x:v>
      </x:c>
      <x:c r="C775" s="68" t="str">
        <x:v>HUỲNH KIM TRÚC</x:v>
      </x:c>
      <x:c r="D775" s="106" t="str">
        <x:v>X</x:v>
      </x:c>
      <x:c r="E775" s="118" t="n">
        <x:v>40781</x:v>
      </x:c>
      <x:c r="F775" s="106" t="str">
        <x:v>Kinh</x:v>
      </x:c>
      <x:c r="G775" s="68" t="str">
        <x:v>Xã Phước Long</x:v>
      </x:c>
      <x:c r="H775" s="68" t="str">
        <x:v>THCS Phước Long</x:v>
      </x:c>
      <x:c r="I775" s="68" t="str">
        <x:v>Xã Phước Long</x:v>
      </x:c>
      <x:c r="J775" s="124" t="n">
        <x:v>27.9</x:v>
      </x:c>
      <x:c r="K775" s="130" t="n">
        <x:v>30</x:v>
      </x:c>
      <x:c r="L775" s="124"/>
      <x:c r="M775" s="124"/>
      <x:c r="N775" s="124" t="n">
        <x:v>57.9</x:v>
      </x:c>
      <x:c r="O775" s="69" t="str"/>
    </x:row>
    <x:row r="776" ht="21" customHeight="1">
      <x:c r="A776" s="100" t="n">
        <x:v>772</x:v>
      </x:c>
      <x:c r="B776" s="172" t="n">
        <x:v>95211004782</x:v>
      </x:c>
      <x:c r="C776" s="68" t="str">
        <x:v>NGUYỄN QUỐC TƯỜNG</x:v>
      </x:c>
      <x:c r="D776" s="106" t="str"/>
      <x:c r="E776" s="118" t="n">
        <x:v>40901</x:v>
      </x:c>
      <x:c r="F776" s="106" t="str">
        <x:v>Kinh</x:v>
      </x:c>
      <x:c r="G776" s="68" t="str">
        <x:v>Xã Vĩnh Phước</x:v>
      </x:c>
      <x:c r="H776" s="68" t="str">
        <x:v>THCS Vĩnh Phú Tây</x:v>
      </x:c>
      <x:c r="I776" s="68" t="str">
        <x:v>Xã Vĩnh Phước</x:v>
      </x:c>
      <x:c r="J776" s="124" t="n">
        <x:v>26.9</x:v>
      </x:c>
      <x:c r="K776" s="130" t="n">
        <x:v>30</x:v>
      </x:c>
      <x:c r="L776" s="124" t="n">
        <x:v>1</x:v>
      </x:c>
      <x:c r="M776" s="124"/>
      <x:c r="N776" s="124" t="n">
        <x:v>57.9</x:v>
      </x:c>
      <x:c r="O776" s="69" t="str"/>
    </x:row>
    <x:row r="777" ht="21" customHeight="1">
      <x:c r="A777" s="100" t="n">
        <x:v>773</x:v>
      </x:c>
      <x:c r="B777" s="172" t="n">
        <x:v>95211005431</x:v>
      </x:c>
      <x:c r="C777" s="68" t="str">
        <x:v>TRẦN DUY SANG</x:v>
      </x:c>
      <x:c r="D777" s="106" t="str"/>
      <x:c r="E777" s="118" t="n">
        <x:v>40623</x:v>
      </x:c>
      <x:c r="F777" s="106" t="str">
        <x:v>Kinh</x:v>
      </x:c>
      <x:c r="G777" s="68" t="str">
        <x:v>Xã Vĩnh Phước</x:v>
      </x:c>
      <x:c r="H777" s="68" t="str">
        <x:v>THCS Vĩnh Phú Tây</x:v>
      </x:c>
      <x:c r="I777" s="68" t="str">
        <x:v>Xã Vĩnh Phước</x:v>
      </x:c>
      <x:c r="J777" s="124" t="n">
        <x:v>27.8</x:v>
      </x:c>
      <x:c r="K777" s="130" t="n">
        <x:v>30</x:v>
      </x:c>
      <x:c r="L777" s="124"/>
      <x:c r="M777" s="124"/>
      <x:c r="N777" s="124" t="n">
        <x:v>57.8</x:v>
      </x:c>
      <x:c r="O777" s="69" t="str"/>
    </x:row>
    <x:row r="778" ht="21" customHeight="1">
      <x:c r="A778" s="100" t="n">
        <x:v>774</x:v>
      </x:c>
      <x:c r="B778" s="172" t="n">
        <x:v>95211001485</x:v>
      </x:c>
      <x:c r="C778" s="68" t="str">
        <x:v>NGUYỄN CHÍ BẢO</x:v>
      </x:c>
      <x:c r="D778" s="106" t="str"/>
      <x:c r="E778" s="118" t="n">
        <x:v>40709</x:v>
      </x:c>
      <x:c r="F778" s="106" t="str">
        <x:v>Kinh</x:v>
      </x:c>
      <x:c r="G778" s="68" t="str">
        <x:v>Xã Vĩnh Phước</x:v>
      </x:c>
      <x:c r="H778" s="68" t="str">
        <x:v>THCS Vĩnh Phú Tây</x:v>
      </x:c>
      <x:c r="I778" s="68" t="str">
        <x:v>Xã Vĩnh Phước</x:v>
      </x:c>
      <x:c r="J778" s="124" t="n">
        <x:v>26.7</x:v>
      </x:c>
      <x:c r="K778" s="130" t="n">
        <x:v>30</x:v>
      </x:c>
      <x:c r="L778" s="124" t="n">
        <x:v>1</x:v>
      </x:c>
      <x:c r="M778" s="124"/>
      <x:c r="N778" s="124" t="n">
        <x:v>57.7</x:v>
      </x:c>
      <x:c r="O778" s="69" t="str"/>
    </x:row>
    <x:row r="779" ht="21" customHeight="1">
      <x:c r="A779" s="100" t="n">
        <x:v>775</x:v>
      </x:c>
      <x:c r="B779" s="172" t="n">
        <x:v>95211004153</x:v>
      </x:c>
      <x:c r="C779" s="68" t="str">
        <x:v>NGUYỄN TẤN ĐẠT</x:v>
      </x:c>
      <x:c r="D779" s="106" t="str"/>
      <x:c r="E779" s="118" t="n">
        <x:v>40820</x:v>
      </x:c>
      <x:c r="F779" s="106" t="str">
        <x:v>Kinh</x:v>
      </x:c>
      <x:c r="G779" s="68" t="str">
        <x:v>Xã Vĩnh Thanh</x:v>
      </x:c>
      <x:c r="H779" s="68" t="str">
        <x:v>THCS Hưng Phú</x:v>
      </x:c>
      <x:c r="I779" s="68" t="str">
        <x:v>Xã Vĩnh Thanh</x:v>
      </x:c>
      <x:c r="J779" s="124" t="n">
        <x:v>27.7</x:v>
      </x:c>
      <x:c r="K779" s="130" t="n">
        <x:v>30</x:v>
      </x:c>
      <x:c r="L779" s="124"/>
      <x:c r="M779" s="124"/>
      <x:c r="N779" s="124" t="n">
        <x:v>57.7</x:v>
      </x:c>
      <x:c r="O779" s="69" t="str"/>
    </x:row>
    <x:row r="780" ht="21" customHeight="1">
      <x:c r="A780" s="100" t="n">
        <x:v>776</x:v>
      </x:c>
      <x:c r="B780" s="172" t="n">
        <x:v>95211005094</x:v>
      </x:c>
      <x:c r="C780" s="68" t="str">
        <x:v>TRẦN VIỆT BẮC</x:v>
      </x:c>
      <x:c r="D780" s="106" t="str"/>
      <x:c r="E780" s="118" t="n">
        <x:v>40761</x:v>
      </x:c>
      <x:c r="F780" s="106" t="str">
        <x:v>Kinh</x:v>
      </x:c>
      <x:c r="G780" s="68" t="str">
        <x:v>Xã Hồng Dân</x:v>
      </x:c>
      <x:c r="H780" s="68" t="str">
        <x:v>THCS Phước Long</x:v>
      </x:c>
      <x:c r="I780" s="68" t="str">
        <x:v>Xã Vĩnh Phước</x:v>
      </x:c>
      <x:c r="J780" s="124" t="n">
        <x:v>27.7</x:v>
      </x:c>
      <x:c r="K780" s="130" t="n">
        <x:v>30</x:v>
      </x:c>
      <x:c r="L780" s="124"/>
      <x:c r="M780" s="124"/>
      <x:c r="N780" s="124" t="n">
        <x:v>57.7</x:v>
      </x:c>
      <x:c r="O780" s="69" t="str"/>
    </x:row>
    <x:row r="781" ht="21" customHeight="1">
      <x:c r="A781" s="100" t="n">
        <x:v>777</x:v>
      </x:c>
      <x:c r="B781" s="172" t="n">
        <x:v>95311001063</x:v>
      </x:c>
      <x:c r="C781" s="68" t="str">
        <x:v>TÔ TUYẾT BĂNG</x:v>
      </x:c>
      <x:c r="D781" s="106" t="str">
        <x:v>X</x:v>
      </x:c>
      <x:c r="E781" s="118" t="n">
        <x:v>40817</x:v>
      </x:c>
      <x:c r="F781" s="106" t="str">
        <x:v>Kinh</x:v>
      </x:c>
      <x:c r="G781" s="68" t="str">
        <x:v>Xã Phước Long</x:v>
      </x:c>
      <x:c r="H781" s="68" t="str">
        <x:v>THCS Phước Long</x:v>
      </x:c>
      <x:c r="I781" s="68" t="str">
        <x:v>Xã Phước Long</x:v>
      </x:c>
      <x:c r="J781" s="124" t="n">
        <x:v>27.6</x:v>
      </x:c>
      <x:c r="K781" s="130" t="n">
        <x:v>30</x:v>
      </x:c>
      <x:c r="L781" s="124"/>
      <x:c r="M781" s="124"/>
      <x:c r="N781" s="124" t="n">
        <x:v>57.6</x:v>
      </x:c>
      <x:c r="O781" s="69" t="str"/>
    </x:row>
    <x:row r="782" ht="21" customHeight="1">
      <x:c r="A782" s="100" t="n">
        <x:v>778</x:v>
      </x:c>
      <x:c r="B782" s="172" t="n">
        <x:v>95311006755</x:v>
      </x:c>
      <x:c r="C782" s="68" t="str">
        <x:v>NGUYỄN HỒNG CHÚC</x:v>
      </x:c>
      <x:c r="D782" s="106" t="str">
        <x:v>X</x:v>
      </x:c>
      <x:c r="E782" s="118" t="n">
        <x:v>40651</x:v>
      </x:c>
      <x:c r="F782" s="106" t="str">
        <x:v>Kinh</x:v>
      </x:c>
      <x:c r="G782" s="68" t="str">
        <x:v>Xã Vĩnh Thanh</x:v>
      </x:c>
      <x:c r="H782" s="68" t="str">
        <x:v>THCS Hưng Phú</x:v>
      </x:c>
      <x:c r="I782" s="68" t="str">
        <x:v>Xã Vĩnh Thanh</x:v>
      </x:c>
      <x:c r="J782" s="124" t="n">
        <x:v>27.6</x:v>
      </x:c>
      <x:c r="K782" s="130" t="n">
        <x:v>30</x:v>
      </x:c>
      <x:c r="L782" s="124"/>
      <x:c r="M782" s="124"/>
      <x:c r="N782" s="124" t="n">
        <x:v>57.6</x:v>
      </x:c>
      <x:c r="O782" s="69" t="str"/>
    </x:row>
    <x:row r="783" ht="21" customHeight="1">
      <x:c r="A783" s="100" t="n">
        <x:v>779</x:v>
      </x:c>
      <x:c r="B783" s="172" t="n">
        <x:v>96211004855</x:v>
      </x:c>
      <x:c r="C783" s="68" t="str">
        <x:v>ĐÀO ĐẶNG ĐĂNG KHOA</x:v>
      </x:c>
      <x:c r="D783" s="106" t="str"/>
      <x:c r="E783" s="118" t="n">
        <x:v>40747</x:v>
      </x:c>
      <x:c r="F783" s="106" t="str">
        <x:v>Kinh</x:v>
      </x:c>
      <x:c r="G783" s="68" t="str">
        <x:v>Xã Vĩnh Thanh</x:v>
      </x:c>
      <x:c r="H783" s="68" t="str">
        <x:v>THCS Hưng Phú</x:v>
      </x:c>
      <x:c r="I783" s="68" t="str">
        <x:v>Xã Vĩnh Thanh</x:v>
      </x:c>
      <x:c r="J783" s="124" t="n">
        <x:v>27.6</x:v>
      </x:c>
      <x:c r="K783" s="130" t="n">
        <x:v>30</x:v>
      </x:c>
      <x:c r="L783" s="124"/>
      <x:c r="M783" s="124"/>
      <x:c r="N783" s="124" t="n">
        <x:v>57.6</x:v>
      </x:c>
      <x:c r="O783" s="69" t="str"/>
    </x:row>
    <x:row r="784" ht="21" customHeight="1">
      <x:c r="A784" s="100" t="n">
        <x:v>780</x:v>
      </x:c>
      <x:c r="B784" s="172" t="n">
        <x:v>95311005205</x:v>
      </x:c>
      <x:c r="C784" s="68" t="str">
        <x:v>VÕ THỊ KIỀU</x:v>
      </x:c>
      <x:c r="D784" s="106" t="str">
        <x:v>X</x:v>
      </x:c>
      <x:c r="E784" s="118" t="n">
        <x:v>40787</x:v>
      </x:c>
      <x:c r="F784" s="106" t="str">
        <x:v>Kinh</x:v>
      </x:c>
      <x:c r="G784" s="68" t="str">
        <x:v>Xã Vĩnh Thanh</x:v>
      </x:c>
      <x:c r="H784" s="68" t="str">
        <x:v>THCS Vĩnh Thanh</x:v>
      </x:c>
      <x:c r="I784" s="68" t="str">
        <x:v>Xã Vĩnh Thanh</x:v>
      </x:c>
      <x:c r="J784" s="124" t="n">
        <x:v>27.6</x:v>
      </x:c>
      <x:c r="K784" s="130" t="n">
        <x:v>30</x:v>
      </x:c>
      <x:c r="L784" s="124"/>
      <x:c r="M784" s="124"/>
      <x:c r="N784" s="124" t="n">
        <x:v>57.6</x:v>
      </x:c>
      <x:c r="O784" s="69" t="str"/>
    </x:row>
    <x:row r="785" ht="21" customHeight="1">
      <x:c r="A785" s="100" t="n">
        <x:v>781</x:v>
      </x:c>
      <x:c r="B785" s="172" t="n">
        <x:v>95311003986</x:v>
      </x:c>
      <x:c r="C785" s="68" t="str">
        <x:v>CHÂU HIẾU NGHI</x:v>
      </x:c>
      <x:c r="D785" s="106" t="str">
        <x:v>X</x:v>
      </x:c>
      <x:c r="E785" s="118" t="n">
        <x:v>40794</x:v>
      </x:c>
      <x:c r="F785" s="106" t="str">
        <x:v>Kinh</x:v>
      </x:c>
      <x:c r="G785" s="68" t="str">
        <x:v>Xã Phước Long</x:v>
      </x:c>
      <x:c r="H785" s="68" t="str">
        <x:v>THCS Phước Long</x:v>
      </x:c>
      <x:c r="I785" s="68" t="str">
        <x:v>Xã Phước Long</x:v>
      </x:c>
      <x:c r="J785" s="124" t="n">
        <x:v>27.5</x:v>
      </x:c>
      <x:c r="K785" s="130" t="n">
        <x:v>30</x:v>
      </x:c>
      <x:c r="L785" s="124"/>
      <x:c r="M785" s="124"/>
      <x:c r="N785" s="124" t="n">
        <x:v>57.5</x:v>
      </x:c>
      <x:c r="O785" s="69" t="str"/>
    </x:row>
    <x:row r="786" ht="21" customHeight="1">
      <x:c r="A786" s="100" t="n">
        <x:v>782</x:v>
      </x:c>
      <x:c r="B786" s="172" t="n">
        <x:v>95211008828</x:v>
      </x:c>
      <x:c r="C786" s="68" t="str">
        <x:v>LÂM THÁI HỌC</x:v>
      </x:c>
      <x:c r="D786" s="106" t="str"/>
      <x:c r="E786" s="118" t="n">
        <x:v>40744</x:v>
      </x:c>
      <x:c r="F786" s="106" t="str">
        <x:v>Kinh</x:v>
      </x:c>
      <x:c r="G786" s="68" t="str">
        <x:v>Xã Phước Long</x:v>
      </x:c>
      <x:c r="H786" s="68" t="str">
        <x:v>THCS Phước Long</x:v>
      </x:c>
      <x:c r="I786" s="68" t="str">
        <x:v>Xã Phước Long</x:v>
      </x:c>
      <x:c r="J786" s="124" t="n">
        <x:v>27.5</x:v>
      </x:c>
      <x:c r="K786" s="130" t="n">
        <x:v>30</x:v>
      </x:c>
      <x:c r="L786" s="124"/>
      <x:c r="M786" s="124"/>
      <x:c r="N786" s="124" t="n">
        <x:v>57.5</x:v>
      </x:c>
      <x:c r="O786" s="69" t="str"/>
    </x:row>
    <x:row r="787" ht="21" customHeight="1">
      <x:c r="A787" s="100" t="n">
        <x:v>783</x:v>
      </x:c>
      <x:c r="B787" s="172" t="n">
        <x:v>96311005852</x:v>
      </x:c>
      <x:c r="C787" s="68" t="str">
        <x:v>BÙI NGỌC TRÂM</x:v>
      </x:c>
      <x:c r="D787" s="106" t="str">
        <x:v>X</x:v>
      </x:c>
      <x:c r="E787" s="118" t="n">
        <x:v>40811</x:v>
      </x:c>
      <x:c r="F787" s="106" t="str">
        <x:v>Kinh</x:v>
      </x:c>
      <x:c r="G787" s="68" t="str">
        <x:v>Xã Vĩnh Thanh</x:v>
      </x:c>
      <x:c r="H787" s="68" t="str">
        <x:v>THCS Vĩnh Thanh</x:v>
      </x:c>
      <x:c r="I787" s="68" t="str">
        <x:v>Xã Vĩnh Thanh</x:v>
      </x:c>
      <x:c r="J787" s="124" t="n">
        <x:v>27.5</x:v>
      </x:c>
      <x:c r="K787" s="130" t="n">
        <x:v>30</x:v>
      </x:c>
      <x:c r="L787" s="124"/>
      <x:c r="M787" s="124"/>
      <x:c r="N787" s="124" t="n">
        <x:v>57.5</x:v>
      </x:c>
      <x:c r="O787" s="69" t="str"/>
    </x:row>
    <x:row r="788" ht="21" customHeight="1">
      <x:c r="A788" s="100" t="n">
        <x:v>784</x:v>
      </x:c>
      <x:c r="B788" s="172" t="n">
        <x:v>91211014778</x:v>
      </x:c>
      <x:c r="C788" s="68" t="str">
        <x:v>NGUYỄN DƯƠNG HỮU TOÀN</x:v>
      </x:c>
      <x:c r="D788" s="106" t="str"/>
      <x:c r="E788" s="118" t="n">
        <x:v>40897</x:v>
      </x:c>
      <x:c r="F788" s="106" t="str">
        <x:v>Kinh</x:v>
      </x:c>
      <x:c r="G788" s="68" t="str">
        <x:v>Xã Phước Long</x:v>
      </x:c>
      <x:c r="H788" s="68" t="str">
        <x:v>THCS Phước Long</x:v>
      </x:c>
      <x:c r="I788" s="68" t="str">
        <x:v>Xã Vĩnh Phước</x:v>
      </x:c>
      <x:c r="J788" s="124" t="n">
        <x:v>27.5</x:v>
      </x:c>
      <x:c r="K788" s="130" t="n">
        <x:v>30</x:v>
      </x:c>
      <x:c r="L788" s="124"/>
      <x:c r="M788" s="124"/>
      <x:c r="N788" s="124" t="n">
        <x:v>57.5</x:v>
      </x:c>
      <x:c r="O788" s="69" t="str"/>
    </x:row>
    <x:row r="789" ht="21" customHeight="1">
      <x:c r="A789" s="100" t="n">
        <x:v>785</x:v>
      </x:c>
      <x:c r="B789" s="172" t="n">
        <x:v>95311008059</x:v>
      </x:c>
      <x:c r="C789" s="68" t="str">
        <x:v>DƯƠNG LÊ ANH THƯ</x:v>
      </x:c>
      <x:c r="D789" s="106" t="str">
        <x:v>X</x:v>
      </x:c>
      <x:c r="E789" s="118" t="n">
        <x:v>40600</x:v>
      </x:c>
      <x:c r="F789" s="106" t="str">
        <x:v>Kinh</x:v>
      </x:c>
      <x:c r="G789" s="68" t="str">
        <x:v>Xã Vĩnh Thanh</x:v>
      </x:c>
      <x:c r="H789" s="68" t="str">
        <x:v>THCS Hưng Phú</x:v>
      </x:c>
      <x:c r="I789" s="68" t="str">
        <x:v>Xã Vĩnh Thanh</x:v>
      </x:c>
      <x:c r="J789" s="124" t="n">
        <x:v>26.4</x:v>
      </x:c>
      <x:c r="K789" s="130" t="n">
        <x:v>31</x:v>
      </x:c>
      <x:c r="L789" s="124"/>
      <x:c r="M789" s="124"/>
      <x:c r="N789" s="124" t="n">
        <x:v>57.4</x:v>
      </x:c>
      <x:c r="O789" s="69" t="str"/>
    </x:row>
    <x:row r="790" ht="21" customHeight="1">
      <x:c r="A790" s="100" t="n">
        <x:v>786</x:v>
      </x:c>
      <x:c r="B790" s="172" t="n">
        <x:v>95311001655</x:v>
      </x:c>
      <x:c r="C790" s="68" t="str">
        <x:v>ĐẶNG THỊ HUYỀN TRÂN</x:v>
      </x:c>
      <x:c r="D790" s="106" t="str">
        <x:v>X</x:v>
      </x:c>
      <x:c r="E790" s="118" t="n">
        <x:v>40827</x:v>
      </x:c>
      <x:c r="F790" s="106" t="str">
        <x:v>Kinh</x:v>
      </x:c>
      <x:c r="G790" s="68" t="str">
        <x:v>Xã Vĩnh Thanh</x:v>
      </x:c>
      <x:c r="H790" s="68" t="str">
        <x:v>THCS Vĩnh Thanh</x:v>
      </x:c>
      <x:c r="I790" s="68" t="str">
        <x:v>Xã Vĩnh Thanh</x:v>
      </x:c>
      <x:c r="J790" s="124" t="n">
        <x:v>27.4</x:v>
      </x:c>
      <x:c r="K790" s="130" t="n">
        <x:v>30</x:v>
      </x:c>
      <x:c r="L790" s="124"/>
      <x:c r="M790" s="124"/>
      <x:c r="N790" s="124" t="n">
        <x:v>57.4</x:v>
      </x:c>
      <x:c r="O790" s="69" t="str"/>
    </x:row>
    <x:row r="791" ht="21" customHeight="1">
      <x:c r="A791" s="100" t="n">
        <x:v>787</x:v>
      </x:c>
      <x:c r="B791" s="172" t="n">
        <x:v>95211002809</x:v>
      </x:c>
      <x:c r="C791" s="68" t="str">
        <x:v>NGUYỄN VĂN TƯỜNG</x:v>
      </x:c>
      <x:c r="D791" s="106" t="str"/>
      <x:c r="E791" s="118" t="n">
        <x:v>40833</x:v>
      </x:c>
      <x:c r="F791" s="106" t="str">
        <x:v>Kinh</x:v>
      </x:c>
      <x:c r="G791" s="68" t="str">
        <x:v>Xã Vĩnh Phước</x:v>
      </x:c>
      <x:c r="H791" s="68" t="str">
        <x:v>THCS Vĩnh Thanh</x:v>
      </x:c>
      <x:c r="I791" s="68" t="str">
        <x:v>Xã Vĩnh Thanh</x:v>
      </x:c>
      <x:c r="J791" s="124" t="n">
        <x:v>26.4</x:v>
      </x:c>
      <x:c r="K791" s="130" t="n">
        <x:v>30</x:v>
      </x:c>
      <x:c r="L791" s="124" t="n">
        <x:v>1</x:v>
      </x:c>
      <x:c r="M791" s="124"/>
      <x:c r="N791" s="124" t="n">
        <x:v>57.4</x:v>
      </x:c>
      <x:c r="O791" s="69" t="str"/>
    </x:row>
    <x:row r="792" ht="21" customHeight="1">
      <x:c r="A792" s="100" t="n">
        <x:v>788</x:v>
      </x:c>
      <x:c r="B792" s="172" t="n">
        <x:v>95211005631</x:v>
      </x:c>
      <x:c r="C792" s="68" t="str">
        <x:v>TRẦN PHÚC KHANG</x:v>
      </x:c>
      <x:c r="D792" s="106" t="str"/>
      <x:c r="E792" s="118" t="n">
        <x:v>40756</x:v>
      </x:c>
      <x:c r="F792" s="106" t="str">
        <x:v>Kinh</x:v>
      </x:c>
      <x:c r="G792" s="68" t="str">
        <x:v>Xã Phước Long</x:v>
      </x:c>
      <x:c r="H792" s="68" t="str">
        <x:v>THCS Phước Long</x:v>
      </x:c>
      <x:c r="I792" s="68" t="str">
        <x:v>Xã Phước Long</x:v>
      </x:c>
      <x:c r="J792" s="124" t="n">
        <x:v>27.3</x:v>
      </x:c>
      <x:c r="K792" s="130" t="n">
        <x:v>30</x:v>
      </x:c>
      <x:c r="L792" s="124"/>
      <x:c r="M792" s="124"/>
      <x:c r="N792" s="124" t="n">
        <x:v>57.3</x:v>
      </x:c>
      <x:c r="O792" s="69" t="str"/>
    </x:row>
    <x:row r="793" ht="21" customHeight="1">
      <x:c r="A793" s="100" t="n">
        <x:v>789</x:v>
      </x:c>
      <x:c r="B793" s="172" t="n">
        <x:v>95211007392</x:v>
      </x:c>
      <x:c r="C793" s="68" t="str">
        <x:v>VƯƠNG GIA LÂM</x:v>
      </x:c>
      <x:c r="D793" s="106" t="str"/>
      <x:c r="E793" s="118" t="n">
        <x:v>40652</x:v>
      </x:c>
      <x:c r="F793" s="106" t="str">
        <x:v>Kinh</x:v>
      </x:c>
      <x:c r="G793" s="68" t="str">
        <x:v>Xã Phước Long</x:v>
      </x:c>
      <x:c r="H793" s="68" t="str">
        <x:v>THCS Phước Long</x:v>
      </x:c>
      <x:c r="I793" s="68" t="str">
        <x:v>Xã Phước Long</x:v>
      </x:c>
      <x:c r="J793" s="124" t="n">
        <x:v>27.3</x:v>
      </x:c>
      <x:c r="K793" s="130" t="n">
        <x:v>30</x:v>
      </x:c>
      <x:c r="L793" s="124"/>
      <x:c r="M793" s="124"/>
      <x:c r="N793" s="124" t="n">
        <x:v>57.3</x:v>
      </x:c>
      <x:c r="O793" s="69" t="str"/>
    </x:row>
    <x:row r="794" ht="21" customHeight="1">
      <x:c r="A794" s="100" t="n">
        <x:v>790</x:v>
      </x:c>
      <x:c r="B794" s="172" t="n">
        <x:v>95311004796</x:v>
      </x:c>
      <x:c r="C794" s="68" t="str">
        <x:v>HUỲNH KHÁNH BĂNG</x:v>
      </x:c>
      <x:c r="D794" s="106" t="str">
        <x:v>X</x:v>
      </x:c>
      <x:c r="E794" s="118" t="n">
        <x:v>40739</x:v>
      </x:c>
      <x:c r="F794" s="106" t="str">
        <x:v>Kinh</x:v>
      </x:c>
      <x:c r="G794" s="68" t="str">
        <x:v>Xã Vĩnh Thanh</x:v>
      </x:c>
      <x:c r="H794" s="68" t="str">
        <x:v>THCS Vĩnh Thanh</x:v>
      </x:c>
      <x:c r="I794" s="68" t="str">
        <x:v>Xã Vĩnh Thanh</x:v>
      </x:c>
      <x:c r="J794" s="124" t="n">
        <x:v>27.3</x:v>
      </x:c>
      <x:c r="K794" s="130" t="n">
        <x:v>30</x:v>
      </x:c>
      <x:c r="L794" s="124"/>
      <x:c r="M794" s="124"/>
      <x:c r="N794" s="124" t="n">
        <x:v>57.3</x:v>
      </x:c>
      <x:c r="O794" s="69" t="str"/>
    </x:row>
    <x:row r="795" ht="21" customHeight="1">
      <x:c r="A795" s="100" t="n">
        <x:v>791</x:v>
      </x:c>
      <x:c r="B795" s="172" t="n">
        <x:v>95311008234</x:v>
      </x:c>
      <x:c r="C795" s="68" t="str">
        <x:v>NGUYỄN ANH THƯ</x:v>
      </x:c>
      <x:c r="D795" s="106" t="str">
        <x:v>X</x:v>
      </x:c>
      <x:c r="E795" s="118" t="n">
        <x:v>40647</x:v>
      </x:c>
      <x:c r="F795" s="106" t="str">
        <x:v>Kinh</x:v>
      </x:c>
      <x:c r="G795" s="68" t="str">
        <x:v>Xã Phước Long</x:v>
      </x:c>
      <x:c r="H795" s="68" t="str">
        <x:v>THCS Phước Long</x:v>
      </x:c>
      <x:c r="I795" s="68" t="str">
        <x:v>Xã Phước Long</x:v>
      </x:c>
      <x:c r="J795" s="124" t="n">
        <x:v>27.2</x:v>
      </x:c>
      <x:c r="K795" s="130" t="n">
        <x:v>30</x:v>
      </x:c>
      <x:c r="L795" s="124"/>
      <x:c r="M795" s="124"/>
      <x:c r="N795" s="124" t="n">
        <x:v>57.2</x:v>
      </x:c>
      <x:c r="O795" s="69" t="str"/>
    </x:row>
    <x:row r="796" ht="21" customHeight="1">
      <x:c r="A796" s="100" t="n">
        <x:v>792</x:v>
      </x:c>
      <x:c r="B796" s="172" t="n">
        <x:v>95210006139</x:v>
      </x:c>
      <x:c r="C796" s="68" t="str">
        <x:v>TRƯƠNG VĂN KHA</x:v>
      </x:c>
      <x:c r="D796" s="106" t="str"/>
      <x:c r="E796" s="118" t="n">
        <x:v>40447</x:v>
      </x:c>
      <x:c r="F796" s="106" t="str">
        <x:v>Kinh</x:v>
      </x:c>
      <x:c r="G796" s="68" t="str">
        <x:v>Xã Vĩnh Thanh</x:v>
      </x:c>
      <x:c r="H796" s="68" t="str">
        <x:v>THCS Hưng Phú</x:v>
      </x:c>
      <x:c r="I796" s="68" t="str">
        <x:v>Xã Vĩnh Thanh</x:v>
      </x:c>
      <x:c r="J796" s="124" t="n">
        <x:v>27.2</x:v>
      </x:c>
      <x:c r="K796" s="130" t="n">
        <x:v>30</x:v>
      </x:c>
      <x:c r="L796" s="124"/>
      <x:c r="M796" s="124"/>
      <x:c r="N796" s="124" t="n">
        <x:v>57.2</x:v>
      </x:c>
      <x:c r="O796" s="69" t="str"/>
    </x:row>
    <x:row r="797" ht="21" customHeight="1">
      <x:c r="A797" s="100" t="n">
        <x:v>793</x:v>
      </x:c>
      <x:c r="B797" s="172" t="n">
        <x:v>95211009053</x:v>
      </x:c>
      <x:c r="C797" s="68" t="str">
        <x:v>PHAN KHÁNH TƯỜNG</x:v>
      </x:c>
      <x:c r="D797" s="106" t="str"/>
      <x:c r="E797" s="118" t="n">
        <x:v>40696</x:v>
      </x:c>
      <x:c r="F797" s="106" t="str">
        <x:v>Kinh</x:v>
      </x:c>
      <x:c r="G797" s="68" t="str">
        <x:v>Xã Vĩnh Thanh</x:v>
      </x:c>
      <x:c r="H797" s="68" t="str">
        <x:v>THCS Vĩnh Thanh</x:v>
      </x:c>
      <x:c r="I797" s="68" t="str">
        <x:v>Xã Vĩnh Thanh</x:v>
      </x:c>
      <x:c r="J797" s="124" t="n">
        <x:v>26.2</x:v>
      </x:c>
      <x:c r="K797" s="130" t="n">
        <x:v>31</x:v>
      </x:c>
      <x:c r="L797" s="124"/>
      <x:c r="M797" s="124"/>
      <x:c r="N797" s="124" t="n">
        <x:v>57.2</x:v>
      </x:c>
      <x:c r="O797" s="69" t="str"/>
    </x:row>
    <x:row r="798" ht="21" customHeight="1">
      <x:c r="A798" s="100" t="n">
        <x:v>794</x:v>
      </x:c>
      <x:c r="B798" s="172" t="n">
        <x:v>95211000529</x:v>
      </x:c>
      <x:c r="C798" s="68" t="str">
        <x:v>LÊ THUẬN PHÁT</x:v>
      </x:c>
      <x:c r="D798" s="106" t="str"/>
      <x:c r="E798" s="118" t="n">
        <x:v>40741</x:v>
      </x:c>
      <x:c r="F798" s="106" t="str">
        <x:v>Kinh</x:v>
      </x:c>
      <x:c r="G798" s="68" t="str">
        <x:v>Xã Vĩnh Phước</x:v>
      </x:c>
      <x:c r="H798" s="68" t="str">
        <x:v>THCS Phước Long</x:v>
      </x:c>
      <x:c r="I798" s="68" t="str">
        <x:v>Xã Phước Long</x:v>
      </x:c>
      <x:c r="J798" s="124" t="n">
        <x:v>26.6</x:v>
      </x:c>
      <x:c r="K798" s="130" t="n">
        <x:v>28</x:v>
      </x:c>
      <x:c r="L798" s="124" t="n">
        <x:v>1</x:v>
      </x:c>
      <x:c r="M798" s="124" t="n">
        <x:v>1.5</x:v>
      </x:c>
      <x:c r="N798" s="124" t="n">
        <x:v>57.1</x:v>
      </x:c>
      <x:c r="O798" s="69" t="str"/>
    </x:row>
    <x:row r="799" ht="21" customHeight="1">
      <x:c r="A799" s="100" t="n">
        <x:v>795</x:v>
      </x:c>
      <x:c r="B799" s="172" t="n">
        <x:v>95211006714</x:v>
      </x:c>
      <x:c r="C799" s="68" t="str">
        <x:v>DƯƠNG LƯU VÀNG</x:v>
      </x:c>
      <x:c r="D799" s="106" t="str"/>
      <x:c r="E799" s="118" t="n">
        <x:v>40757</x:v>
      </x:c>
      <x:c r="F799" s="106" t="str">
        <x:v>Kinh</x:v>
      </x:c>
      <x:c r="G799" s="68" t="str">
        <x:v>Xã Vĩnh Phước</x:v>
      </x:c>
      <x:c r="H799" s="68" t="str">
        <x:v>THCS Phước Long</x:v>
      </x:c>
      <x:c r="I799" s="68" t="str">
        <x:v>Xã Phước Long</x:v>
      </x:c>
      <x:c r="J799" s="124" t="n">
        <x:v>27.1</x:v>
      </x:c>
      <x:c r="K799" s="130" t="n">
        <x:v>30</x:v>
      </x:c>
      <x:c r="L799" s="124"/>
      <x:c r="M799" s="124"/>
      <x:c r="N799" s="124" t="n">
        <x:v>57.1</x:v>
      </x:c>
      <x:c r="O799" s="69" t="str"/>
    </x:row>
    <x:row r="800" ht="21" customHeight="1">
      <x:c r="A800" s="100" t="n">
        <x:v>796</x:v>
      </x:c>
      <x:c r="B800" s="172" t="n">
        <x:v>95311000383</x:v>
      </x:c>
      <x:c r="C800" s="68" t="str">
        <x:v>ĐOÀN THÚY VY</x:v>
      </x:c>
      <x:c r="D800" s="106" t="str">
        <x:v>X</x:v>
      </x:c>
      <x:c r="E800" s="118" t="n">
        <x:v>40828</x:v>
      </x:c>
      <x:c r="F800" s="106" t="str">
        <x:v>Kinh</x:v>
      </x:c>
      <x:c r="G800" s="68" t="str">
        <x:v>Xã Vĩnh Thanh</x:v>
      </x:c>
      <x:c r="H800" s="68" t="str">
        <x:v>THCS Vĩnh Phú Tây</x:v>
      </x:c>
      <x:c r="I800" s="68" t="str">
        <x:v>Xã Vĩnh Phước</x:v>
      </x:c>
      <x:c r="J800" s="124" t="n">
        <x:v>26</x:v>
      </x:c>
      <x:c r="K800" s="130" t="n">
        <x:v>30</x:v>
      </x:c>
      <x:c r="L800" s="124" t="n">
        <x:v>1</x:v>
      </x:c>
      <x:c r="M800" s="124"/>
      <x:c r="N800" s="124" t="n">
        <x:v>57</x:v>
      </x:c>
      <x:c r="O800" s="69" t="str"/>
    </x:row>
    <x:row r="801" ht="21" customHeight="1">
      <x:c r="A801" s="100" t="n">
        <x:v>797</x:v>
      </x:c>
      <x:c r="B801" s="172" t="n">
        <x:v>95211006982</x:v>
      </x:c>
      <x:c r="C801" s="68" t="str">
        <x:v>NGUYỄN PHÚ LÂM</x:v>
      </x:c>
      <x:c r="D801" s="106" t="str"/>
      <x:c r="E801" s="118" t="n">
        <x:v>40881</x:v>
      </x:c>
      <x:c r="F801" s="106" t="str">
        <x:v>Kinh</x:v>
      </x:c>
      <x:c r="G801" s="68" t="str">
        <x:v>Xã Vĩnh Thanh</x:v>
      </x:c>
      <x:c r="H801" s="68" t="str">
        <x:v>THCS Hưng Phú</x:v>
      </x:c>
      <x:c r="I801" s="68" t="str">
        <x:v>Xã Vĩnh Thanh</x:v>
      </x:c>
      <x:c r="J801" s="124" t="n">
        <x:v>27</x:v>
      </x:c>
      <x:c r="K801" s="130" t="n">
        <x:v>30</x:v>
      </x:c>
      <x:c r="L801" s="124"/>
      <x:c r="M801" s="124"/>
      <x:c r="N801" s="124" t="n">
        <x:v>57</x:v>
      </x:c>
      <x:c r="O801" s="69" t="str"/>
    </x:row>
    <x:row r="802" ht="21" customHeight="1">
      <x:c r="A802" s="100" t="n">
        <x:v>798</x:v>
      </x:c>
      <x:c r="B802" s="172" t="n">
        <x:v>96211003144</x:v>
      </x:c>
      <x:c r="C802" s="68" t="str">
        <x:v>TRƯƠNG CÔNG QUẢN</x:v>
      </x:c>
      <x:c r="D802" s="106" t="str"/>
      <x:c r="E802" s="118" t="n">
        <x:v>40689</x:v>
      </x:c>
      <x:c r="F802" s="106" t="str">
        <x:v>Kinh</x:v>
      </x:c>
      <x:c r="G802" s="68" t="str">
        <x:v>Xã Phước Long</x:v>
      </x:c>
      <x:c r="H802" s="68" t="str">
        <x:v>THCS Vương Hữu Nhơn</x:v>
      </x:c>
      <x:c r="I802" s="68" t="str">
        <x:v>Xã Phước Long</x:v>
      </x:c>
      <x:c r="J802" s="124" t="n">
        <x:v>27</x:v>
      </x:c>
      <x:c r="K802" s="130" t="n">
        <x:v>30</x:v>
      </x:c>
      <x:c r="L802" s="124"/>
      <x:c r="M802" s="124"/>
      <x:c r="N802" s="124" t="n">
        <x:v>57</x:v>
      </x:c>
      <x:c r="O802" s="69" t="str"/>
    </x:row>
    <x:row r="803" ht="21" customHeight="1">
      <x:c r="A803" s="100" t="n">
        <x:v>799</x:v>
      </x:c>
      <x:c r="B803" s="172" t="n">
        <x:v>96211013692</x:v>
      </x:c>
      <x:c r="C803" s="68" t="str">
        <x:v>TRẦN LINH NHI</x:v>
      </x:c>
      <x:c r="D803" s="106" t="str"/>
      <x:c r="E803" s="118" t="n">
        <x:v>40786</x:v>
      </x:c>
      <x:c r="F803" s="106" t="str">
        <x:v>Kinh</x:v>
      </x:c>
      <x:c r="G803" s="68" t="str">
        <x:v>Xã Vĩnh Thanh</x:v>
      </x:c>
      <x:c r="H803" s="68" t="str">
        <x:v>THCS Hưng Phú</x:v>
      </x:c>
      <x:c r="I803" s="68" t="str">
        <x:v>Xã Vĩnh Thanh</x:v>
      </x:c>
      <x:c r="J803" s="124" t="n">
        <x:v>26</x:v>
      </x:c>
      <x:c r="K803" s="130" t="n">
        <x:v>30</x:v>
      </x:c>
      <x:c r="L803" s="124"/>
      <x:c r="M803" s="124" t="n">
        <x:v>1</x:v>
      </x:c>
      <x:c r="N803" s="124" t="n">
        <x:v>57</x:v>
      </x:c>
      <x:c r="O803" s="69" t="str"/>
    </x:row>
    <x:row r="804" ht="21" customHeight="1">
      <x:c r="A804" s="100" t="n">
        <x:v>800</x:v>
      </x:c>
      <x:c r="B804" s="172" t="n">
        <x:v>95311009027</x:v>
      </x:c>
      <x:c r="C804" s="68" t="str">
        <x:v>NGUYỄN THỊ NGỌC HƠN</x:v>
      </x:c>
      <x:c r="D804" s="106" t="str">
        <x:v>X</x:v>
      </x:c>
      <x:c r="E804" s="118" t="n">
        <x:v>40755</x:v>
      </x:c>
      <x:c r="F804" s="106" t="str">
        <x:v>Kinh</x:v>
      </x:c>
      <x:c r="G804" s="68" t="str">
        <x:v>Xã Phước Long</x:v>
      </x:c>
      <x:c r="H804" s="68" t="str">
        <x:v>THCS Vĩnh Thanh</x:v>
      </x:c>
      <x:c r="I804" s="68" t="str">
        <x:v>Xã Vĩnh Thanh</x:v>
      </x:c>
      <x:c r="J804" s="124" t="n">
        <x:v>26.9</x:v>
      </x:c>
      <x:c r="K804" s="130" t="n">
        <x:v>30</x:v>
      </x:c>
      <x:c r="L804" s="124"/>
      <x:c r="M804" s="124"/>
      <x:c r="N804" s="124" t="n">
        <x:v>56.9</x:v>
      </x:c>
      <x:c r="O804" s="69" t="str"/>
    </x:row>
    <x:row r="805" ht="21" customHeight="1">
      <x:c r="A805" s="100" t="n">
        <x:v>801</x:v>
      </x:c>
      <x:c r="B805" s="172" t="n">
        <x:v>95211000548</x:v>
      </x:c>
      <x:c r="C805" s="68" t="str">
        <x:v>VÕ DUY KHÁNH</x:v>
      </x:c>
      <x:c r="D805" s="106" t="str"/>
      <x:c r="E805" s="118" t="n">
        <x:v>40842</x:v>
      </x:c>
      <x:c r="F805" s="106" t="str">
        <x:v>Kinh</x:v>
      </x:c>
      <x:c r="G805" s="68" t="str">
        <x:v>Xã Vĩnh Thanh</x:v>
      </x:c>
      <x:c r="H805" s="68" t="str">
        <x:v>THCS Vĩnh Thanh</x:v>
      </x:c>
      <x:c r="I805" s="68" t="str">
        <x:v>Xã Vĩnh Thanh</x:v>
      </x:c>
      <x:c r="J805" s="124" t="n">
        <x:v>26.9</x:v>
      </x:c>
      <x:c r="K805" s="130" t="n">
        <x:v>30</x:v>
      </x:c>
      <x:c r="L805" s="124"/>
      <x:c r="M805" s="124"/>
      <x:c r="N805" s="124" t="n">
        <x:v>56.9</x:v>
      </x:c>
      <x:c r="O805" s="69" t="str"/>
    </x:row>
    <x:row r="806" ht="21" customHeight="1">
      <x:c r="A806" s="100" t="n">
        <x:v>802</x:v>
      </x:c>
      <x:c r="B806" s="172" t="n">
        <x:v>95211009912</x:v>
      </x:c>
      <x:c r="C806" s="68" t="str">
        <x:v>NGUYỄN KHÁNH BĂNG</x:v>
      </x:c>
      <x:c r="D806" s="106" t="str"/>
      <x:c r="E806" s="118" t="n">
        <x:v>40575</x:v>
      </x:c>
      <x:c r="F806" s="106" t="str">
        <x:v>Kinh</x:v>
      </x:c>
      <x:c r="G806" s="68" t="str">
        <x:v>Xã Vĩnh Phước</x:v>
      </x:c>
      <x:c r="H806" s="68" t="str">
        <x:v>THCS Phước Long</x:v>
      </x:c>
      <x:c r="I806" s="68" t="str">
        <x:v>Xã Phước Long</x:v>
      </x:c>
      <x:c r="J806" s="124" t="n">
        <x:v>27.8</x:v>
      </x:c>
      <x:c r="K806" s="130" t="n">
        <x:v>29</x:v>
      </x:c>
      <x:c r="L806" s="124"/>
      <x:c r="M806" s="124"/>
      <x:c r="N806" s="124" t="n">
        <x:v>56.8</x:v>
      </x:c>
      <x:c r="O806" s="69" t="str"/>
    </x:row>
    <x:row r="807" ht="21" customHeight="1">
      <x:c r="A807" s="100" t="n">
        <x:v>803</x:v>
      </x:c>
      <x:c r="B807" s="172" t="n">
        <x:v>95211004887</x:v>
      </x:c>
      <x:c r="C807" s="68" t="str">
        <x:v>NGUYỄN GIA KIỆT</x:v>
      </x:c>
      <x:c r="D807" s="106" t="str"/>
      <x:c r="E807" s="118" t="n">
        <x:v>40830</x:v>
      </x:c>
      <x:c r="F807" s="106" t="str">
        <x:v>Kinh</x:v>
      </x:c>
      <x:c r="G807" s="68" t="str">
        <x:v>Xã Vĩnh Phước</x:v>
      </x:c>
      <x:c r="H807" s="68" t="str">
        <x:v>THCS Phước Long</x:v>
      </x:c>
      <x:c r="I807" s="68" t="str">
        <x:v>Xã Phước Long</x:v>
      </x:c>
      <x:c r="J807" s="124" t="n">
        <x:v>26.8</x:v>
      </x:c>
      <x:c r="K807" s="130" t="n">
        <x:v>30</x:v>
      </x:c>
      <x:c r="L807" s="124"/>
      <x:c r="M807" s="124"/>
      <x:c r="N807" s="124" t="n">
        <x:v>56.8</x:v>
      </x:c>
      <x:c r="O807" s="69" t="str"/>
    </x:row>
    <x:row r="808" ht="21" customHeight="1">
      <x:c r="A808" s="100" t="n">
        <x:v>804</x:v>
      </x:c>
      <x:c r="B808" s="172" t="n">
        <x:v>95211007373</x:v>
      </x:c>
      <x:c r="C808" s="68" t="str">
        <x:v>HUỲNH VĂN THỨ</x:v>
      </x:c>
      <x:c r="D808" s="106" t="str"/>
      <x:c r="E808" s="118" t="n">
        <x:v>40812</x:v>
      </x:c>
      <x:c r="F808" s="106" t="str">
        <x:v>Kinh</x:v>
      </x:c>
      <x:c r="G808" s="68" t="str">
        <x:v>Xã Vĩnh Thanh</x:v>
      </x:c>
      <x:c r="H808" s="68" t="str">
        <x:v>THCS Hưng Phú</x:v>
      </x:c>
      <x:c r="I808" s="68" t="str">
        <x:v>Xã Vĩnh Thanh</x:v>
      </x:c>
      <x:c r="J808" s="124" t="n">
        <x:v>26.8</x:v>
      </x:c>
      <x:c r="K808" s="130" t="n">
        <x:v>30</x:v>
      </x:c>
      <x:c r="L808" s="124"/>
      <x:c r="M808" s="124"/>
      <x:c r="N808" s="124" t="n">
        <x:v>56.8</x:v>
      </x:c>
      <x:c r="O808" s="69" t="str"/>
    </x:row>
    <x:row r="809" ht="21" customHeight="1">
      <x:c r="A809" s="100" t="n">
        <x:v>805</x:v>
      </x:c>
      <x:c r="B809" s="172" t="n">
        <x:v>95311004978</x:v>
      </x:c>
      <x:c r="C809" s="68" t="str">
        <x:v>NGUYỄN THỊ MỘNG NGHI</x:v>
      </x:c>
      <x:c r="D809" s="106" t="str">
        <x:v>X</x:v>
      </x:c>
      <x:c r="E809" s="118" t="n">
        <x:v>40714</x:v>
      </x:c>
      <x:c r="F809" s="106" t="str">
        <x:v>Kinh</x:v>
      </x:c>
      <x:c r="G809" s="68" t="str">
        <x:v>Xã Vĩnh Thanh</x:v>
      </x:c>
      <x:c r="H809" s="68" t="str">
        <x:v>THCS Vĩnh Thanh</x:v>
      </x:c>
      <x:c r="I809" s="68" t="str">
        <x:v>Xã Vĩnh Thanh</x:v>
      </x:c>
      <x:c r="J809" s="124" t="n">
        <x:v>26.8</x:v>
      </x:c>
      <x:c r="K809" s="130" t="n">
        <x:v>30</x:v>
      </x:c>
      <x:c r="L809" s="124"/>
      <x:c r="M809" s="124"/>
      <x:c r="N809" s="124" t="n">
        <x:v>56.8</x:v>
      </x:c>
      <x:c r="O809" s="69" t="str"/>
    </x:row>
    <x:row r="810" ht="21" customHeight="1">
      <x:c r="A810" s="100" t="n">
        <x:v>806</x:v>
      </x:c>
      <x:c r="B810" s="172" t="n">
        <x:v>95211009242</x:v>
      </x:c>
      <x:c r="C810" s="68" t="str">
        <x:v>TRẦN BÌNH KHANG</x:v>
      </x:c>
      <x:c r="D810" s="106" t="str"/>
      <x:c r="E810" s="118" t="n">
        <x:v>40888</x:v>
      </x:c>
      <x:c r="F810" s="106" t="str">
        <x:v>Kinh</x:v>
      </x:c>
      <x:c r="G810" s="68" t="str">
        <x:v>Xã Phước Long</x:v>
      </x:c>
      <x:c r="H810" s="68" t="str">
        <x:v>THCS Phước Long</x:v>
      </x:c>
      <x:c r="I810" s="68" t="str">
        <x:v>Xã Vĩnh Phước</x:v>
      </x:c>
      <x:c r="J810" s="124" t="n">
        <x:v>27.7</x:v>
      </x:c>
      <x:c r="K810" s="130" t="n">
        <x:v>29</x:v>
      </x:c>
      <x:c r="L810" s="124"/>
      <x:c r="M810" s="124"/>
      <x:c r="N810" s="124" t="n">
        <x:v>56.7</x:v>
      </x:c>
      <x:c r="O810" s="69" t="str"/>
    </x:row>
    <x:row r="811" ht="21" customHeight="1">
      <x:c r="A811" s="100" t="n">
        <x:v>807</x:v>
      </x:c>
      <x:c r="B811" s="172" t="n">
        <x:v>95311001230</x:v>
      </x:c>
      <x:c r="C811" s="68" t="str">
        <x:v>TRẦN NGỌC ĐOAN</x:v>
      </x:c>
      <x:c r="D811" s="106" t="str">
        <x:v>X</x:v>
      </x:c>
      <x:c r="E811" s="118" t="n">
        <x:v>40793</x:v>
      </x:c>
      <x:c r="F811" s="106" t="str">
        <x:v>Kinh</x:v>
      </x:c>
      <x:c r="G811" s="68" t="str">
        <x:v>Xã Vĩnh Thanh</x:v>
      </x:c>
      <x:c r="H811" s="68" t="str">
        <x:v>THCS Phước Long</x:v>
      </x:c>
      <x:c r="I811" s="68" t="str">
        <x:v>Xã Vĩnh Thanh</x:v>
      </x:c>
      <x:c r="J811" s="124" t="n">
        <x:v>26.6</x:v>
      </x:c>
      <x:c r="K811" s="130" t="n">
        <x:v>30</x:v>
      </x:c>
      <x:c r="L811" s="124"/>
      <x:c r="M811" s="124"/>
      <x:c r="N811" s="124" t="n">
        <x:v>56.6</x:v>
      </x:c>
      <x:c r="O811" s="69" t="str"/>
    </x:row>
    <x:row r="812" ht="21" customHeight="1">
      <x:c r="A812" s="100" t="n">
        <x:v>808</x:v>
      </x:c>
      <x:c r="B812" s="172" t="n">
        <x:v>95311006233</x:v>
      </x:c>
      <x:c r="C812" s="68" t="str">
        <x:v>LÊ NHẬT TUYỀN</x:v>
      </x:c>
      <x:c r="D812" s="106" t="str">
        <x:v>X</x:v>
      </x:c>
      <x:c r="E812" s="118" t="n">
        <x:v>40573</x:v>
      </x:c>
      <x:c r="F812" s="106" t="str">
        <x:v>Kinh</x:v>
      </x:c>
      <x:c r="G812" s="68" t="str">
        <x:v>Xã Vĩnh Thanh</x:v>
      </x:c>
      <x:c r="H812" s="68" t="str">
        <x:v>THCS Hưng Phú</x:v>
      </x:c>
      <x:c r="I812" s="68" t="str">
        <x:v>Xã Vĩnh Thanh</x:v>
      </x:c>
      <x:c r="J812" s="124" t="n">
        <x:v>26.6</x:v>
      </x:c>
      <x:c r="K812" s="130" t="n">
        <x:v>30</x:v>
      </x:c>
      <x:c r="L812" s="124"/>
      <x:c r="M812" s="124"/>
      <x:c r="N812" s="124" t="n">
        <x:v>56.6</x:v>
      </x:c>
      <x:c r="O812" s="69" t="str"/>
    </x:row>
    <x:row r="813" ht="21" customHeight="1">
      <x:c r="A813" s="100" t="n">
        <x:v>809</x:v>
      </x:c>
      <x:c r="B813" s="172" t="n">
        <x:v>95311005227</x:v>
      </x:c>
      <x:c r="C813" s="68" t="str">
        <x:v>NGUYỄN VÕ NHÃ THƯ</x:v>
      </x:c>
      <x:c r="D813" s="106" t="str">
        <x:v>X</x:v>
      </x:c>
      <x:c r="E813" s="118" t="n">
        <x:v>40810</x:v>
      </x:c>
      <x:c r="F813" s="106" t="str">
        <x:v>Kinh</x:v>
      </x:c>
      <x:c r="G813" s="68" t="str">
        <x:v>Xã Vĩnh Phước</x:v>
      </x:c>
      <x:c r="H813" s="68" t="str">
        <x:v>THCS Phước Long</x:v>
      </x:c>
      <x:c r="I813" s="68" t="str">
        <x:v>Xã Phước Long</x:v>
      </x:c>
      <x:c r="J813" s="124" t="n">
        <x:v>26.5</x:v>
      </x:c>
      <x:c r="K813" s="130" t="n">
        <x:v>30</x:v>
      </x:c>
      <x:c r="L813" s="124"/>
      <x:c r="M813" s="124"/>
      <x:c r="N813" s="124" t="n">
        <x:v>56.5</x:v>
      </x:c>
      <x:c r="O813" s="69" t="str"/>
    </x:row>
    <x:row r="814" ht="21" customHeight="1">
      <x:c r="A814" s="100" t="n">
        <x:v>810</x:v>
      </x:c>
      <x:c r="B814" s="172" t="n">
        <x:v>95211008112</x:v>
      </x:c>
      <x:c r="C814" s="68" t="str">
        <x:v>LƯU ĐĂNG KHÔI</x:v>
      </x:c>
      <x:c r="D814" s="106" t="str"/>
      <x:c r="E814" s="118" t="n">
        <x:v>40716</x:v>
      </x:c>
      <x:c r="F814" s="106" t="str">
        <x:v>Kinh</x:v>
      </x:c>
      <x:c r="G814" s="68" t="str">
        <x:v>Xã Vĩnh Thanh</x:v>
      </x:c>
      <x:c r="H814" s="68" t="str">
        <x:v>THCS Vĩnh Thanh</x:v>
      </x:c>
      <x:c r="I814" s="68" t="str">
        <x:v>Xã Vĩnh Thanh</x:v>
      </x:c>
      <x:c r="J814" s="124" t="n">
        <x:v>26.5</x:v>
      </x:c>
      <x:c r="K814" s="130" t="n">
        <x:v>30</x:v>
      </x:c>
      <x:c r="L814" s="124"/>
      <x:c r="M814" s="124"/>
      <x:c r="N814" s="124" t="n">
        <x:v>56.5</x:v>
      </x:c>
      <x:c r="O814" s="69" t="str"/>
    </x:row>
    <x:row r="815" ht="21" customHeight="1">
      <x:c r="A815" s="100" t="n">
        <x:v>811</x:v>
      </x:c>
      <x:c r="B815" s="172" t="n">
        <x:v>95311006453</x:v>
      </x:c>
      <x:c r="C815" s="68" t="str">
        <x:v>TÔ THỊ NGỌC NHI</x:v>
      </x:c>
      <x:c r="D815" s="106" t="str">
        <x:v>X</x:v>
      </x:c>
      <x:c r="E815" s="118" t="n">
        <x:v>40859</x:v>
      </x:c>
      <x:c r="F815" s="106" t="str">
        <x:v>Kinh</x:v>
      </x:c>
      <x:c r="G815" s="68" t="str">
        <x:v>Xã Vĩnh Phước</x:v>
      </x:c>
      <x:c r="H815" s="68" t="str">
        <x:v>THCS Vĩnh Phú Tây</x:v>
      </x:c>
      <x:c r="I815" s="68" t="str">
        <x:v>Xã Vĩnh Phước</x:v>
      </x:c>
      <x:c r="J815" s="124" t="n">
        <x:v>26.3</x:v>
      </x:c>
      <x:c r="K815" s="130" t="n">
        <x:v>30</x:v>
      </x:c>
      <x:c r="L815" s="124"/>
      <x:c r="M815" s="124"/>
      <x:c r="N815" s="124" t="n">
        <x:v>56.3</x:v>
      </x:c>
      <x:c r="O815" s="69" t="str"/>
    </x:row>
    <x:row r="816" ht="21" customHeight="1">
      <x:c r="A816" s="100" t="n">
        <x:v>812</x:v>
      </x:c>
      <x:c r="B816" s="172" t="n">
        <x:v>95311007906</x:v>
      </x:c>
      <x:c r="C816" s="68" t="str">
        <x:v>BÙI NGỌC CẨM</x:v>
      </x:c>
      <x:c r="D816" s="106" t="str">
        <x:v>X</x:v>
      </x:c>
      <x:c r="E816" s="118" t="n">
        <x:v>40577</x:v>
      </x:c>
      <x:c r="F816" s="106" t="str">
        <x:v>Kinh</x:v>
      </x:c>
      <x:c r="G816" s="68" t="str">
        <x:v>Xã Phước Long</x:v>
      </x:c>
      <x:c r="H816" s="68" t="str">
        <x:v>THCS Phước Long</x:v>
      </x:c>
      <x:c r="I816" s="68" t="str">
        <x:v>Xã Phước Long</x:v>
      </x:c>
      <x:c r="J816" s="124" t="n">
        <x:v>26.3</x:v>
      </x:c>
      <x:c r="K816" s="130" t="n">
        <x:v>30</x:v>
      </x:c>
      <x:c r="L816" s="124"/>
      <x:c r="M816" s="124"/>
      <x:c r="N816" s="124" t="n">
        <x:v>56.3</x:v>
      </x:c>
      <x:c r="O816" s="69" t="str"/>
    </x:row>
    <x:row r="817" ht="21" customHeight="1">
      <x:c r="A817" s="100" t="n">
        <x:v>813</x:v>
      </x:c>
      <x:c r="B817" s="172" t="n">
        <x:v>95211000514</x:v>
      </x:c>
      <x:c r="C817" s="68" t="str">
        <x:v>LÊ BẢO AN</x:v>
      </x:c>
      <x:c r="D817" s="106" t="str"/>
      <x:c r="E817" s="118" t="n">
        <x:v>40617</x:v>
      </x:c>
      <x:c r="F817" s="106" t="str">
        <x:v>Kinh</x:v>
      </x:c>
      <x:c r="G817" s="68" t="str">
        <x:v>Xã Phước Long</x:v>
      </x:c>
      <x:c r="H817" s="68" t="str">
        <x:v>THCS Vĩnh Thanh</x:v>
      </x:c>
      <x:c r="I817" s="68" t="str">
        <x:v>Xã Vĩnh Thanh</x:v>
      </x:c>
      <x:c r="J817" s="124" t="n">
        <x:v>26.3</x:v>
      </x:c>
      <x:c r="K817" s="130" t="n">
        <x:v>30</x:v>
      </x:c>
      <x:c r="L817" s="124"/>
      <x:c r="M817" s="124"/>
      <x:c r="N817" s="124" t="n">
        <x:v>56.3</x:v>
      </x:c>
      <x:c r="O817" s="69" t="str"/>
    </x:row>
    <x:row r="818" ht="21" customHeight="1">
      <x:c r="A818" s="100" t="n">
        <x:v>814</x:v>
      </x:c>
      <x:c r="B818" s="172" t="n">
        <x:v>95211000370</x:v>
      </x:c>
      <x:c r="C818" s="68" t="str">
        <x:v>LÂM VĂN NHƯỜNG</x:v>
      </x:c>
      <x:c r="D818" s="106" t="str"/>
      <x:c r="E818" s="118" t="n">
        <x:v>40870</x:v>
      </x:c>
      <x:c r="F818" s="106" t="str">
        <x:v>Kinh</x:v>
      </x:c>
      <x:c r="G818" s="68" t="str">
        <x:v>Xã Vĩnh Thanh</x:v>
      </x:c>
      <x:c r="H818" s="68" t="str">
        <x:v>THCS Vương Hữu Nhơn</x:v>
      </x:c>
      <x:c r="I818" s="68" t="str">
        <x:v>Xã Phước Long</x:v>
      </x:c>
      <x:c r="J818" s="124" t="n">
        <x:v>27.3</x:v>
      </x:c>
      <x:c r="K818" s="130" t="n">
        <x:v>29</x:v>
      </x:c>
      <x:c r="L818" s="124"/>
      <x:c r="M818" s="124"/>
      <x:c r="N818" s="124" t="n">
        <x:v>56.3</x:v>
      </x:c>
      <x:c r="O818" s="69" t="str"/>
    </x:row>
    <x:row r="819" ht="21" customHeight="1">
      <x:c r="A819" s="100" t="n">
        <x:v>815</x:v>
      </x:c>
      <x:c r="B819" s="172" t="n">
        <x:v>96311012877</x:v>
      </x:c>
      <x:c r="C819" s="68" t="str">
        <x:v>VÕ ANH THƯ</x:v>
      </x:c>
      <x:c r="D819" s="106" t="str">
        <x:v>X</x:v>
      </x:c>
      <x:c r="E819" s="118" t="n">
        <x:v>40694</x:v>
      </x:c>
      <x:c r="F819" s="106" t="str">
        <x:v>Kinh</x:v>
      </x:c>
      <x:c r="G819" s="68" t="str">
        <x:v>Xã Phước Long</x:v>
      </x:c>
      <x:c r="H819" s="68" t="str">
        <x:v>THCS Vĩnh Thanh</x:v>
      </x:c>
      <x:c r="I819" s="68" t="str">
        <x:v>Xã Vĩnh Thanh</x:v>
      </x:c>
      <x:c r="J819" s="124" t="n">
        <x:v>26.2</x:v>
      </x:c>
      <x:c r="K819" s="130" t="n">
        <x:v>30</x:v>
      </x:c>
      <x:c r="L819" s="124"/>
      <x:c r="M819" s="124"/>
      <x:c r="N819" s="124" t="n">
        <x:v>56.2</x:v>
      </x:c>
      <x:c r="O819" s="69" t="str"/>
    </x:row>
    <x:row r="820" ht="21" customHeight="1">
      <x:c r="A820" s="100" t="n">
        <x:v>816</x:v>
      </x:c>
      <x:c r="B820" s="172" t="n">
        <x:v>95211009227</x:v>
      </x:c>
      <x:c r="C820" s="68" t="str">
        <x:v>NGUYỄN HOÀNG DUY</x:v>
      </x:c>
      <x:c r="D820" s="106" t="str"/>
      <x:c r="E820" s="118" t="n">
        <x:v>40684</x:v>
      </x:c>
      <x:c r="F820" s="106" t="str">
        <x:v>Kinh</x:v>
      </x:c>
      <x:c r="G820" s="68" t="str">
        <x:v>Xã Phước Long</x:v>
      </x:c>
      <x:c r="H820" s="68" t="str">
        <x:v>THCS Vương Hữu Nhơn</x:v>
      </x:c>
      <x:c r="I820" s="68" t="str">
        <x:v>Xã Phước Long</x:v>
      </x:c>
      <x:c r="J820" s="124" t="n">
        <x:v>26.2</x:v>
      </x:c>
      <x:c r="K820" s="130" t="n">
        <x:v>30</x:v>
      </x:c>
      <x:c r="L820" s="124"/>
      <x:c r="M820" s="124"/>
      <x:c r="N820" s="124" t="n">
        <x:v>56.2</x:v>
      </x:c>
      <x:c r="O820" s="69" t="str"/>
    </x:row>
    <x:row r="821" ht="21" customHeight="1">
      <x:c r="A821" s="100" t="n">
        <x:v>817</x:v>
      </x:c>
      <x:c r="B821" s="172" t="n">
        <x:v>95211008381</x:v>
      </x:c>
      <x:c r="C821" s="68" t="str">
        <x:v>TRẦN ĐĂNG KHÔI</x:v>
      </x:c>
      <x:c r="D821" s="106" t="str"/>
      <x:c r="E821" s="118" t="n">
        <x:v>40850</x:v>
      </x:c>
      <x:c r="F821" s="106" t="str">
        <x:v>Kinh</x:v>
      </x:c>
      <x:c r="G821" s="68" t="str">
        <x:v>Xã Vĩnh Thanh</x:v>
      </x:c>
      <x:c r="H821" s="68" t="str">
        <x:v>THCS Hưng Phú</x:v>
      </x:c>
      <x:c r="I821" s="68" t="str">
        <x:v>Xã Vĩnh Thanh</x:v>
      </x:c>
      <x:c r="J821" s="124" t="n">
        <x:v>26.1</x:v>
      </x:c>
      <x:c r="K821" s="130" t="n">
        <x:v>30</x:v>
      </x:c>
      <x:c r="L821" s="124"/>
      <x:c r="M821" s="124"/>
      <x:c r="N821" s="124" t="n">
        <x:v>56.1</x:v>
      </x:c>
      <x:c r="O821" s="69" t="str"/>
    </x:row>
    <x:row r="822" ht="21" customHeight="1">
      <x:c r="A822" s="100" t="n">
        <x:v>818</x:v>
      </x:c>
      <x:c r="B822" s="172" t="n">
        <x:v>95211001307</x:v>
      </x:c>
      <x:c r="C822" s="68" t="str">
        <x:v>NGUYỄN VĂN HIẾU</x:v>
      </x:c>
      <x:c r="D822" s="106" t="str"/>
      <x:c r="E822" s="118" t="n">
        <x:v>40624</x:v>
      </x:c>
      <x:c r="F822" s="106" t="str">
        <x:v>Kinh</x:v>
      </x:c>
      <x:c r="G822" s="68" t="str">
        <x:v>Xã Vĩnh Thanh</x:v>
      </x:c>
      <x:c r="H822" s="68" t="str">
        <x:v>THCS Vĩnh Thanh</x:v>
      </x:c>
      <x:c r="I822" s="68" t="str">
        <x:v>Xã Vĩnh Thanh</x:v>
      </x:c>
      <x:c r="J822" s="124" t="n">
        <x:v>26.1</x:v>
      </x:c>
      <x:c r="K822" s="130" t="n">
        <x:v>30</x:v>
      </x:c>
      <x:c r="L822" s="124"/>
      <x:c r="M822" s="124"/>
      <x:c r="N822" s="124" t="n">
        <x:v>56.1</x:v>
      </x:c>
      <x:c r="O822" s="69" t="str"/>
    </x:row>
    <x:row r="823" ht="21" customHeight="1">
      <x:c r="A823" s="100" t="n">
        <x:v>819</x:v>
      </x:c>
      <x:c r="B823" s="172" t="n">
        <x:v>95211006254</x:v>
      </x:c>
      <x:c r="C823" s="68" t="str">
        <x:v>ĐOÀN GIA HUY</x:v>
      </x:c>
      <x:c r="D823" s="106" t="str"/>
      <x:c r="E823" s="118" t="n">
        <x:v>40670</x:v>
      </x:c>
      <x:c r="F823" s="106" t="str">
        <x:v>Kinh</x:v>
      </x:c>
      <x:c r="G823" s="68" t="str">
        <x:v>Xã Vĩnh Thanh</x:v>
      </x:c>
      <x:c r="H823" s="68" t="str">
        <x:v>THCS Vĩnh Thanh</x:v>
      </x:c>
      <x:c r="I823" s="68" t="str">
        <x:v>Xã Vĩnh Thanh</x:v>
      </x:c>
      <x:c r="J823" s="124" t="n">
        <x:v>26.1</x:v>
      </x:c>
      <x:c r="K823" s="130" t="n">
        <x:v>30</x:v>
      </x:c>
      <x:c r="L823" s="124"/>
      <x:c r="M823" s="124"/>
      <x:c r="N823" s="124" t="n">
        <x:v>56.1</x:v>
      </x:c>
      <x:c r="O823" s="69" t="str"/>
    </x:row>
    <x:row r="824" ht="21" customHeight="1">
      <x:c r="A824" s="100" t="n">
        <x:v>820</x:v>
      </x:c>
      <x:c r="B824" s="172" t="n">
        <x:v>95211005909</x:v>
      </x:c>
      <x:c r="C824" s="68" t="str">
        <x:v>NGUYỄN KHẢC HUY</x:v>
      </x:c>
      <x:c r="D824" s="106" t="str"/>
      <x:c r="E824" s="118" t="n">
        <x:v>40742</x:v>
      </x:c>
      <x:c r="F824" s="106" t="str">
        <x:v>Kinh</x:v>
      </x:c>
      <x:c r="G824" s="68" t="str">
        <x:v>Xã Phước Long</x:v>
      </x:c>
      <x:c r="H824" s="68" t="str">
        <x:v>THCS Vĩnh Thanh</x:v>
      </x:c>
      <x:c r="I824" s="68" t="str">
        <x:v>Xã Vĩnh Thanh</x:v>
      </x:c>
      <x:c r="J824" s="124" t="n">
        <x:v>26</x:v>
      </x:c>
      <x:c r="K824" s="130" t="n">
        <x:v>30</x:v>
      </x:c>
      <x:c r="L824" s="124"/>
      <x:c r="M824" s="124"/>
      <x:c r="N824" s="124" t="n">
        <x:v>56</x:v>
      </x:c>
      <x:c r="O824" s="69" t="str"/>
    </x:row>
    <x:row r="825" ht="21" customHeight="1">
      <x:c r="A825" s="100" t="n">
        <x:v>821</x:v>
      </x:c>
      <x:c r="B825" s="172" t="n">
        <x:v>95211009260</x:v>
      </x:c>
      <x:c r="C825" s="68" t="str">
        <x:v>PHẠM ĐĂNG KHÔI</x:v>
      </x:c>
      <x:c r="D825" s="106" t="str"/>
      <x:c r="E825" s="118" t="n">
        <x:v>40754</x:v>
      </x:c>
      <x:c r="F825" s="106" t="str">
        <x:v>Kinh</x:v>
      </x:c>
      <x:c r="G825" s="68" t="str">
        <x:v>Xã Phước Long</x:v>
      </x:c>
      <x:c r="H825" s="68" t="str">
        <x:v>THCS Vương Hữu Nhơn</x:v>
      </x:c>
      <x:c r="I825" s="68" t="str">
        <x:v>Xã Phước Long</x:v>
      </x:c>
      <x:c r="J825" s="124" t="n">
        <x:v>26</x:v>
      </x:c>
      <x:c r="K825" s="130" t="n">
        <x:v>30</x:v>
      </x:c>
      <x:c r="L825" s="124"/>
      <x:c r="M825" s="124"/>
      <x:c r="N825" s="124" t="n">
        <x:v>56</x:v>
      </x:c>
      <x:c r="O825" s="69" t="str"/>
    </x:row>
    <x:row r="826" ht="21" customHeight="1">
      <x:c r="A826" s="100" t="n">
        <x:v>822</x:v>
      </x:c>
      <x:c r="B826" s="172" t="n">
        <x:v>95211005115</x:v>
      </x:c>
      <x:c r="C826" s="68" t="str">
        <x:v>LÊ TRỌNG NGHĨA</x:v>
      </x:c>
      <x:c r="D826" s="106" t="str"/>
      <x:c r="E826" s="118" t="n">
        <x:v>40779</x:v>
      </x:c>
      <x:c r="F826" s="106" t="str">
        <x:v>Kinh</x:v>
      </x:c>
      <x:c r="G826" s="68" t="str">
        <x:v>Xã Phước Long</x:v>
      </x:c>
      <x:c r="H826" s="68" t="str">
        <x:v>THCS Vương Hữu Nhơn</x:v>
      </x:c>
      <x:c r="I826" s="68" t="str">
        <x:v>Xã Phước Long</x:v>
      </x:c>
      <x:c r="J826" s="124" t="n">
        <x:v>25.9</x:v>
      </x:c>
      <x:c r="K826" s="130" t="n">
        <x:v>30</x:v>
      </x:c>
      <x:c r="L826" s="124"/>
      <x:c r="M826" s="124"/>
      <x:c r="N826" s="124" t="n">
        <x:v>55.9</x:v>
      </x:c>
      <x:c r="O826" s="69" t="str"/>
    </x:row>
    <x:row r="827" ht="21" customHeight="1">
      <x:c r="A827" s="100" t="n">
        <x:v>823</x:v>
      </x:c>
      <x:c r="B827" s="172" t="n">
        <x:v>95211002614</x:v>
      </x:c>
      <x:c r="C827" s="68" t="str">
        <x:v>NGUYỄN MINH NHỰT</x:v>
      </x:c>
      <x:c r="D827" s="106" t="str"/>
      <x:c r="E827" s="118" t="n">
        <x:v>40847</x:v>
      </x:c>
      <x:c r="F827" s="106" t="str">
        <x:v>Kinh</x:v>
      </x:c>
      <x:c r="G827" s="68" t="str">
        <x:v>Xã Phước Long</x:v>
      </x:c>
      <x:c r="H827" s="68" t="str">
        <x:v>THCS Phước Long</x:v>
      </x:c>
      <x:c r="I827" s="68" t="str">
        <x:v>Xã Phước Long</x:v>
      </x:c>
      <x:c r="J827" s="124" t="n">
        <x:v>25.9</x:v>
      </x:c>
      <x:c r="K827" s="130" t="n">
        <x:v>30</x:v>
      </x:c>
      <x:c r="L827" s="124"/>
      <x:c r="M827" s="124"/>
      <x:c r="N827" s="124" t="n">
        <x:v>55.9</x:v>
      </x:c>
      <x:c r="O827" s="69" t="str"/>
    </x:row>
    <x:row r="828" ht="21" customHeight="1">
      <x:c r="A828" s="100" t="n">
        <x:v>824</x:v>
      </x:c>
      <x:c r="B828" s="172" t="n">
        <x:v>95211003443</x:v>
      </x:c>
      <x:c r="C828" s="68" t="str">
        <x:v>NGUYỄN HOÀNG DUYÊN</x:v>
      </x:c>
      <x:c r="D828" s="106" t="str"/>
      <x:c r="E828" s="118" t="n">
        <x:v>40634</x:v>
      </x:c>
      <x:c r="F828" s="106" t="str">
        <x:v>Kinh</x:v>
      </x:c>
      <x:c r="G828" s="68" t="str">
        <x:v>Xã Phước Long</x:v>
      </x:c>
      <x:c r="H828" s="68" t="str">
        <x:v>THCS Phước Long</x:v>
      </x:c>
      <x:c r="I828" s="68" t="str">
        <x:v>Xã Phước Long</x:v>
      </x:c>
      <x:c r="J828" s="124" t="n">
        <x:v>26.9</x:v>
      </x:c>
      <x:c r="K828" s="130" t="n">
        <x:v>28</x:v>
      </x:c>
      <x:c r="L828" s="124" t="n">
        <x:v>1</x:v>
      </x:c>
      <x:c r="M828" s="124"/>
      <x:c r="N828" s="124" t="n">
        <x:v>55.9</x:v>
      </x:c>
      <x:c r="O828" s="69" t="str"/>
    </x:row>
    <x:row r="829" ht="21" customHeight="1">
      <x:c r="A829" s="100" t="n">
        <x:v>825</x:v>
      </x:c>
      <x:c r="B829" s="172" t="n">
        <x:v>92211008228</x:v>
      </x:c>
      <x:c r="C829" s="68" t="str">
        <x:v>PHẠM QUỐC VINH</x:v>
      </x:c>
      <x:c r="D829" s="106" t="str"/>
      <x:c r="E829" s="118" t="n">
        <x:v>40707</x:v>
      </x:c>
      <x:c r="F829" s="106" t="str">
        <x:v>Kinh</x:v>
      </x:c>
      <x:c r="G829" s="68" t="str">
        <x:v>Xã Phước Long</x:v>
      </x:c>
      <x:c r="H829" s="68" t="str">
        <x:v>THCS Phước Long</x:v>
      </x:c>
      <x:c r="I829" s="68" t="str">
        <x:v>Xã Phước Long</x:v>
      </x:c>
      <x:c r="J829" s="124" t="n">
        <x:v>25.9</x:v>
      </x:c>
      <x:c r="K829" s="130" t="n">
        <x:v>30</x:v>
      </x:c>
      <x:c r="L829" s="124"/>
      <x:c r="M829" s="124"/>
      <x:c r="N829" s="124" t="n">
        <x:v>55.9</x:v>
      </x:c>
      <x:c r="O829" s="69" t="str"/>
    </x:row>
    <x:row r="830" ht="21" customHeight="1">
      <x:c r="A830" s="100" t="n">
        <x:v>826</x:v>
      </x:c>
      <x:c r="B830" s="172" t="n">
        <x:v>95211000911</x:v>
      </x:c>
      <x:c r="C830" s="68" t="str">
        <x:v>NGUYỄN PHÚC TOÀN</x:v>
      </x:c>
      <x:c r="D830" s="106" t="str"/>
      <x:c r="E830" s="118" t="n">
        <x:v>40811</x:v>
      </x:c>
      <x:c r="F830" s="106" t="str">
        <x:v>Kinh</x:v>
      </x:c>
      <x:c r="G830" s="68" t="str">
        <x:v>Xã Phước Long</x:v>
      </x:c>
      <x:c r="H830" s="68" t="str">
        <x:v>THCS Vĩnh Thanh</x:v>
      </x:c>
      <x:c r="I830" s="68" t="str">
        <x:v>Xã Vĩnh Thanh</x:v>
      </x:c>
      <x:c r="J830" s="124" t="n">
        <x:v>25.8</x:v>
      </x:c>
      <x:c r="K830" s="130" t="n">
        <x:v>30</x:v>
      </x:c>
      <x:c r="L830" s="124"/>
      <x:c r="M830" s="124"/>
      <x:c r="N830" s="124" t="n">
        <x:v>55.8</x:v>
      </x:c>
      <x:c r="O830" s="69" t="str"/>
    </x:row>
    <x:row r="831" ht="21" customHeight="1">
      <x:c r="A831" s="100" t="n">
        <x:v>827</x:v>
      </x:c>
      <x:c r="B831" s="172" t="n">
        <x:v>93211006218</x:v>
      </x:c>
      <x:c r="C831" s="68" t="str">
        <x:v>ĐINH GIA HUY</x:v>
      </x:c>
      <x:c r="D831" s="106" t="str"/>
      <x:c r="E831" s="118" t="n">
        <x:v>40883</x:v>
      </x:c>
      <x:c r="F831" s="106" t="str">
        <x:v>Kinh</x:v>
      </x:c>
      <x:c r="G831" s="68" t="str">
        <x:v>Xã Vĩnh Phước</x:v>
      </x:c>
      <x:c r="H831" s="68" t="str">
        <x:v>THCS Vĩnh Phú Tây</x:v>
      </x:c>
      <x:c r="I831" s="68" t="str">
        <x:v>Xã Vĩnh Phước</x:v>
      </x:c>
      <x:c r="J831" s="124" t="n">
        <x:v>25.7</x:v>
      </x:c>
      <x:c r="K831" s="130" t="n">
        <x:v>30</x:v>
      </x:c>
      <x:c r="L831" s="124"/>
      <x:c r="M831" s="124"/>
      <x:c r="N831" s="124" t="n">
        <x:v>55.7</x:v>
      </x:c>
      <x:c r="O831" s="69" t="str"/>
    </x:row>
    <x:row r="832" ht="21" customHeight="1">
      <x:c r="A832" s="100" t="n">
        <x:v>828</x:v>
      </x:c>
      <x:c r="B832" s="172" t="n">
        <x:v>95211001084</x:v>
      </x:c>
      <x:c r="C832" s="68" t="str">
        <x:v>DANH PHÚ QUÝ</x:v>
      </x:c>
      <x:c r="D832" s="106" t="str"/>
      <x:c r="E832" s="118" t="n">
        <x:v>40791</x:v>
      </x:c>
      <x:c r="F832" s="106" t="str">
        <x:v>Khmer</x:v>
      </x:c>
      <x:c r="G832" s="68" t="str">
        <x:v>Xã Vĩnh Phước</x:v>
      </x:c>
      <x:c r="H832" s="68" t="str">
        <x:v>THCS Vĩnh Thanh</x:v>
      </x:c>
      <x:c r="I832" s="68" t="str">
        <x:v>Xã Vĩnh Thanh</x:v>
      </x:c>
      <x:c r="J832" s="124" t="n">
        <x:v>24.7</x:v>
      </x:c>
      <x:c r="K832" s="130" t="n">
        <x:v>30</x:v>
      </x:c>
      <x:c r="L832" s="124" t="n">
        <x:v>1</x:v>
      </x:c>
      <x:c r="M832" s="124"/>
      <x:c r="N832" s="124" t="n">
        <x:v>55.7</x:v>
      </x:c>
      <x:c r="O832" s="69" t="str"/>
    </x:row>
    <x:row r="833" ht="21" customHeight="1">
      <x:c r="A833" s="100" t="n">
        <x:v>829</x:v>
      </x:c>
      <x:c r="B833" s="130" t="n">
        <x:v>0</x:v>
      </x:c>
      <x:c r="C833" s="68" t="str">
        <x:v>PHAN HOÀNG AN</x:v>
      </x:c>
      <x:c r="D833" s="106" t="str"/>
      <x:c r="E833" s="118" t="n">
        <x:v>40892</x:v>
      </x:c>
      <x:c r="F833" s="106" t="str">
        <x:v>Khmer</x:v>
      </x:c>
      <x:c r="G833" s="68" t="str">
        <x:v>Xã Vĩnh Phước</x:v>
      </x:c>
      <x:c r="H833" s="68" t="str">
        <x:v>THCS Vĩnh Phú Tây</x:v>
      </x:c>
      <x:c r="I833" s="68" t="str">
        <x:v>Xã Vĩnh Phước</x:v>
      </x:c>
      <x:c r="J833" s="124" t="n">
        <x:v>26</x:v>
      </x:c>
      <x:c r="K833" s="130" t="n">
        <x:v>28</x:v>
      </x:c>
      <x:c r="L833" s="124" t="n">
        <x:v>1</x:v>
      </x:c>
      <x:c r="M833" s="124"/>
      <x:c r="N833" s="124" t="n">
        <x:v>55</x:v>
      </x:c>
      <x:c r="O833" s="69" t="str"/>
    </x:row>
    <x:row r="834" ht="21" customHeight="1">
      <x:c r="A834" s="100" t="n">
        <x:v>830</x:v>
      </x:c>
      <x:c r="B834" s="172" t="n">
        <x:v>95211002710</x:v>
      </x:c>
      <x:c r="C834" s="68" t="str">
        <x:v>NGUYỄN CHÍ DIỆN</x:v>
      </x:c>
      <x:c r="D834" s="106" t="str"/>
      <x:c r="E834" s="118" t="n">
        <x:v>40679</x:v>
      </x:c>
      <x:c r="F834" s="106" t="str">
        <x:v>Kinh</x:v>
      </x:c>
      <x:c r="G834" s="68" t="str">
        <x:v>Xã Vĩnh Thanh</x:v>
      </x:c>
      <x:c r="H834" s="68" t="str">
        <x:v>THCS Vĩnh Thanh</x:v>
      </x:c>
      <x:c r="I834" s="68" t="str">
        <x:v>Xã Vĩnh Thanh</x:v>
      </x:c>
      <x:c r="J834" s="124" t="n">
        <x:v>24.9</x:v>
      </x:c>
      <x:c r="K834" s="130" t="n">
        <x:v>30</x:v>
      </x:c>
      <x:c r="L834" s="124"/>
      <x:c r="M834" s="124"/>
      <x:c r="N834" s="124" t="n">
        <x:v>54.9</x:v>
      </x:c>
      <x:c r="O834" s="69" t="str"/>
    </x:row>
    <x:row r="835" ht="21" customHeight="1">
      <x:c r="A835" s="100" t="n">
        <x:v>831</x:v>
      </x:c>
      <x:c r="B835" s="172" t="n">
        <x:v>95310000473</x:v>
      </x:c>
      <x:c r="C835" s="68" t="str">
        <x:v>LÊ PHƯƠNG VY</x:v>
      </x:c>
      <x:c r="D835" s="106" t="str">
        <x:v>X</x:v>
      </x:c>
      <x:c r="E835" s="118" t="n">
        <x:v>40298</x:v>
      </x:c>
      <x:c r="F835" s="106" t="str">
        <x:v>Kinh</x:v>
      </x:c>
      <x:c r="G835" s="68" t="str">
        <x:v>Xã Phước Long</x:v>
      </x:c>
      <x:c r="H835" s="68" t="str">
        <x:v>THCS Phước Long</x:v>
      </x:c>
      <x:c r="I835" s="68" t="str">
        <x:v>Xã Phước Long</x:v>
      </x:c>
      <x:c r="J835" s="124" t="n">
        <x:v>26.7</x:v>
      </x:c>
      <x:c r="K835" s="130" t="n">
        <x:v>28</x:v>
      </x:c>
      <x:c r="L835" s="124"/>
      <x:c r="M835" s="124"/>
      <x:c r="N835" s="124" t="n">
        <x:v>54.7</x:v>
      </x:c>
      <x:c r="O835" s="69" t="str"/>
    </x:row>
    <x:row r="836" ht="21" customHeight="1">
      <x:c r="A836" s="100" t="n">
        <x:v>832</x:v>
      </x:c>
      <x:c r="B836" s="172" t="n">
        <x:v>95311009700</x:v>
      </x:c>
      <x:c r="C836" s="68" t="str">
        <x:v>LÝ NHƯ BÌNH</x:v>
      </x:c>
      <x:c r="D836" s="106" t="str">
        <x:v>X</x:v>
      </x:c>
      <x:c r="E836" s="118" t="n">
        <x:v>40552</x:v>
      </x:c>
      <x:c r="F836" s="106" t="str">
        <x:v>Khmer</x:v>
      </x:c>
      <x:c r="G836" s="68" t="str">
        <x:v>Xã Phước Long</x:v>
      </x:c>
      <x:c r="H836" s="68" t="str">
        <x:v>THCS Phước Long</x:v>
      </x:c>
      <x:c r="I836" s="68" t="str">
        <x:v>Xã Phước Long</x:v>
      </x:c>
      <x:c r="J836" s="124" t="n">
        <x:v>25.7</x:v>
      </x:c>
      <x:c r="K836" s="130" t="n">
        <x:v>28</x:v>
      </x:c>
      <x:c r="L836" s="124" t="n">
        <x:v>1</x:v>
      </x:c>
      <x:c r="M836" s="124"/>
      <x:c r="N836" s="124" t="n">
        <x:v>54.7</x:v>
      </x:c>
      <x:c r="O836" s="69" t="str"/>
    </x:row>
    <x:row r="837" ht="21" customHeight="1">
      <x:c r="A837" s="100" t="n">
        <x:v>833</x:v>
      </x:c>
      <x:c r="B837" s="172" t="n">
        <x:v>95311002281</x:v>
      </x:c>
      <x:c r="C837" s="68" t="str">
        <x:v>NGUYỄN THỊ NGỌC QUYÊN</x:v>
      </x:c>
      <x:c r="D837" s="106" t="str">
        <x:v>X</x:v>
      </x:c>
      <x:c r="E837" s="118" t="n">
        <x:v>40902</x:v>
      </x:c>
      <x:c r="F837" s="106" t="str">
        <x:v>Kinh</x:v>
      </x:c>
      <x:c r="G837" s="68" t="str">
        <x:v>Xã Vĩnh Thanh</x:v>
      </x:c>
      <x:c r="H837" s="68" t="str">
        <x:v>THCS Vĩnh Thanh</x:v>
      </x:c>
      <x:c r="I837" s="68" t="str">
        <x:v>Xã Vĩnh Thanh</x:v>
      </x:c>
      <x:c r="J837" s="124" t="n">
        <x:v>26.6</x:v>
      </x:c>
      <x:c r="K837" s="130" t="n">
        <x:v>28</x:v>
      </x:c>
      <x:c r="L837" s="124"/>
      <x:c r="M837" s="124"/>
      <x:c r="N837" s="124" t="n">
        <x:v>54.6</x:v>
      </x:c>
      <x:c r="O837" s="69" t="str"/>
    </x:row>
    <x:row r="838" ht="21" customHeight="1">
      <x:c r="A838" s="100" t="n">
        <x:v>834</x:v>
      </x:c>
      <x:c r="B838" s="172" t="n">
        <x:v>95311005496</x:v>
      </x:c>
      <x:c r="C838" s="68" t="str">
        <x:v>HUỲNH HUỆ LINH</x:v>
      </x:c>
      <x:c r="D838" s="106" t="str">
        <x:v>X</x:v>
      </x:c>
      <x:c r="E838" s="118" t="n">
        <x:v>40903</x:v>
      </x:c>
      <x:c r="F838" s="106" t="str">
        <x:v>Hoa</x:v>
      </x:c>
      <x:c r="G838" s="68" t="str">
        <x:v>Xã Phước Long</x:v>
      </x:c>
      <x:c r="H838" s="68" t="str">
        <x:v>THCS Phước Long</x:v>
      </x:c>
      <x:c r="I838" s="68" t="str">
        <x:v>Xã Phước Long</x:v>
      </x:c>
      <x:c r="J838" s="124" t="n">
        <x:v>25.5</x:v>
      </x:c>
      <x:c r="K838" s="130" t="n">
        <x:v>28</x:v>
      </x:c>
      <x:c r="L838" s="124" t="n">
        <x:v>1</x:v>
      </x:c>
      <x:c r="M838" s="124"/>
      <x:c r="N838" s="124" t="n">
        <x:v>54.5</x:v>
      </x:c>
      <x:c r="O838" s="69" t="str"/>
    </x:row>
    <x:row r="839" ht="21" customHeight="1">
      <x:c r="A839" s="100" t="n">
        <x:v>835</x:v>
      </x:c>
      <x:c r="B839" s="172" t="n">
        <x:v>95211002402</x:v>
      </x:c>
      <x:c r="C839" s="68" t="str">
        <x:v>TRẦN QUANG TƯỞNG</x:v>
      </x:c>
      <x:c r="D839" s="106" t="str"/>
      <x:c r="E839" s="118" t="n">
        <x:v>40907</x:v>
      </x:c>
      <x:c r="F839" s="106" t="str">
        <x:v>Kinh</x:v>
      </x:c>
      <x:c r="G839" s="68" t="str">
        <x:v>Xã Phước Long</x:v>
      </x:c>
      <x:c r="H839" s="68" t="str">
        <x:v>THCS Phước Long</x:v>
      </x:c>
      <x:c r="I839" s="68" t="str">
        <x:v>Xã Phước Long</x:v>
      </x:c>
      <x:c r="J839" s="124" t="n">
        <x:v>26.5</x:v>
      </x:c>
      <x:c r="K839" s="130" t="n">
        <x:v>28</x:v>
      </x:c>
      <x:c r="L839" s="124"/>
      <x:c r="M839" s="124"/>
      <x:c r="N839" s="124" t="n">
        <x:v>54.5</x:v>
      </x:c>
      <x:c r="O839" s="69" t="str"/>
    </x:row>
    <x:row r="840" ht="21" customHeight="1">
      <x:c r="A840" s="100" t="n">
        <x:v>836</x:v>
      </x:c>
      <x:c r="B840" s="172" t="n">
        <x:v>95311001819</x:v>
      </x:c>
      <x:c r="C840" s="68" t="str">
        <x:v>THẠCH NGỌC TRÂM</x:v>
      </x:c>
      <x:c r="D840" s="106" t="str">
        <x:v>X</x:v>
      </x:c>
      <x:c r="E840" s="118" t="n">
        <x:v>40823</x:v>
      </x:c>
      <x:c r="F840" s="106" t="str">
        <x:v>Khmer</x:v>
      </x:c>
      <x:c r="G840" s="68" t="str">
        <x:v>Xã Vĩnh Phước</x:v>
      </x:c>
      <x:c r="H840" s="68" t="str">
        <x:v>THCS Vĩnh Phú Tây</x:v>
      </x:c>
      <x:c r="I840" s="68" t="str">
        <x:v>Xã Vĩnh Phước</x:v>
      </x:c>
      <x:c r="J840" s="124" t="n">
        <x:v>23.5</x:v>
      </x:c>
      <x:c r="K840" s="130" t="n">
        <x:v>30</x:v>
      </x:c>
      <x:c r="L840" s="124" t="n">
        <x:v>1</x:v>
      </x:c>
      <x:c r="M840" s="124"/>
      <x:c r="N840" s="124" t="n">
        <x:v>54.5</x:v>
      </x:c>
      <x:c r="O840" s="69" t="str"/>
    </x:row>
    <x:row r="841" ht="21" customHeight="1">
      <x:c r="A841" s="100" t="n">
        <x:v>837</x:v>
      </x:c>
      <x:c r="B841" s="172" t="n">
        <x:v>96211013877</x:v>
      </x:c>
      <x:c r="C841" s="68" t="str">
        <x:v>DƯƠNG TRỌNG NGUYỄN</x:v>
      </x:c>
      <x:c r="D841" s="106" t="str"/>
      <x:c r="E841" s="118" t="n">
        <x:v>40837</x:v>
      </x:c>
      <x:c r="F841" s="106" t="str">
        <x:v>Kinh</x:v>
      </x:c>
      <x:c r="G841" s="68" t="str">
        <x:v>Xã Vĩnh Thanh</x:v>
      </x:c>
      <x:c r="H841" s="68" t="str">
        <x:v>THCS Hưng Phú</x:v>
      </x:c>
      <x:c r="I841" s="68" t="str">
        <x:v>Xã Vĩnh Thanh</x:v>
      </x:c>
      <x:c r="J841" s="124" t="n">
        <x:v>24.5</x:v>
      </x:c>
      <x:c r="K841" s="130" t="n">
        <x:v>30</x:v>
      </x:c>
      <x:c r="L841" s="124"/>
      <x:c r="M841" s="124"/>
      <x:c r="N841" s="124" t="n">
        <x:v>54.5</x:v>
      </x:c>
      <x:c r="O841" s="69" t="str"/>
    </x:row>
    <x:row r="842" ht="21" customHeight="1">
      <x:c r="A842" s="100" t="n">
        <x:v>838</x:v>
      </x:c>
      <x:c r="B842" s="172" t="n">
        <x:v>95311004400</x:v>
      </x:c>
      <x:c r="C842" s="68" t="str">
        <x:v>VÕ THỊ NGỌC NHIÊN</x:v>
      </x:c>
      <x:c r="D842" s="106" t="str">
        <x:v>X</x:v>
      </x:c>
      <x:c r="E842" s="118" t="n">
        <x:v>40544</x:v>
      </x:c>
      <x:c r="F842" s="106" t="str">
        <x:v>Kinh</x:v>
      </x:c>
      <x:c r="G842" s="68" t="str">
        <x:v>Xã Vĩnh Phước</x:v>
      </x:c>
      <x:c r="H842" s="68" t="str">
        <x:v>THCS Phước Long</x:v>
      </x:c>
      <x:c r="I842" s="68" t="str">
        <x:v>Xã Phước Long</x:v>
      </x:c>
      <x:c r="J842" s="124" t="n">
        <x:v>26.4</x:v>
      </x:c>
      <x:c r="K842" s="130" t="n">
        <x:v>28</x:v>
      </x:c>
      <x:c r="L842" s="124"/>
      <x:c r="M842" s="124"/>
      <x:c r="N842" s="124" t="n">
        <x:v>54.4</x:v>
      </x:c>
      <x:c r="O842" s="69" t="str"/>
    </x:row>
    <x:row r="843" ht="21" customHeight="1">
      <x:c r="A843" s="100" t="n">
        <x:v>839</x:v>
      </x:c>
      <x:c r="B843" s="172" t="n">
        <x:v>95210003669</x:v>
      </x:c>
      <x:c r="C843" s="68" t="str">
        <x:v>NGUYỄN VĂN THỊNH</x:v>
      </x:c>
      <x:c r="D843" s="106" t="str"/>
      <x:c r="E843" s="118" t="n">
        <x:v>40203</x:v>
      </x:c>
      <x:c r="F843" s="106" t="str">
        <x:v>Kinh</x:v>
      </x:c>
      <x:c r="G843" s="68" t="str">
        <x:v>Xã Vĩnh Thanh</x:v>
      </x:c>
      <x:c r="H843" s="68" t="str">
        <x:v>THCS Hưng Phú</x:v>
      </x:c>
      <x:c r="I843" s="68" t="str">
        <x:v>Xã Vĩnh Thanh</x:v>
      </x:c>
      <x:c r="J843" s="124" t="n">
        <x:v>26.4</x:v>
      </x:c>
      <x:c r="K843" s="130" t="n">
        <x:v>28</x:v>
      </x:c>
      <x:c r="L843" s="124"/>
      <x:c r="M843" s="124"/>
      <x:c r="N843" s="124" t="n">
        <x:v>54.4</x:v>
      </x:c>
      <x:c r="O843" s="69" t="str"/>
    </x:row>
    <x:row r="844" ht="21" customHeight="1">
      <x:c r="A844" s="100" t="n">
        <x:v>840</x:v>
      </x:c>
      <x:c r="B844" s="172" t="n">
        <x:v>95211007688</x:v>
      </x:c>
      <x:c r="C844" s="68" t="str">
        <x:v>NGUYỄN ANH KHOA</x:v>
      </x:c>
      <x:c r="D844" s="106" t="str"/>
      <x:c r="E844" s="118" t="n">
        <x:v>40618</x:v>
      </x:c>
      <x:c r="F844" s="106" t="str">
        <x:v>Kinh</x:v>
      </x:c>
      <x:c r="G844" s="68" t="str">
        <x:v>Xã Phước Long</x:v>
      </x:c>
      <x:c r="H844" s="68" t="str">
        <x:v>THCS Vương Hữu Nhơn</x:v>
      </x:c>
      <x:c r="I844" s="68" t="str">
        <x:v>Xã Phước Long</x:v>
      </x:c>
      <x:c r="J844" s="124" t="n">
        <x:v>25.3</x:v>
      </x:c>
      <x:c r="K844" s="130" t="n">
        <x:v>29</x:v>
      </x:c>
      <x:c r="L844" s="124"/>
      <x:c r="M844" s="124"/>
      <x:c r="N844" s="124" t="n">
        <x:v>54.3</x:v>
      </x:c>
      <x:c r="O844" s="69" t="str"/>
    </x:row>
    <x:row r="845" ht="21" customHeight="1">
      <x:c r="A845" s="100" t="n">
        <x:v>841</x:v>
      </x:c>
      <x:c r="B845" s="172" t="n">
        <x:v>95211003935</x:v>
      </x:c>
      <x:c r="C845" s="68" t="str">
        <x:v>HỨA HẢI NGHIÊM</x:v>
      </x:c>
      <x:c r="D845" s="106" t="str"/>
      <x:c r="E845" s="118" t="n">
        <x:v>40846</x:v>
      </x:c>
      <x:c r="F845" s="106" t="str">
        <x:v>Kinh</x:v>
      </x:c>
      <x:c r="G845" s="68" t="str">
        <x:v>Xã Phước Long</x:v>
      </x:c>
      <x:c r="H845" s="68" t="str">
        <x:v>THCS Phước Long</x:v>
      </x:c>
      <x:c r="I845" s="68" t="str">
        <x:v>Xã Phước Long</x:v>
      </x:c>
      <x:c r="J845" s="124" t="n">
        <x:v>26.2</x:v>
      </x:c>
      <x:c r="K845" s="130" t="n">
        <x:v>28</x:v>
      </x:c>
      <x:c r="L845" s="124"/>
      <x:c r="M845" s="124"/>
      <x:c r="N845" s="124" t="n">
        <x:v>54.2</x:v>
      </x:c>
      <x:c r="O845" s="69" t="str"/>
    </x:row>
    <x:row r="846" ht="21" customHeight="1">
      <x:c r="A846" s="100" t="n">
        <x:v>842</x:v>
      </x:c>
      <x:c r="B846" s="172" t="n">
        <x:v>95211003756</x:v>
      </x:c>
      <x:c r="C846" s="68" t="str">
        <x:v>VÕ HẢI ĐĂNG</x:v>
      </x:c>
      <x:c r="D846" s="106" t="str"/>
      <x:c r="E846" s="118" t="n">
        <x:v>40805</x:v>
      </x:c>
      <x:c r="F846" s="106" t="str">
        <x:v>Kinh</x:v>
      </x:c>
      <x:c r="G846" s="68" t="str">
        <x:v>Xã Phước Long</x:v>
      </x:c>
      <x:c r="H846" s="68" t="str">
        <x:v>THCS Hưng Phú</x:v>
      </x:c>
      <x:c r="I846" s="68" t="str">
        <x:v>Xã Vĩnh Thanh</x:v>
      </x:c>
      <x:c r="J846" s="124" t="n">
        <x:v>26.2</x:v>
      </x:c>
      <x:c r="K846" s="130" t="n">
        <x:v>28</x:v>
      </x:c>
      <x:c r="L846" s="124"/>
      <x:c r="M846" s="124"/>
      <x:c r="N846" s="124" t="n">
        <x:v>54.2</x:v>
      </x:c>
      <x:c r="O846" s="69" t="str"/>
    </x:row>
    <x:row r="847" ht="21" customHeight="1">
      <x:c r="A847" s="100" t="n">
        <x:v>843</x:v>
      </x:c>
      <x:c r="B847" s="172" t="n">
        <x:v>95311005084</x:v>
      </x:c>
      <x:c r="C847" s="68" t="str">
        <x:v>LÊ KIM THƯ</x:v>
      </x:c>
      <x:c r="D847" s="106" t="str">
        <x:v>X</x:v>
      </x:c>
      <x:c r="E847" s="118" t="n">
        <x:v>40775</x:v>
      </x:c>
      <x:c r="F847" s="106" t="str">
        <x:v>Kinh</x:v>
      </x:c>
      <x:c r="G847" s="68" t="str">
        <x:v>Xã Phước Long</x:v>
      </x:c>
      <x:c r="H847" s="68" t="str">
        <x:v>THCS Phước Long</x:v>
      </x:c>
      <x:c r="I847" s="68" t="str">
        <x:v>Xã Phước Long</x:v>
      </x:c>
      <x:c r="J847" s="124" t="n">
        <x:v>25.6</x:v>
      </x:c>
      <x:c r="K847" s="130" t="n">
        <x:v>28</x:v>
      </x:c>
      <x:c r="L847" s="124"/>
      <x:c r="M847" s="124" t="n">
        <x:v>0.5</x:v>
      </x:c>
      <x:c r="N847" s="124" t="n">
        <x:v>54.1</x:v>
      </x:c>
      <x:c r="O847" s="69" t="str"/>
    </x:row>
    <x:row r="848" ht="21" customHeight="1">
      <x:c r="A848" s="100" t="n">
        <x:v>844</x:v>
      </x:c>
      <x:c r="B848" s="172" t="n">
        <x:v>95311006919</x:v>
      </x:c>
      <x:c r="C848" s="68" t="str">
        <x:v>ĐẶNG THUÝ VY</x:v>
      </x:c>
      <x:c r="D848" s="106" t="str">
        <x:v>X</x:v>
      </x:c>
      <x:c r="E848" s="118" t="n">
        <x:v>40899</x:v>
      </x:c>
      <x:c r="F848" s="106" t="str">
        <x:v>Kinh</x:v>
      </x:c>
      <x:c r="G848" s="68" t="str">
        <x:v>Xã Phước Long</x:v>
      </x:c>
      <x:c r="H848" s="68" t="str">
        <x:v>THCS Phước Long</x:v>
      </x:c>
      <x:c r="I848" s="68" t="str">
        <x:v>Xã Phước Long</x:v>
      </x:c>
      <x:c r="J848" s="124" t="n">
        <x:v>26.1</x:v>
      </x:c>
      <x:c r="K848" s="130" t="n">
        <x:v>28</x:v>
      </x:c>
      <x:c r="L848" s="124"/>
      <x:c r="M848" s="124"/>
      <x:c r="N848" s="124" t="n">
        <x:v>54.1</x:v>
      </x:c>
      <x:c r="O848" s="69" t="str"/>
    </x:row>
    <x:row r="849" ht="21" customHeight="1">
      <x:c r="A849" s="100" t="n">
        <x:v>845</x:v>
      </x:c>
      <x:c r="B849" s="172" t="n">
        <x:v>95311009929</x:v>
      </x:c>
      <x:c r="C849" s="68" t="str">
        <x:v>TRẦN CHÂU TƯỜNG MỸ</x:v>
      </x:c>
      <x:c r="D849" s="106" t="str">
        <x:v>X</x:v>
      </x:c>
      <x:c r="E849" s="118" t="n">
        <x:v>40879</x:v>
      </x:c>
      <x:c r="F849" s="106" t="str">
        <x:v>Kinh</x:v>
      </x:c>
      <x:c r="G849" s="68" t="str">
        <x:v>Xã Phước Long</x:v>
      </x:c>
      <x:c r="H849" s="68" t="str">
        <x:v>THCS Phước Long</x:v>
      </x:c>
      <x:c r="I849" s="68" t="str">
        <x:v>Xã Phước Long</x:v>
      </x:c>
      <x:c r="J849" s="124" t="n">
        <x:v>26.1</x:v>
      </x:c>
      <x:c r="K849" s="130" t="n">
        <x:v>28</x:v>
      </x:c>
      <x:c r="L849" s="124"/>
      <x:c r="M849" s="124"/>
      <x:c r="N849" s="124" t="n">
        <x:v>54.1</x:v>
      </x:c>
      <x:c r="O849" s="69" t="str"/>
    </x:row>
    <x:row r="850" ht="21" customHeight="1">
      <x:c r="A850" s="100" t="n">
        <x:v>846</x:v>
      </x:c>
      <x:c r="B850" s="172" t="n">
        <x:v>95211001069</x:v>
      </x:c>
      <x:c r="C850" s="68" t="str">
        <x:v>PHẠM DƯƠNG TRIỆU VỸ</x:v>
      </x:c>
      <x:c r="D850" s="106" t="str"/>
      <x:c r="E850" s="118" t="n">
        <x:v>40840</x:v>
      </x:c>
      <x:c r="F850" s="106" t="str">
        <x:v>Kinh</x:v>
      </x:c>
      <x:c r="G850" s="68" t="str">
        <x:v>Xã Phước Long</x:v>
      </x:c>
      <x:c r="H850" s="68" t="str">
        <x:v>THCS Vương Hữu Nhơn</x:v>
      </x:c>
      <x:c r="I850" s="68" t="str">
        <x:v>Xã Phước Long</x:v>
      </x:c>
      <x:c r="J850" s="124" t="n">
        <x:v>25.1</x:v>
      </x:c>
      <x:c r="K850" s="130" t="n">
        <x:v>29</x:v>
      </x:c>
      <x:c r="L850" s="124"/>
      <x:c r="M850" s="124"/>
      <x:c r="N850" s="124" t="n">
        <x:v>54.1</x:v>
      </x:c>
      <x:c r="O850" s="69" t="str"/>
    </x:row>
    <x:row r="851" ht="21" customHeight="1">
      <x:c r="A851" s="100" t="n">
        <x:v>847</x:v>
      </x:c>
      <x:c r="B851" s="172" t="n">
        <x:v>95211006093</x:v>
      </x:c>
      <x:c r="C851" s="68" t="str">
        <x:v>HUỲNH TỶ</x:v>
      </x:c>
      <x:c r="D851" s="106" t="str"/>
      <x:c r="E851" s="118" t="n">
        <x:v>40593</x:v>
      </x:c>
      <x:c r="F851" s="106" t="str">
        <x:v>Kinh</x:v>
      </x:c>
      <x:c r="G851" s="68" t="str">
        <x:v>Xã Phong Hiệp</x:v>
      </x:c>
      <x:c r="H851" s="68" t="str">
        <x:v>THCS Phong Thạnh Tây B</x:v>
      </x:c>
      <x:c r="I851" s="68" t="str">
        <x:v>Xã Phong Hiệp</x:v>
      </x:c>
      <x:c r="J851" s="124" t="n">
        <x:v>26.1</x:v>
      </x:c>
      <x:c r="K851" s="130" t="n">
        <x:v>28</x:v>
      </x:c>
      <x:c r="L851" s="124"/>
      <x:c r="M851" s="124"/>
      <x:c r="N851" s="124" t="n">
        <x:v>54.1</x:v>
      </x:c>
      <x:c r="O851" s="69" t="str"/>
    </x:row>
    <x:row r="852" ht="21" customHeight="1">
      <x:c r="A852" s="100" t="n">
        <x:v>848</x:v>
      </x:c>
      <x:c r="B852" s="172" t="n">
        <x:v>95311001501</x:v>
      </x:c>
      <x:c r="C852" s="68" t="str">
        <x:v>TRẦN NGỌC HUYỀN</x:v>
      </x:c>
      <x:c r="D852" s="106" t="str">
        <x:v>X</x:v>
      </x:c>
      <x:c r="E852" s="118" t="n">
        <x:v>40688</x:v>
      </x:c>
      <x:c r="F852" s="106" t="str">
        <x:v>Kinh</x:v>
      </x:c>
      <x:c r="G852" s="68" t="str">
        <x:v>Xã Vĩnh Thanh</x:v>
      </x:c>
      <x:c r="H852" s="68" t="str">
        <x:v>THCS Hưng Phú</x:v>
      </x:c>
      <x:c r="I852" s="68" t="str">
        <x:v>Xã Vĩnh Thanh</x:v>
      </x:c>
      <x:c r="J852" s="124" t="n">
        <x:v>26</x:v>
      </x:c>
      <x:c r="K852" s="130" t="n">
        <x:v>28</x:v>
      </x:c>
      <x:c r="L852" s="124"/>
      <x:c r="M852" s="124"/>
      <x:c r="N852" s="124" t="n">
        <x:v>54</x:v>
      </x:c>
      <x:c r="O852" s="69" t="str"/>
    </x:row>
    <x:row r="853" ht="21" customHeight="1">
      <x:c r="A853" s="100" t="n">
        <x:v>849</x:v>
      </x:c>
      <x:c r="B853" s="172" t="n">
        <x:v>95311006973</x:v>
      </x:c>
      <x:c r="C853" s="68" t="str">
        <x:v>LÂM TÂM NHƯ</x:v>
      </x:c>
      <x:c r="D853" s="106" t="str">
        <x:v>X</x:v>
      </x:c>
      <x:c r="E853" s="118" t="n">
        <x:v>40903</x:v>
      </x:c>
      <x:c r="F853" s="106" t="str">
        <x:v>Kinh</x:v>
      </x:c>
      <x:c r="G853" s="68" t="str">
        <x:v>Xã Vĩnh Phước</x:v>
      </x:c>
      <x:c r="H853" s="68" t="str">
        <x:v>THCS Phước Long</x:v>
      </x:c>
      <x:c r="I853" s="68" t="str">
        <x:v>Xã Phước Long</x:v>
      </x:c>
      <x:c r="J853" s="124" t="n">
        <x:v>25.9</x:v>
      </x:c>
      <x:c r="K853" s="130" t="n">
        <x:v>28</x:v>
      </x:c>
      <x:c r="L853" s="124"/>
      <x:c r="M853" s="124"/>
      <x:c r="N853" s="124" t="n">
        <x:v>53.9</x:v>
      </x:c>
      <x:c r="O853" s="69" t="str"/>
    </x:row>
    <x:row r="854" ht="21" customHeight="1">
      <x:c r="A854" s="100" t="n">
        <x:v>850</x:v>
      </x:c>
      <x:c r="B854" s="172" t="n">
        <x:v>95211001397</x:v>
      </x:c>
      <x:c r="C854" s="68" t="str">
        <x:v>MAI THANH HẢI</x:v>
      </x:c>
      <x:c r="D854" s="106" t="str"/>
      <x:c r="E854" s="118" t="n">
        <x:v>40565</x:v>
      </x:c>
      <x:c r="F854" s="106" t="str">
        <x:v>Kinh</x:v>
      </x:c>
      <x:c r="G854" s="68" t="str">
        <x:v>Xã Phước Long</x:v>
      </x:c>
      <x:c r="H854" s="68" t="str">
        <x:v>THCS Phước Long</x:v>
      </x:c>
      <x:c r="I854" s="68" t="str">
        <x:v>Xã Phước Long</x:v>
      </x:c>
      <x:c r="J854" s="124" t="n">
        <x:v>24.8</x:v>
      </x:c>
      <x:c r="K854" s="130" t="n">
        <x:v>29</x:v>
      </x:c>
      <x:c r="L854" s="124"/>
      <x:c r="M854" s="124"/>
      <x:c r="N854" s="124" t="n">
        <x:v>53.8</x:v>
      </x:c>
      <x:c r="O854" s="69" t="str"/>
    </x:row>
    <x:row r="855" ht="21" customHeight="1">
      <x:c r="A855" s="100" t="n">
        <x:v>851</x:v>
      </x:c>
      <x:c r="B855" s="172" t="n">
        <x:v>95211004788</x:v>
      </x:c>
      <x:c r="C855" s="68" t="str">
        <x:v>PHAN HOÀNG HUỲNH</x:v>
      </x:c>
      <x:c r="D855" s="106" t="str"/>
      <x:c r="E855" s="118" t="n">
        <x:v>40731</x:v>
      </x:c>
      <x:c r="F855" s="106" t="str">
        <x:v>Kinh</x:v>
      </x:c>
      <x:c r="G855" s="68" t="str">
        <x:v>Xã Phước Long</x:v>
      </x:c>
      <x:c r="H855" s="68" t="str">
        <x:v>THCS Phước Long</x:v>
      </x:c>
      <x:c r="I855" s="68" t="str">
        <x:v>Xã Phước Long</x:v>
      </x:c>
      <x:c r="J855" s="124" t="n">
        <x:v>25.6</x:v>
      </x:c>
      <x:c r="K855" s="130" t="n">
        <x:v>28</x:v>
      </x:c>
      <x:c r="L855" s="124"/>
      <x:c r="M855" s="124"/>
      <x:c r="N855" s="124" t="n">
        <x:v>53.6</x:v>
      </x:c>
      <x:c r="O855" s="69" t="str"/>
    </x:row>
    <x:row r="856" ht="21" customHeight="1">
      <x:c r="A856" s="100" t="n">
        <x:v>852</x:v>
      </x:c>
      <x:c r="B856" s="172" t="n">
        <x:v>95211009464</x:v>
      </x:c>
      <x:c r="C856" s="68" t="str">
        <x:v>ĐỖ TẤN THỊNH</x:v>
      </x:c>
      <x:c r="D856" s="106" t="str"/>
      <x:c r="E856" s="118" t="n">
        <x:v>40600</x:v>
      </x:c>
      <x:c r="F856" s="106" t="str">
        <x:v>Kinh</x:v>
      </x:c>
      <x:c r="G856" s="68" t="str">
        <x:v>Xã Vĩnh Phước</x:v>
      </x:c>
      <x:c r="H856" s="68" t="str">
        <x:v>THCS Phước Long</x:v>
      </x:c>
      <x:c r="I856" s="68" t="str">
        <x:v>Xã Vĩnh Phước</x:v>
      </x:c>
      <x:c r="J856" s="124" t="n">
        <x:v>25.6</x:v>
      </x:c>
      <x:c r="K856" s="130" t="n">
        <x:v>27</x:v>
      </x:c>
      <x:c r="L856" s="124" t="n">
        <x:v>1</x:v>
      </x:c>
      <x:c r="M856" s="124"/>
      <x:c r="N856" s="124" t="n">
        <x:v>53.6</x:v>
      </x:c>
      <x:c r="O856" s="69" t="str"/>
    </x:row>
    <x:row r="857" ht="21" customHeight="1">
      <x:c r="A857" s="100" t="n">
        <x:v>853</x:v>
      </x:c>
      <x:c r="B857" s="172" t="n">
        <x:v>95211001017</x:v>
      </x:c>
      <x:c r="C857" s="68" t="str">
        <x:v>TRẦN MINH PHÚ</x:v>
      </x:c>
      <x:c r="D857" s="106" t="str"/>
      <x:c r="E857" s="118" t="n">
        <x:v>40547</x:v>
      </x:c>
      <x:c r="F857" s="106" t="str">
        <x:v>Kinh</x:v>
      </x:c>
      <x:c r="G857" s="68" t="str">
        <x:v>Xã Phước Long</x:v>
      </x:c>
      <x:c r="H857" s="68" t="str">
        <x:v>THCS Phước Long</x:v>
      </x:c>
      <x:c r="I857" s="68" t="str">
        <x:v>Xã Phước Long</x:v>
      </x:c>
      <x:c r="J857" s="124" t="n">
        <x:v>25.4</x:v>
      </x:c>
      <x:c r="K857" s="130" t="n">
        <x:v>28</x:v>
      </x:c>
      <x:c r="L857" s="124"/>
      <x:c r="M857" s="124"/>
      <x:c r="N857" s="124" t="n">
        <x:v>53.4</x:v>
      </x:c>
      <x:c r="O857" s="69" t="str"/>
    </x:row>
    <x:row r="858" ht="21" customHeight="1">
      <x:c r="A858" s="100" t="n">
        <x:v>854</x:v>
      </x:c>
      <x:c r="B858" s="172" t="n">
        <x:v>95211003719</x:v>
      </x:c>
      <x:c r="C858" s="68" t="str">
        <x:v>PHÙNG QUANG VINH</x:v>
      </x:c>
      <x:c r="D858" s="106" t="str"/>
      <x:c r="E858" s="118" t="n">
        <x:v>40558</x:v>
      </x:c>
      <x:c r="F858" s="106" t="str">
        <x:v>Kinh</x:v>
      </x:c>
      <x:c r="G858" s="68" t="str">
        <x:v>Xã Vĩnh Phước</x:v>
      </x:c>
      <x:c r="H858" s="68" t="str">
        <x:v>THCS Vĩnh Phú Tây</x:v>
      </x:c>
      <x:c r="I858" s="68" t="str">
        <x:v>Xã Vĩnh Phước</x:v>
      </x:c>
      <x:c r="J858" s="124" t="n">
        <x:v>25.4</x:v>
      </x:c>
      <x:c r="K858" s="130" t="n">
        <x:v>28</x:v>
      </x:c>
      <x:c r="L858" s="124"/>
      <x:c r="M858" s="124"/>
      <x:c r="N858" s="124" t="n">
        <x:v>53.4</x:v>
      </x:c>
      <x:c r="O858" s="69" t="str"/>
    </x:row>
    <x:row r="859" ht="21" customHeight="1">
      <x:c r="A859" s="100" t="n">
        <x:v>855</x:v>
      </x:c>
      <x:c r="B859" s="172" t="n">
        <x:v>95311006042</x:v>
      </x:c>
      <x:c r="C859" s="68" t="str">
        <x:v>PHAN NGỌC THẢO NGUYỄN</x:v>
      </x:c>
      <x:c r="D859" s="106" t="str">
        <x:v>X</x:v>
      </x:c>
      <x:c r="E859" s="118" t="n">
        <x:v>40670</x:v>
      </x:c>
      <x:c r="F859" s="106" t="str">
        <x:v>Kinh</x:v>
      </x:c>
      <x:c r="G859" s="68" t="str">
        <x:v>Xã Phước Long</x:v>
      </x:c>
      <x:c r="H859" s="68" t="str">
        <x:v>THCS Vương Hữu Nhơn</x:v>
      </x:c>
      <x:c r="I859" s="68" t="str">
        <x:v>Xã Phước Long</x:v>
      </x:c>
      <x:c r="J859" s="124" t="n">
        <x:v>24.4</x:v>
      </x:c>
      <x:c r="K859" s="130" t="n">
        <x:v>28</x:v>
      </x:c>
      <x:c r="L859" s="124" t="n">
        <x:v>1</x:v>
      </x:c>
      <x:c r="M859" s="124"/>
      <x:c r="N859" s="124" t="n">
        <x:v>53.4</x:v>
      </x:c>
      <x:c r="O859" s="69" t="str"/>
    </x:row>
    <x:row r="860" ht="21" customHeight="1">
      <x:c r="A860" s="100" t="n">
        <x:v>856</x:v>
      </x:c>
      <x:c r="B860" s="172" t="n">
        <x:v>95211006610</x:v>
      </x:c>
      <x:c r="C860" s="68" t="str">
        <x:v>VÕ HOÀNG QUỐC DINH</x:v>
      </x:c>
      <x:c r="D860" s="106" t="str"/>
      <x:c r="E860" s="118" t="n">
        <x:v>40699</x:v>
      </x:c>
      <x:c r="F860" s="106" t="str">
        <x:v>Kinh</x:v>
      </x:c>
      <x:c r="G860" s="68" t="str">
        <x:v>Xã Vĩnh Thanh</x:v>
      </x:c>
      <x:c r="H860" s="68" t="str">
        <x:v>THCS Hưng Phú</x:v>
      </x:c>
      <x:c r="I860" s="68" t="str">
        <x:v>Xã Vĩnh Thanh</x:v>
      </x:c>
      <x:c r="J860" s="124" t="n">
        <x:v>25.3</x:v>
      </x:c>
      <x:c r="K860" s="130" t="n">
        <x:v>28</x:v>
      </x:c>
      <x:c r="L860" s="124"/>
      <x:c r="M860" s="124"/>
      <x:c r="N860" s="124" t="n">
        <x:v>53.3</x:v>
      </x:c>
      <x:c r="O860" s="69" t="str"/>
    </x:row>
    <x:row r="861" ht="21" customHeight="1">
      <x:c r="A861" s="100" t="n">
        <x:v>857</x:v>
      </x:c>
      <x:c r="B861" s="172" t="n">
        <x:v>95211002906</x:v>
      </x:c>
      <x:c r="C861" s="68" t="str">
        <x:v>LÊ TẤN BO</x:v>
      </x:c>
      <x:c r="D861" s="106" t="str"/>
      <x:c r="E861" s="118" t="n">
        <x:v>40869</x:v>
      </x:c>
      <x:c r="F861" s="106" t="str">
        <x:v>Kinh</x:v>
      </x:c>
      <x:c r="G861" s="68" t="str">
        <x:v>Xã Phước Long</x:v>
      </x:c>
      <x:c r="H861" s="68" t="str">
        <x:v>THCS Vương Hữu Nhơn</x:v>
      </x:c>
      <x:c r="I861" s="68" t="str">
        <x:v>Xã Phước Long</x:v>
      </x:c>
      <x:c r="J861" s="124" t="n">
        <x:v>26.3</x:v>
      </x:c>
      <x:c r="K861" s="130" t="n">
        <x:v>27</x:v>
      </x:c>
      <x:c r="L861" s="124"/>
      <x:c r="M861" s="124"/>
      <x:c r="N861" s="124" t="n">
        <x:v>53.3</x:v>
      </x:c>
      <x:c r="O861" s="69" t="str"/>
    </x:row>
    <x:row r="862" ht="21" customHeight="1">
      <x:c r="A862" s="100" t="n">
        <x:v>858</x:v>
      </x:c>
      <x:c r="B862" s="172" t="n">
        <x:v>95311007081</x:v>
      </x:c>
      <x:c r="C862" s="68" t="str">
        <x:v>ĐÀO PHƯƠNG THUÝ</x:v>
      </x:c>
      <x:c r="D862" s="106" t="str">
        <x:v>X</x:v>
      </x:c>
      <x:c r="E862" s="118" t="n">
        <x:v>40844</x:v>
      </x:c>
      <x:c r="F862" s="106" t="str">
        <x:v>Kinh</x:v>
      </x:c>
      <x:c r="G862" s="68" t="str">
        <x:v>Xã Phước Long</x:v>
      </x:c>
      <x:c r="H862" s="68" t="str">
        <x:v>THCS Phước Long</x:v>
      </x:c>
      <x:c r="I862" s="68" t="str">
        <x:v>Xã Phước Long</x:v>
      </x:c>
      <x:c r="J862" s="124" t="n">
        <x:v>25.2</x:v>
      </x:c>
      <x:c r="K862" s="130" t="n">
        <x:v>28</x:v>
      </x:c>
      <x:c r="L862" s="124"/>
      <x:c r="M862" s="124"/>
      <x:c r="N862" s="124" t="n">
        <x:v>53.2</x:v>
      </x:c>
      <x:c r="O862" s="69" t="str"/>
    </x:row>
    <x:row r="863" ht="21" customHeight="1">
      <x:c r="A863" s="100" t="n">
        <x:v>859</x:v>
      </x:c>
      <x:c r="B863" s="172" t="n">
        <x:v>95211003642</x:v>
      </x:c>
      <x:c r="C863" s="68" t="str">
        <x:v>NGUYỄN KHÁNH DUY</x:v>
      </x:c>
      <x:c r="D863" s="106" t="str"/>
      <x:c r="E863" s="118" t="n">
        <x:v>40902</x:v>
      </x:c>
      <x:c r="F863" s="106" t="str">
        <x:v>Kinh</x:v>
      </x:c>
      <x:c r="G863" s="68" t="str">
        <x:v>Xã Phước Long</x:v>
      </x:c>
      <x:c r="H863" s="68" t="str">
        <x:v>THCS Phước Long</x:v>
      </x:c>
      <x:c r="I863" s="68" t="str">
        <x:v>Xã Phước Long</x:v>
      </x:c>
      <x:c r="J863" s="124" t="n">
        <x:v>25.2</x:v>
      </x:c>
      <x:c r="K863" s="130" t="n">
        <x:v>28</x:v>
      </x:c>
      <x:c r="L863" s="124"/>
      <x:c r="M863" s="124"/>
      <x:c r="N863" s="124" t="n">
        <x:v>53.2</x:v>
      </x:c>
      <x:c r="O863" s="69" t="str"/>
    </x:row>
    <x:row r="864" ht="21" customHeight="1">
      <x:c r="A864" s="100" t="n">
        <x:v>860</x:v>
      </x:c>
      <x:c r="B864" s="172" t="n">
        <x:v>95211004970</x:v>
      </x:c>
      <x:c r="C864" s="68" t="str">
        <x:v>TRẦN MINH KHÔI</x:v>
      </x:c>
      <x:c r="D864" s="106" t="str"/>
      <x:c r="E864" s="118" t="n">
        <x:v>40706</x:v>
      </x:c>
      <x:c r="F864" s="106" t="str">
        <x:v>Kinh</x:v>
      </x:c>
      <x:c r="G864" s="68" t="str">
        <x:v>Xã Phước Long</x:v>
      </x:c>
      <x:c r="H864" s="68" t="str">
        <x:v>THCS Vương Hữu Nhơn</x:v>
      </x:c>
      <x:c r="I864" s="68" t="str">
        <x:v>Xã Phước Long</x:v>
      </x:c>
      <x:c r="J864" s="124" t="n">
        <x:v>24.2</x:v>
      </x:c>
      <x:c r="K864" s="130" t="n">
        <x:v>28</x:v>
      </x:c>
      <x:c r="L864" s="124" t="n">
        <x:v>1</x:v>
      </x:c>
      <x:c r="M864" s="124"/>
      <x:c r="N864" s="124" t="n">
        <x:v>53.2</x:v>
      </x:c>
      <x:c r="O864" s="69" t="str"/>
    </x:row>
    <x:row r="865" ht="21" customHeight="1">
      <x:c r="A865" s="100" t="n">
        <x:v>861</x:v>
      </x:c>
      <x:c r="B865" s="172" t="n">
        <x:v>95209001197</x:v>
      </x:c>
      <x:c r="C865" s="68" t="str">
        <x:v>NGUYỄN THANH PHONG</x:v>
      </x:c>
      <x:c r="D865" s="106" t="str"/>
      <x:c r="E865" s="118" t="n">
        <x:v>39982</x:v>
      </x:c>
      <x:c r="F865" s="106" t="str">
        <x:v>Kinh</x:v>
      </x:c>
      <x:c r="G865" s="68" t="str">
        <x:v>Xã Vĩnh Phước</x:v>
      </x:c>
      <x:c r="H865" s="68" t="str">
        <x:v>THCS Vĩnh Phú Tây</x:v>
      </x:c>
      <x:c r="I865" s="68" t="str">
        <x:v>Xã Vĩnh Phước</x:v>
      </x:c>
      <x:c r="J865" s="124" t="n">
        <x:v>25.2</x:v>
      </x:c>
      <x:c r="K865" s="130" t="n">
        <x:v>28</x:v>
      </x:c>
      <x:c r="L865" s="124"/>
      <x:c r="M865" s="124"/>
      <x:c r="N865" s="124" t="n">
        <x:v>53.2</x:v>
      </x:c>
      <x:c r="O865" s="69" t="str"/>
    </x:row>
    <x:row r="866" ht="21" customHeight="1">
      <x:c r="A866" s="100" t="n">
        <x:v>862</x:v>
      </x:c>
      <x:c r="B866" s="172" t="n">
        <x:v>95211006172</x:v>
      </x:c>
      <x:c r="C866" s="68" t="str">
        <x:v>ĐỖ ANH KIỆT</x:v>
      </x:c>
      <x:c r="D866" s="106" t="str"/>
      <x:c r="E866" s="118" t="n">
        <x:v>40749</x:v>
      </x:c>
      <x:c r="F866" s="106" t="str">
        <x:v>Kinh</x:v>
      </x:c>
      <x:c r="G866" s="68" t="str">
        <x:v>Xã Vĩnh Thanh</x:v>
      </x:c>
      <x:c r="H866" s="68" t="str">
        <x:v>THCS Phước Long</x:v>
      </x:c>
      <x:c r="I866" s="68" t="str">
        <x:v>Xã Phước Long</x:v>
      </x:c>
      <x:c r="J866" s="124" t="n">
        <x:v>25.1</x:v>
      </x:c>
      <x:c r="K866" s="130" t="n">
        <x:v>28</x:v>
      </x:c>
      <x:c r="L866" s="124"/>
      <x:c r="M866" s="124"/>
      <x:c r="N866" s="124" t="n">
        <x:v>53.1</x:v>
      </x:c>
      <x:c r="O866" s="69" t="str"/>
    </x:row>
    <x:row r="867" ht="21" customHeight="1">
      <x:c r="A867" s="100" t="n">
        <x:v>863</x:v>
      </x:c>
      <x:c r="B867" s="172" t="n">
        <x:v>95211004567</x:v>
      </x:c>
      <x:c r="C867" s="68" t="str">
        <x:v>CÙ BÌNH AN</x:v>
      </x:c>
      <x:c r="D867" s="106" t="str"/>
      <x:c r="E867" s="118" t="n">
        <x:v>40889</x:v>
      </x:c>
      <x:c r="F867" s="106" t="str">
        <x:v>Kinh</x:v>
      </x:c>
      <x:c r="G867" s="68" t="str">
        <x:v>Xã Phước Long</x:v>
      </x:c>
      <x:c r="H867" s="68" t="str">
        <x:v>THCS Phước Long</x:v>
      </x:c>
      <x:c r="I867" s="68" t="str">
        <x:v>Xã Phước Long</x:v>
      </x:c>
      <x:c r="J867" s="124" t="n">
        <x:v>26</x:v>
      </x:c>
      <x:c r="K867" s="130" t="n">
        <x:v>27</x:v>
      </x:c>
      <x:c r="L867" s="124"/>
      <x:c r="M867" s="124"/>
      <x:c r="N867" s="124" t="n">
        <x:v>53</x:v>
      </x:c>
      <x:c r="O867" s="69" t="str"/>
    </x:row>
    <x:row r="868" ht="21" customHeight="1">
      <x:c r="A868" s="100" t="n">
        <x:v>864</x:v>
      </x:c>
      <x:c r="B868" s="172" t="n">
        <x:v>95211005968</x:v>
      </x:c>
      <x:c r="C868" s="68" t="str">
        <x:v>TRẦN MINH TUẤN</x:v>
      </x:c>
      <x:c r="D868" s="106" t="str"/>
      <x:c r="E868" s="118" t="n">
        <x:v>40816</x:v>
      </x:c>
      <x:c r="F868" s="106" t="str">
        <x:v>Kinh</x:v>
      </x:c>
      <x:c r="G868" s="68" t="str">
        <x:v>Xã Phước Long</x:v>
      </x:c>
      <x:c r="H868" s="68" t="str">
        <x:v>THCS Vương Hữu Nhơn</x:v>
      </x:c>
      <x:c r="I868" s="68" t="str">
        <x:v>Xã Phước Long</x:v>
      </x:c>
      <x:c r="J868" s="124" t="n">
        <x:v>25</x:v>
      </x:c>
      <x:c r="K868" s="130" t="n">
        <x:v>28</x:v>
      </x:c>
      <x:c r="L868" s="124"/>
      <x:c r="M868" s="124"/>
      <x:c r="N868" s="124" t="n">
        <x:v>53</x:v>
      </x:c>
      <x:c r="O868" s="69" t="str"/>
    </x:row>
    <x:row r="869" ht="21" customHeight="1">
      <x:c r="A869" s="100" t="n">
        <x:v>865</x:v>
      </x:c>
      <x:c r="B869" s="172" t="n">
        <x:v>95211009340</x:v>
      </x:c>
      <x:c r="C869" s="68" t="str">
        <x:v>NGUYỄN MINH KHANG</x:v>
      </x:c>
      <x:c r="D869" s="106" t="str"/>
      <x:c r="E869" s="118" t="n">
        <x:v>40875</x:v>
      </x:c>
      <x:c r="F869" s="106" t="str">
        <x:v>Kinh</x:v>
      </x:c>
      <x:c r="G869" s="68" t="str">
        <x:v>Xã Phước Long</x:v>
      </x:c>
      <x:c r="H869" s="68" t="str">
        <x:v>THCS Phước Long</x:v>
      </x:c>
      <x:c r="I869" s="68" t="str">
        <x:v>Xã Phước Long</x:v>
      </x:c>
      <x:c r="J869" s="124" t="n">
        <x:v>24.9</x:v>
      </x:c>
      <x:c r="K869" s="130" t="n">
        <x:v>28</x:v>
      </x:c>
      <x:c r="L869" s="124"/>
      <x:c r="M869" s="124"/>
      <x:c r="N869" s="124" t="n">
        <x:v>52.9</x:v>
      </x:c>
      <x:c r="O869" s="69" t="str"/>
    </x:row>
    <x:row r="870" ht="21" customHeight="1">
      <x:c r="A870" s="100" t="n">
        <x:v>866</x:v>
      </x:c>
      <x:c r="B870" s="172" t="n">
        <x:v>95211002523</x:v>
      </x:c>
      <x:c r="C870" s="68" t="str">
        <x:v>NGUYỄN VĂN LĨNH</x:v>
      </x:c>
      <x:c r="D870" s="106" t="str"/>
      <x:c r="E870" s="118" t="n">
        <x:v>40782</x:v>
      </x:c>
      <x:c r="F870" s="106" t="str">
        <x:v>Kinh</x:v>
      </x:c>
      <x:c r="G870" s="68" t="str">
        <x:v>Xã Phước Long</x:v>
      </x:c>
      <x:c r="H870" s="68" t="str">
        <x:v>THCS Phước Long</x:v>
      </x:c>
      <x:c r="I870" s="68" t="str">
        <x:v>Xã Phước Long</x:v>
      </x:c>
      <x:c r="J870" s="124" t="n">
        <x:v>24.8</x:v>
      </x:c>
      <x:c r="K870" s="130" t="n">
        <x:v>28</x:v>
      </x:c>
      <x:c r="L870" s="124"/>
      <x:c r="M870" s="124"/>
      <x:c r="N870" s="124" t="n">
        <x:v>52.8</x:v>
      </x:c>
      <x:c r="O870" s="69" t="str"/>
    </x:row>
    <x:row r="871" ht="21" customHeight="1">
      <x:c r="A871" s="100" t="n">
        <x:v>867</x:v>
      </x:c>
      <x:c r="B871" s="172" t="n">
        <x:v>95311001828</x:v>
      </x:c>
      <x:c r="C871" s="68" t="str">
        <x:v>NGUYỄN NGỌC NHƯ Ý</x:v>
      </x:c>
      <x:c r="D871" s="106" t="str">
        <x:v>X</x:v>
      </x:c>
      <x:c r="E871" s="118" t="n">
        <x:v>40685</x:v>
      </x:c>
      <x:c r="F871" s="106" t="str">
        <x:v>Kinh</x:v>
      </x:c>
      <x:c r="G871" s="68" t="str">
        <x:v>Xã Vĩnh Thanh</x:v>
      </x:c>
      <x:c r="H871" s="68" t="str">
        <x:v>THCS Hưng Phú</x:v>
      </x:c>
      <x:c r="I871" s="68" t="str">
        <x:v>Xã Vĩnh Thanh</x:v>
      </x:c>
      <x:c r="J871" s="124" t="n">
        <x:v>24.8</x:v>
      </x:c>
      <x:c r="K871" s="130" t="n">
        <x:v>28</x:v>
      </x:c>
      <x:c r="L871" s="124"/>
      <x:c r="M871" s="124"/>
      <x:c r="N871" s="124" t="n">
        <x:v>52.8</x:v>
      </x:c>
      <x:c r="O871" s="69" t="str"/>
    </x:row>
    <x:row r="872" ht="21" customHeight="1">
      <x:c r="A872" s="100" t="n">
        <x:v>868</x:v>
      </x:c>
      <x:c r="B872" s="172" t="n">
        <x:v>96210004515</x:v>
      </x:c>
      <x:c r="C872" s="68" t="str">
        <x:v>LÊ HẢI ĐĂNG</x:v>
      </x:c>
      <x:c r="D872" s="106" t="str"/>
      <x:c r="E872" s="118" t="n">
        <x:v>40409</x:v>
      </x:c>
      <x:c r="F872" s="106" t="str">
        <x:v>Kinh</x:v>
      </x:c>
      <x:c r="G872" s="68" t="str">
        <x:v>Xã Vĩnh Thanh</x:v>
      </x:c>
      <x:c r="H872" s="68" t="str">
        <x:v>THCS Hưng Phú</x:v>
      </x:c>
      <x:c r="I872" s="68" t="str">
        <x:v>Xã Vĩnh Thanh</x:v>
      </x:c>
      <x:c r="J872" s="124" t="n">
        <x:v>24.8</x:v>
      </x:c>
      <x:c r="K872" s="130" t="n">
        <x:v>28</x:v>
      </x:c>
      <x:c r="L872" s="124"/>
      <x:c r="M872" s="124"/>
      <x:c r="N872" s="124" t="n">
        <x:v>52.8</x:v>
      </x:c>
      <x:c r="O872" s="69" t="str"/>
    </x:row>
    <x:row r="873" ht="21" customHeight="1">
      <x:c r="A873" s="100" t="n">
        <x:v>869</x:v>
      </x:c>
      <x:c r="B873" s="172" t="n">
        <x:v>95211004069</x:v>
      </x:c>
      <x:c r="C873" s="68" t="str">
        <x:v>NGUYỄN GIA VỸ</x:v>
      </x:c>
      <x:c r="D873" s="106" t="str"/>
      <x:c r="E873" s="118" t="n">
        <x:v>40886</x:v>
      </x:c>
      <x:c r="F873" s="106" t="str">
        <x:v>Kinh</x:v>
      </x:c>
      <x:c r="G873" s="68" t="str">
        <x:v>Xã Phước Long</x:v>
      </x:c>
      <x:c r="H873" s="68" t="str">
        <x:v>THCS Phước Long</x:v>
      </x:c>
      <x:c r="I873" s="68" t="str">
        <x:v>Xã Phước Long</x:v>
      </x:c>
      <x:c r="J873" s="124" t="n">
        <x:v>24.7</x:v>
      </x:c>
      <x:c r="K873" s="130" t="n">
        <x:v>28</x:v>
      </x:c>
      <x:c r="L873" s="124"/>
      <x:c r="M873" s="124"/>
      <x:c r="N873" s="124" t="n">
        <x:v>52.7</x:v>
      </x:c>
      <x:c r="O873" s="69" t="str"/>
    </x:row>
    <x:row r="874" ht="21" customHeight="1">
      <x:c r="A874" s="100" t="n">
        <x:v>870</x:v>
      </x:c>
      <x:c r="B874" s="172" t="n">
        <x:v>95311008108</x:v>
      </x:c>
      <x:c r="C874" s="68" t="str">
        <x:v>NGUYỄN NHƯ Ý</x:v>
      </x:c>
      <x:c r="D874" s="106" t="str">
        <x:v>X</x:v>
      </x:c>
      <x:c r="E874" s="118" t="n">
        <x:v>40846</x:v>
      </x:c>
      <x:c r="F874" s="106" t="str">
        <x:v>Kinh</x:v>
      </x:c>
      <x:c r="G874" s="68" t="str">
        <x:v>Xã Vĩnh Phước</x:v>
      </x:c>
      <x:c r="H874" s="68" t="str">
        <x:v>THCS Phước Long</x:v>
      </x:c>
      <x:c r="I874" s="68" t="str">
        <x:v>Xã Phước Long</x:v>
      </x:c>
      <x:c r="J874" s="124" t="n">
        <x:v>24.6</x:v>
      </x:c>
      <x:c r="K874" s="130" t="n">
        <x:v>28</x:v>
      </x:c>
      <x:c r="L874" s="124"/>
      <x:c r="M874" s="124"/>
      <x:c r="N874" s="124" t="n">
        <x:v>52.6</x:v>
      </x:c>
      <x:c r="O874" s="69" t="str"/>
    </x:row>
    <x:row r="875" ht="21" customHeight="1">
      <x:c r="A875" s="100" t="n">
        <x:v>871</x:v>
      </x:c>
      <x:c r="B875" s="172" t="n">
        <x:v>95211006114</x:v>
      </x:c>
      <x:c r="C875" s="68" t="str">
        <x:v>VÕ PHƯỚC THỊNH</x:v>
      </x:c>
      <x:c r="D875" s="106" t="str"/>
      <x:c r="E875" s="118" t="n">
        <x:v>40772</x:v>
      </x:c>
      <x:c r="F875" s="106" t="str">
        <x:v>Kinh</x:v>
      </x:c>
      <x:c r="G875" s="68" t="str">
        <x:v>Xã Phước Long</x:v>
      </x:c>
      <x:c r="H875" s="68" t="str">
        <x:v>THCS Phước Long</x:v>
      </x:c>
      <x:c r="I875" s="68" t="str">
        <x:v>Xã Phước Long</x:v>
      </x:c>
      <x:c r="J875" s="124" t="n">
        <x:v>24.5</x:v>
      </x:c>
      <x:c r="K875" s="130" t="n">
        <x:v>28</x:v>
      </x:c>
      <x:c r="L875" s="124"/>
      <x:c r="M875" s="124"/>
      <x:c r="N875" s="124" t="n">
        <x:v>52.5</x:v>
      </x:c>
      <x:c r="O875" s="69" t="str"/>
    </x:row>
    <x:row r="876" ht="21" customHeight="1">
      <x:c r="A876" s="100" t="n">
        <x:v>872</x:v>
      </x:c>
      <x:c r="B876" s="172" t="n">
        <x:v>79310012169</x:v>
      </x:c>
      <x:c r="C876" s="68" t="str">
        <x:v>TRẦN NGỌC HỒNG ÂN</x:v>
      </x:c>
      <x:c r="D876" s="106" t="str">
        <x:v>X</x:v>
      </x:c>
      <x:c r="E876" s="118" t="n">
        <x:v>40326</x:v>
      </x:c>
      <x:c r="F876" s="106" t="str">
        <x:v>Kinh</x:v>
      </x:c>
      <x:c r="G876" s="68" t="str">
        <x:v>Xã Vĩnh Thanh</x:v>
      </x:c>
      <x:c r="H876" s="68" t="str">
        <x:v>THCS Hưng Phú</x:v>
      </x:c>
      <x:c r="I876" s="68" t="str">
        <x:v>Xã Vĩnh Thanh</x:v>
      </x:c>
      <x:c r="J876" s="124" t="n">
        <x:v>24.5</x:v>
      </x:c>
      <x:c r="K876" s="130" t="n">
        <x:v>28</x:v>
      </x:c>
      <x:c r="L876" s="124"/>
      <x:c r="M876" s="124"/>
      <x:c r="N876" s="124" t="n">
        <x:v>52.5</x:v>
      </x:c>
      <x:c r="O876" s="69" t="str"/>
    </x:row>
    <x:row r="877" ht="21" customHeight="1">
      <x:c r="A877" s="100" t="n">
        <x:v>873</x:v>
      </x:c>
      <x:c r="B877" s="172" t="n">
        <x:v>95211009679</x:v>
      </x:c>
      <x:c r="C877" s="68" t="str">
        <x:v>PHẠM THÀNH VINH</x:v>
      </x:c>
      <x:c r="D877" s="106" t="str"/>
      <x:c r="E877" s="118" t="n">
        <x:v>40655</x:v>
      </x:c>
      <x:c r="F877" s="106" t="str">
        <x:v>Kinh</x:v>
      </x:c>
      <x:c r="G877" s="68" t="str">
        <x:v>Xã Phước Long</x:v>
      </x:c>
      <x:c r="H877" s="68" t="str">
        <x:v>THCS Phước Long</x:v>
      </x:c>
      <x:c r="I877" s="68" t="str">
        <x:v>Xã Phước Long</x:v>
      </x:c>
      <x:c r="J877" s="124" t="n">
        <x:v>25.4</x:v>
      </x:c>
      <x:c r="K877" s="130" t="n">
        <x:v>27</x:v>
      </x:c>
      <x:c r="L877" s="124"/>
      <x:c r="M877" s="124"/>
      <x:c r="N877" s="124" t="n">
        <x:v>52.4</x:v>
      </x:c>
      <x:c r="O877" s="69" t="str"/>
    </x:row>
    <x:row r="878" ht="21" customHeight="1">
      <x:c r="A878" s="100" t="n">
        <x:v>874</x:v>
      </x:c>
      <x:c r="B878" s="172" t="n">
        <x:v>95211009672</x:v>
      </x:c>
      <x:c r="C878" s="68" t="str">
        <x:v>TRẦN GIA BẢO</x:v>
      </x:c>
      <x:c r="D878" s="106" t="str"/>
      <x:c r="E878" s="118" t="n">
        <x:v>40889</x:v>
      </x:c>
      <x:c r="F878" s="106" t="str">
        <x:v>Kinh</x:v>
      </x:c>
      <x:c r="G878" s="68" t="str">
        <x:v>Xã Vĩnh Thanh</x:v>
      </x:c>
      <x:c r="H878" s="68" t="str">
        <x:v>THCS Hưng Phú</x:v>
      </x:c>
      <x:c r="I878" s="68" t="str">
        <x:v>Xã Vĩnh Thanh</x:v>
      </x:c>
      <x:c r="J878" s="124" t="n">
        <x:v>24.4</x:v>
      </x:c>
      <x:c r="K878" s="130" t="n">
        <x:v>28</x:v>
      </x:c>
      <x:c r="L878" s="124"/>
      <x:c r="M878" s="124"/>
      <x:c r="N878" s="124" t="n">
        <x:v>52.4</x:v>
      </x:c>
      <x:c r="O878" s="69" t="str"/>
    </x:row>
    <x:row r="879" ht="21" customHeight="1">
      <x:c r="A879" s="100" t="n">
        <x:v>875</x:v>
      </x:c>
      <x:c r="B879" s="172" t="n">
        <x:v>95211002590</x:v>
      </x:c>
      <x:c r="C879" s="68" t="str">
        <x:v>TRẦN MINH TOÀN</x:v>
      </x:c>
      <x:c r="D879" s="106" t="str"/>
      <x:c r="E879" s="118" t="n">
        <x:v>40862</x:v>
      </x:c>
      <x:c r="F879" s="106" t="str">
        <x:v>Kinh</x:v>
      </x:c>
      <x:c r="G879" s="68" t="str">
        <x:v>Xã Phước Long</x:v>
      </x:c>
      <x:c r="H879" s="68" t="str">
        <x:v>THCS Phước Long</x:v>
      </x:c>
      <x:c r="I879" s="68" t="str">
        <x:v>Xã Phước Long</x:v>
      </x:c>
      <x:c r="J879" s="124" t="n">
        <x:v>24.3</x:v>
      </x:c>
      <x:c r="K879" s="130" t="n">
        <x:v>28</x:v>
      </x:c>
      <x:c r="L879" s="124"/>
      <x:c r="M879" s="124"/>
      <x:c r="N879" s="124" t="n">
        <x:v>52.3</x:v>
      </x:c>
      <x:c r="O879" s="69" t="str"/>
    </x:row>
    <x:row r="880" ht="21" customHeight="1">
      <x:c r="A880" s="100" t="n">
        <x:v>876</x:v>
      </x:c>
      <x:c r="B880" s="172" t="n">
        <x:v>96311008230</x:v>
      </x:c>
      <x:c r="C880" s="68" t="str">
        <x:v>PHẠM MỸ TIÊN</x:v>
      </x:c>
      <x:c r="D880" s="106" t="str">
        <x:v>X</x:v>
      </x:c>
      <x:c r="E880" s="118" t="n">
        <x:v>40735</x:v>
      </x:c>
      <x:c r="F880" s="106" t="str">
        <x:v>Kinh</x:v>
      </x:c>
      <x:c r="G880" s="68" t="str">
        <x:v>Xã Phước Long</x:v>
      </x:c>
      <x:c r="H880" s="68" t="str">
        <x:v>THCS Phước Long</x:v>
      </x:c>
      <x:c r="I880" s="68" t="str">
        <x:v>Xã Phước Long</x:v>
      </x:c>
      <x:c r="J880" s="124" t="n">
        <x:v>25.2</x:v>
      </x:c>
      <x:c r="K880" s="130" t="n">
        <x:v>27</x:v>
      </x:c>
      <x:c r="L880" s="124"/>
      <x:c r="M880" s="124"/>
      <x:c r="N880" s="124" t="n">
        <x:v>52.2</x:v>
      </x:c>
      <x:c r="O880" s="69" t="str"/>
    </x:row>
    <x:row r="881" ht="21" customHeight="1">
      <x:c r="A881" s="100" t="n">
        <x:v>877</x:v>
      </x:c>
      <x:c r="B881" s="172" t="n">
        <x:v>95211007014</x:v>
      </x:c>
      <x:c r="C881" s="68" t="str">
        <x:v>NGUYỄN HUỲNH KHANG</x:v>
      </x:c>
      <x:c r="D881" s="106" t="str"/>
      <x:c r="E881" s="118" t="n">
        <x:v>40849</x:v>
      </x:c>
      <x:c r="F881" s="106" t="str">
        <x:v>Kinh</x:v>
      </x:c>
      <x:c r="G881" s="68" t="str">
        <x:v>Phường Láng Tròn</x:v>
      </x:c>
      <x:c r="H881" s="68" t="str">
        <x:v>THCS Phong Thạnh Đông</x:v>
      </x:c>
      <x:c r="I881" s="68" t="str">
        <x:v>Phường Láng Tròn</x:v>
      </x:c>
      <x:c r="J881" s="124" t="n">
        <x:v>25.2</x:v>
      </x:c>
      <x:c r="K881" s="130" t="n">
        <x:v>27</x:v>
      </x:c>
      <x:c r="L881" s="124"/>
      <x:c r="M881" s="124"/>
      <x:c r="N881" s="124" t="n">
        <x:v>52.2</x:v>
      </x:c>
      <x:c r="O881" s="69" t="str"/>
    </x:row>
    <x:row r="882" ht="21" customHeight="1">
      <x:c r="A882" s="100" t="n">
        <x:v>878</x:v>
      </x:c>
      <x:c r="B882" s="172" t="n">
        <x:v>95211005623</x:v>
      </x:c>
      <x:c r="C882" s="68" t="str">
        <x:v>NGUYỄN QUỐC TRUNG</x:v>
      </x:c>
      <x:c r="D882" s="106" t="str"/>
      <x:c r="E882" s="118" t="n">
        <x:v>40569</x:v>
      </x:c>
      <x:c r="F882" s="106" t="str">
        <x:v>Kinh</x:v>
      </x:c>
      <x:c r="G882" s="68" t="str">
        <x:v>Xã Phước Long</x:v>
      </x:c>
      <x:c r="H882" s="68" t="str">
        <x:v>THCS Phước Long</x:v>
      </x:c>
      <x:c r="I882" s="68" t="str">
        <x:v>Xã Phước Long</x:v>
      </x:c>
      <x:c r="J882" s="124" t="n">
        <x:v>25.1</x:v>
      </x:c>
      <x:c r="K882" s="130" t="n">
        <x:v>27</x:v>
      </x:c>
      <x:c r="L882" s="124"/>
      <x:c r="M882" s="124"/>
      <x:c r="N882" s="124" t="n">
        <x:v>52.1</x:v>
      </x:c>
      <x:c r="O882" s="69" t="str"/>
    </x:row>
    <x:row r="883" ht="21" customHeight="1">
      <x:c r="A883" s="100" t="n">
        <x:v>879</x:v>
      </x:c>
      <x:c r="B883" s="172" t="n">
        <x:v>95211000607</x:v>
      </x:c>
      <x:c r="C883" s="68" t="str">
        <x:v>LÊ HỮU PHÁT</x:v>
      </x:c>
      <x:c r="D883" s="106" t="str"/>
      <x:c r="E883" s="118" t="n">
        <x:v>40786</x:v>
      </x:c>
      <x:c r="F883" s="106" t="str">
        <x:v>Kinh</x:v>
      </x:c>
      <x:c r="G883" s="68" t="str">
        <x:v>Xã Vĩnh Thanh</x:v>
      </x:c>
      <x:c r="H883" s="68" t="str">
        <x:v>THCS Hưng Phú</x:v>
      </x:c>
      <x:c r="I883" s="68" t="str">
        <x:v>Xã Vĩnh Thanh</x:v>
      </x:c>
      <x:c r="J883" s="124" t="n">
        <x:v>25.1</x:v>
      </x:c>
      <x:c r="K883" s="130" t="n">
        <x:v>27</x:v>
      </x:c>
      <x:c r="L883" s="124"/>
      <x:c r="M883" s="124"/>
      <x:c r="N883" s="124" t="n">
        <x:v>52.1</x:v>
      </x:c>
      <x:c r="O883" s="69" t="str"/>
    </x:row>
    <x:row r="884" ht="21" customHeight="1">
      <x:c r="A884" s="100" t="n">
        <x:v>880</x:v>
      </x:c>
      <x:c r="B884" s="172" t="n">
        <x:v>95211009268</x:v>
      </x:c>
      <x:c r="C884" s="68" t="str">
        <x:v>TRẦN HOÀNG DUY KHOA</x:v>
      </x:c>
      <x:c r="D884" s="106" t="str"/>
      <x:c r="E884" s="118" t="n">
        <x:v>40706</x:v>
      </x:c>
      <x:c r="F884" s="106" t="str">
        <x:v>Kinh</x:v>
      </x:c>
      <x:c r="G884" s="68" t="str">
        <x:v>Xã Phước Long</x:v>
      </x:c>
      <x:c r="H884" s="68" t="str">
        <x:v>THCS Vương Hữu Nhơn</x:v>
      </x:c>
      <x:c r="I884" s="68" t="str">
        <x:v>Xã Phước Long</x:v>
      </x:c>
      <x:c r="J884" s="124" t="n">
        <x:v>24.1</x:v>
      </x:c>
      <x:c r="K884" s="130" t="n">
        <x:v>28</x:v>
      </x:c>
      <x:c r="L884" s="124"/>
      <x:c r="M884" s="124"/>
      <x:c r="N884" s="124" t="n">
        <x:v>52.1</x:v>
      </x:c>
      <x:c r="O884" s="69" t="str"/>
    </x:row>
    <x:row r="885" ht="21" customHeight="1">
      <x:c r="A885" s="100" t="n">
        <x:v>881</x:v>
      </x:c>
      <x:c r="B885" s="172" t="n">
        <x:v>95211000502</x:v>
      </x:c>
      <x:c r="C885" s="68" t="str">
        <x:v>PHAN GIA HẠO</x:v>
      </x:c>
      <x:c r="D885" s="106" t="str"/>
      <x:c r="E885" s="118" t="n">
        <x:v>40792</x:v>
      </x:c>
      <x:c r="F885" s="106" t="str">
        <x:v>Kinh</x:v>
      </x:c>
      <x:c r="G885" s="68" t="str">
        <x:v>Xã Vĩnh Phước</x:v>
      </x:c>
      <x:c r="H885" s="68" t="str">
        <x:v>THCS Vĩnh Phú Tây</x:v>
      </x:c>
      <x:c r="I885" s="68" t="str">
        <x:v>Xã Vĩnh Phước</x:v>
      </x:c>
      <x:c r="J885" s="124" t="n">
        <x:v>24.1</x:v>
      </x:c>
      <x:c r="K885" s="130" t="n">
        <x:v>28</x:v>
      </x:c>
      <x:c r="L885" s="124"/>
      <x:c r="M885" s="124"/>
      <x:c r="N885" s="124" t="n">
        <x:v>52.1</x:v>
      </x:c>
      <x:c r="O885" s="69" t="str"/>
    </x:row>
    <x:row r="886" ht="21" customHeight="1">
      <x:c r="A886" s="100" t="n">
        <x:v>882</x:v>
      </x:c>
      <x:c r="B886" s="172" t="n">
        <x:v>95311004709</x:v>
      </x:c>
      <x:c r="C886" s="68" t="str">
        <x:v>CÙ THỊ NHƯ HUỲNH</x:v>
      </x:c>
      <x:c r="D886" s="106" t="str">
        <x:v>X</x:v>
      </x:c>
      <x:c r="E886" s="118" t="n">
        <x:v>40759</x:v>
      </x:c>
      <x:c r="F886" s="106" t="str">
        <x:v>Kinh</x:v>
      </x:c>
      <x:c r="G886" s="68" t="str">
        <x:v>Xã Phước Long</x:v>
      </x:c>
      <x:c r="H886" s="68" t="str">
        <x:v>THCS Phước Long</x:v>
      </x:c>
      <x:c r="I886" s="68" t="str">
        <x:v>Xã Phước Long</x:v>
      </x:c>
      <x:c r="J886" s="124" t="n">
        <x:v>24</x:v>
      </x:c>
      <x:c r="K886" s="130" t="n">
        <x:v>28</x:v>
      </x:c>
      <x:c r="L886" s="124"/>
      <x:c r="M886" s="124"/>
      <x:c r="N886" s="124" t="n">
        <x:v>52</x:v>
      </x:c>
      <x:c r="O886" s="69" t="str"/>
    </x:row>
    <x:row r="887" ht="21" customHeight="1">
      <x:c r="A887" s="100" t="n">
        <x:v>883</x:v>
      </x:c>
      <x:c r="B887" s="172" t="n">
        <x:v>95311007973</x:v>
      </x:c>
      <x:c r="C887" s="68" t="str">
        <x:v>HUỲNH NHƯ Ý</x:v>
      </x:c>
      <x:c r="D887" s="106" t="str">
        <x:v>X</x:v>
      </x:c>
      <x:c r="E887" s="118" t="n">
        <x:v>40837</x:v>
      </x:c>
      <x:c r="F887" s="106" t="str">
        <x:v>Kinh</x:v>
      </x:c>
      <x:c r="G887" s="68" t="str">
        <x:v>Xã Phước Long</x:v>
      </x:c>
      <x:c r="H887" s="68" t="str">
        <x:v>THCS Phước Long</x:v>
      </x:c>
      <x:c r="I887" s="68" t="str">
        <x:v>Xã Phước Long</x:v>
      </x:c>
      <x:c r="J887" s="124" t="n">
        <x:v>25</x:v>
      </x:c>
      <x:c r="K887" s="130" t="n">
        <x:v>27</x:v>
      </x:c>
      <x:c r="L887" s="124"/>
      <x:c r="M887" s="124"/>
      <x:c r="N887" s="124" t="n">
        <x:v>52</x:v>
      </x:c>
      <x:c r="O887" s="69" t="str"/>
    </x:row>
    <x:row r="888" ht="21" customHeight="1">
      <x:c r="A888" s="100" t="n">
        <x:v>884</x:v>
      </x:c>
      <x:c r="B888" s="172" t="n">
        <x:v>95211010247</x:v>
      </x:c>
      <x:c r="C888" s="68" t="str">
        <x:v>NGUYỄN GIA KHIÊM</x:v>
      </x:c>
      <x:c r="D888" s="106" t="str"/>
      <x:c r="E888" s="118" t="n">
        <x:v>40776</x:v>
      </x:c>
      <x:c r="F888" s="106" t="str">
        <x:v>Kinh</x:v>
      </x:c>
      <x:c r="G888" s="68" t="str">
        <x:v>Xã Hồng Dân</x:v>
      </x:c>
      <x:c r="H888" s="68" t="str">
        <x:v>THCS Trương Vĩnh Ký</x:v>
      </x:c>
      <x:c r="I888" s="68" t="str">
        <x:v>Xã Hồng Dân</x:v>
      </x:c>
      <x:c r="J888" s="124" t="n">
        <x:v>25</x:v>
      </x:c>
      <x:c r="K888" s="130" t="n">
        <x:v>27</x:v>
      </x:c>
      <x:c r="L888" s="124"/>
      <x:c r="M888" s="124"/>
      <x:c r="N888" s="124" t="n">
        <x:v>52</x:v>
      </x:c>
      <x:c r="O888" s="69" t="str"/>
    </x:row>
    <x:row r="889" ht="21" customHeight="1">
      <x:c r="A889" s="100" t="n">
        <x:v>885</x:v>
      </x:c>
      <x:c r="B889" s="172" t="n">
        <x:v>95211003601</x:v>
      </x:c>
      <x:c r="C889" s="68" t="str">
        <x:v>HUỲNH QUỐC ANH</x:v>
      </x:c>
      <x:c r="D889" s="106" t="str"/>
      <x:c r="E889" s="118" t="n">
        <x:v>40888</x:v>
      </x:c>
      <x:c r="F889" s="106" t="str">
        <x:v>Kinh</x:v>
      </x:c>
      <x:c r="G889" s="68" t="str">
        <x:v>Xã Vĩnh Thanh</x:v>
      </x:c>
      <x:c r="H889" s="68" t="str">
        <x:v>THCS Hưng Phú</x:v>
      </x:c>
      <x:c r="I889" s="68" t="str">
        <x:v>Xã Vĩnh Thanh</x:v>
      </x:c>
      <x:c r="J889" s="124" t="n">
        <x:v>23.9</x:v>
      </x:c>
      <x:c r="K889" s="130" t="n">
        <x:v>28</x:v>
      </x:c>
      <x:c r="L889" s="124"/>
      <x:c r="M889" s="124"/>
      <x:c r="N889" s="124" t="n">
        <x:v>51.9</x:v>
      </x:c>
      <x:c r="O889" s="69" t="str"/>
    </x:row>
    <x:row r="890" ht="21" customHeight="1">
      <x:c r="A890" s="100" t="n">
        <x:v>886</x:v>
      </x:c>
      <x:c r="B890" s="172" t="n">
        <x:v>95211006178</x:v>
      </x:c>
      <x:c r="C890" s="68" t="str">
        <x:v>NGUYỄN PHÚC TOÀN</x:v>
      </x:c>
      <x:c r="D890" s="106" t="str"/>
      <x:c r="E890" s="118" t="n">
        <x:v>40745</x:v>
      </x:c>
      <x:c r="F890" s="106" t="str">
        <x:v>Kinh</x:v>
      </x:c>
      <x:c r="G890" s="68" t="str">
        <x:v>Xã Phước Long</x:v>
      </x:c>
      <x:c r="H890" s="68" t="str">
        <x:v>THCS Vương Hữu Nhơn</x:v>
      </x:c>
      <x:c r="I890" s="68" t="str">
        <x:v>Xã Phước Long</x:v>
      </x:c>
      <x:c r="J890" s="124" t="n">
        <x:v>23.9</x:v>
      </x:c>
      <x:c r="K890" s="130" t="n">
        <x:v>28</x:v>
      </x:c>
      <x:c r="L890" s="124"/>
      <x:c r="M890" s="124"/>
      <x:c r="N890" s="124" t="n">
        <x:v>51.9</x:v>
      </x:c>
      <x:c r="O890" s="69" t="str"/>
    </x:row>
    <x:row r="891" ht="21" customHeight="1">
      <x:c r="A891" s="100" t="n">
        <x:v>887</x:v>
      </x:c>
      <x:c r="B891" s="172" t="n">
        <x:v>95211002180</x:v>
      </x:c>
      <x:c r="C891" s="68" t="str">
        <x:v>ĐOÀN CHÍ HƯNG</x:v>
      </x:c>
      <x:c r="D891" s="106" t="str"/>
      <x:c r="E891" s="118" t="n">
        <x:v>40710</x:v>
      </x:c>
      <x:c r="F891" s="106" t="str">
        <x:v>Kinh</x:v>
      </x:c>
      <x:c r="G891" s="68" t="str">
        <x:v>Xã Phước Long</x:v>
      </x:c>
      <x:c r="H891" s="68" t="str">
        <x:v>THCS Vĩnh Thanh</x:v>
      </x:c>
      <x:c r="I891" s="68" t="str">
        <x:v>Xã Vĩnh Thanh</x:v>
      </x:c>
      <x:c r="J891" s="124" t="n">
        <x:v>24.7</x:v>
      </x:c>
      <x:c r="K891" s="130" t="n">
        <x:v>27</x:v>
      </x:c>
      <x:c r="L891" s="124"/>
      <x:c r="M891" s="124"/>
      <x:c r="N891" s="124" t="n">
        <x:v>51.7</x:v>
      </x:c>
      <x:c r="O891" s="69" t="str"/>
    </x:row>
    <x:row r="892" ht="21" customHeight="1">
      <x:c r="A892" s="100" t="n">
        <x:v>888</x:v>
      </x:c>
      <x:c r="B892" s="172" t="n">
        <x:v>95210008783</x:v>
      </x:c>
      <x:c r="C892" s="68" t="str">
        <x:v>LÊ SUM MIN</x:v>
      </x:c>
      <x:c r="D892" s="106" t="str"/>
      <x:c r="E892" s="118" t="n">
        <x:v>40261</x:v>
      </x:c>
      <x:c r="F892" s="106" t="str">
        <x:v>Kinh</x:v>
      </x:c>
      <x:c r="G892" s="68" t="str">
        <x:v>Xã Vĩnh Thanh</x:v>
      </x:c>
      <x:c r="H892" s="68" t="str">
        <x:v>THCS Hưng Phú</x:v>
      </x:c>
      <x:c r="I892" s="68" t="str">
        <x:v>Xã Vĩnh Thanh</x:v>
      </x:c>
      <x:c r="J892" s="124" t="n">
        <x:v>23.7</x:v>
      </x:c>
      <x:c r="K892" s="130" t="n">
        <x:v>28</x:v>
      </x:c>
      <x:c r="L892" s="124"/>
      <x:c r="M892" s="124"/>
      <x:c r="N892" s="124" t="n">
        <x:v>51.7</x:v>
      </x:c>
      <x:c r="O892" s="69" t="str"/>
    </x:row>
    <x:row r="893" ht="21" customHeight="1">
      <x:c r="A893" s="100" t="n">
        <x:v>889</x:v>
      </x:c>
      <x:c r="B893" s="172" t="n">
        <x:v>95211002837</x:v>
      </x:c>
      <x:c r="C893" s="68" t="str">
        <x:v>NGUYỄN VĨ KHANG</x:v>
      </x:c>
      <x:c r="D893" s="106" t="str"/>
      <x:c r="E893" s="118" t="n">
        <x:v>40695</x:v>
      </x:c>
      <x:c r="F893" s="106" t="str">
        <x:v>Kinh</x:v>
      </x:c>
      <x:c r="G893" s="68" t="str">
        <x:v>Xã Phước Long</x:v>
      </x:c>
      <x:c r="H893" s="68" t="str">
        <x:v>THCS Phước Long</x:v>
      </x:c>
      <x:c r="I893" s="68" t="str">
        <x:v>Xã Phước Long</x:v>
      </x:c>
      <x:c r="J893" s="124" t="n">
        <x:v>24.6</x:v>
      </x:c>
      <x:c r="K893" s="130" t="n">
        <x:v>27</x:v>
      </x:c>
      <x:c r="L893" s="124"/>
      <x:c r="M893" s="124"/>
      <x:c r="N893" s="124" t="n">
        <x:v>51.6</x:v>
      </x:c>
      <x:c r="O893" s="69" t="str"/>
    </x:row>
    <x:row r="894" ht="21" customHeight="1">
      <x:c r="A894" s="100" t="n">
        <x:v>890</x:v>
      </x:c>
      <x:c r="B894" s="172" t="n">
        <x:v>95311004673</x:v>
      </x:c>
      <x:c r="C894" s="68" t="str">
        <x:v>VÕ TƯỜNG VI</x:v>
      </x:c>
      <x:c r="D894" s="106" t="str">
        <x:v>X</x:v>
      </x:c>
      <x:c r="E894" s="118" t="n">
        <x:v>40898</x:v>
      </x:c>
      <x:c r="F894" s="106" t="str">
        <x:v>Kinh</x:v>
      </x:c>
      <x:c r="G894" s="68" t="str">
        <x:v>Xã Phước Long</x:v>
      </x:c>
      <x:c r="H894" s="68" t="str">
        <x:v>THCS Vương Hữu Nhơn</x:v>
      </x:c>
      <x:c r="I894" s="68" t="str">
        <x:v>Xã Phước Long</x:v>
      </x:c>
      <x:c r="J894" s="124" t="n">
        <x:v>24.6</x:v>
      </x:c>
      <x:c r="K894" s="130" t="n">
        <x:v>27</x:v>
      </x:c>
      <x:c r="L894" s="124"/>
      <x:c r="M894" s="124"/>
      <x:c r="N894" s="124" t="n">
        <x:v>51.6</x:v>
      </x:c>
      <x:c r="O894" s="69" t="str"/>
    </x:row>
    <x:row r="895" ht="21" customHeight="1">
      <x:c r="A895" s="100" t="n">
        <x:v>891</x:v>
      </x:c>
      <x:c r="B895" s="172" t="n">
        <x:v>95210006987</x:v>
      </x:c>
      <x:c r="C895" s="68" t="str">
        <x:v>ĐÀO NHẬT PHÚ</x:v>
      </x:c>
      <x:c r="D895" s="106" t="str"/>
      <x:c r="E895" s="118" t="n">
        <x:v>40251</x:v>
      </x:c>
      <x:c r="F895" s="106" t="str">
        <x:v>Kinh</x:v>
      </x:c>
      <x:c r="G895" s="68" t="str">
        <x:v>Xã Phước Long</x:v>
      </x:c>
      <x:c r="H895" s="68" t="str">
        <x:v>THCS Phước Long</x:v>
      </x:c>
      <x:c r="I895" s="68" t="str">
        <x:v>Xã Phước Long</x:v>
      </x:c>
      <x:c r="J895" s="124" t="n">
        <x:v>24.5</x:v>
      </x:c>
      <x:c r="K895" s="130" t="n">
        <x:v>27</x:v>
      </x:c>
      <x:c r="L895" s="124"/>
      <x:c r="M895" s="124"/>
      <x:c r="N895" s="124" t="n">
        <x:v>51.5</x:v>
      </x:c>
      <x:c r="O895" s="69" t="str"/>
    </x:row>
    <x:row r="896" ht="21" customHeight="1">
      <x:c r="A896" s="100" t="n">
        <x:v>892</x:v>
      </x:c>
      <x:c r="B896" s="172" t="n">
        <x:v>95211001573</x:v>
      </x:c>
      <x:c r="C896" s="68" t="str">
        <x:v>HUỲNH PHÚC VINH</x:v>
      </x:c>
      <x:c r="D896" s="106" t="str"/>
      <x:c r="E896" s="118" t="n">
        <x:v>40905</x:v>
      </x:c>
      <x:c r="F896" s="106" t="str">
        <x:v>Kinh</x:v>
      </x:c>
      <x:c r="G896" s="68" t="str">
        <x:v>Xã Phước Long</x:v>
      </x:c>
      <x:c r="H896" s="68" t="str">
        <x:v>THCS Phước Long</x:v>
      </x:c>
      <x:c r="I896" s="68" t="str">
        <x:v>Xã Phước Long</x:v>
      </x:c>
      <x:c r="J896" s="124" t="n">
        <x:v>23.5</x:v>
      </x:c>
      <x:c r="K896" s="130" t="n">
        <x:v>28</x:v>
      </x:c>
      <x:c r="L896" s="124"/>
      <x:c r="M896" s="124"/>
      <x:c r="N896" s="124" t="n">
        <x:v>51.5</x:v>
      </x:c>
      <x:c r="O896" s="69" t="str"/>
    </x:row>
    <x:row r="897" ht="21" customHeight="1">
      <x:c r="A897" s="100" t="n">
        <x:v>893</x:v>
      </x:c>
      <x:c r="B897" s="172" t="n">
        <x:v>95211003877</x:v>
      </x:c>
      <x:c r="C897" s="68" t="str">
        <x:v>TRẦN THANH LAM</x:v>
      </x:c>
      <x:c r="D897" s="106" t="str"/>
      <x:c r="E897" s="118" t="n">
        <x:v>40771</x:v>
      </x:c>
      <x:c r="F897" s="106" t="str">
        <x:v>Kinh</x:v>
      </x:c>
      <x:c r="G897" s="68" t="str">
        <x:v>Xã Vĩnh Phước</x:v>
      </x:c>
      <x:c r="H897" s="68" t="str">
        <x:v>THCS Vĩnh Phú Tây</x:v>
      </x:c>
      <x:c r="I897" s="68" t="str">
        <x:v>Xã Vĩnh Phước</x:v>
      </x:c>
      <x:c r="J897" s="124" t="n">
        <x:v>23.5</x:v>
      </x:c>
      <x:c r="K897" s="130" t="n">
        <x:v>28</x:v>
      </x:c>
      <x:c r="L897" s="124"/>
      <x:c r="M897" s="124"/>
      <x:c r="N897" s="124" t="n">
        <x:v>51.5</x:v>
      </x:c>
      <x:c r="O897" s="69" t="str"/>
    </x:row>
    <x:row r="898" ht="21" customHeight="1">
      <x:c r="A898" s="100" t="n">
        <x:v>894</x:v>
      </x:c>
      <x:c r="B898" s="172" t="n">
        <x:v>95211009761</x:v>
      </x:c>
      <x:c r="C898" s="68" t="str">
        <x:v>NGUYỄN GIA LẠC</x:v>
      </x:c>
      <x:c r="D898" s="106" t="str"/>
      <x:c r="E898" s="118" t="n">
        <x:v>40617</x:v>
      </x:c>
      <x:c r="F898" s="106" t="str">
        <x:v>Kinh</x:v>
      </x:c>
      <x:c r="G898" s="68" t="str">
        <x:v>Xã Phước Long</x:v>
      </x:c>
      <x:c r="H898" s="68" t="str">
        <x:v>THCS Vĩnh Thanh</x:v>
      </x:c>
      <x:c r="I898" s="68" t="str">
        <x:v>Xã Vĩnh Thanh</x:v>
      </x:c>
      <x:c r="J898" s="124" t="n">
        <x:v>24.5</x:v>
      </x:c>
      <x:c r="K898" s="130" t="n">
        <x:v>27</x:v>
      </x:c>
      <x:c r="L898" s="124"/>
      <x:c r="M898" s="124"/>
      <x:c r="N898" s="124" t="n">
        <x:v>51.5</x:v>
      </x:c>
      <x:c r="O898" s="69" t="str"/>
    </x:row>
    <x:row r="899" ht="21" customHeight="1">
      <x:c r="A899" s="100" t="n">
        <x:v>895</x:v>
      </x:c>
      <x:c r="B899" s="172" t="n">
        <x:v>95211001948</x:v>
      </x:c>
      <x:c r="C899" s="68" t="str">
        <x:v>ĐẶNG KHÁNH DUY</x:v>
      </x:c>
      <x:c r="D899" s="106" t="str"/>
      <x:c r="E899" s="118" t="n">
        <x:v>40680</x:v>
      </x:c>
      <x:c r="F899" s="106" t="str">
        <x:v>Kinh</x:v>
      </x:c>
      <x:c r="G899" s="68" t="str">
        <x:v>Xã Phước Long</x:v>
      </x:c>
      <x:c r="H899" s="68" t="str">
        <x:v>THCS Phước Long</x:v>
      </x:c>
      <x:c r="I899" s="68" t="str">
        <x:v>Xã Phước Long</x:v>
      </x:c>
      <x:c r="J899" s="124" t="n">
        <x:v>24.4</x:v>
      </x:c>
      <x:c r="K899" s="130" t="n">
        <x:v>27</x:v>
      </x:c>
      <x:c r="L899" s="124"/>
      <x:c r="M899" s="124"/>
      <x:c r="N899" s="124" t="n">
        <x:v>51.4</x:v>
      </x:c>
      <x:c r="O899" s="69" t="str"/>
    </x:row>
    <x:row r="900" ht="21" customHeight="1">
      <x:c r="A900" s="100" t="n">
        <x:v>896</x:v>
      </x:c>
      <x:c r="B900" s="172" t="n">
        <x:v>95211008280</x:v>
      </x:c>
      <x:c r="C900" s="68" t="str">
        <x:v>NGUYỄN VĂN HIA</x:v>
      </x:c>
      <x:c r="D900" s="106" t="str"/>
      <x:c r="E900" s="118" t="n">
        <x:v>40674</x:v>
      </x:c>
      <x:c r="F900" s="106" t="str">
        <x:v>Kinh</x:v>
      </x:c>
      <x:c r="G900" s="68" t="str">
        <x:v>Xã Phước Long</x:v>
      </x:c>
      <x:c r="H900" s="68" t="str">
        <x:v>THCS Phước Long</x:v>
      </x:c>
      <x:c r="I900" s="68" t="str">
        <x:v>Xã Phước Long</x:v>
      </x:c>
      <x:c r="J900" s="124" t="n">
        <x:v>24.3</x:v>
      </x:c>
      <x:c r="K900" s="130" t="n">
        <x:v>27</x:v>
      </x:c>
      <x:c r="L900" s="124"/>
      <x:c r="M900" s="124"/>
      <x:c r="N900" s="124" t="n">
        <x:v>51.3</x:v>
      </x:c>
      <x:c r="O900" s="69" t="str"/>
    </x:row>
    <x:row r="901" ht="21" customHeight="1">
      <x:c r="A901" s="100" t="n">
        <x:v>897</x:v>
      </x:c>
      <x:c r="B901" s="172" t="n">
        <x:v>95311002886</x:v>
      </x:c>
      <x:c r="C901" s="68" t="str">
        <x:v>NGÔ BẢO TRẦN</x:v>
      </x:c>
      <x:c r="D901" s="106" t="str">
        <x:v>X</x:v>
      </x:c>
      <x:c r="E901" s="118" t="n">
        <x:v>40784</x:v>
      </x:c>
      <x:c r="F901" s="106" t="str">
        <x:v>Kinh</x:v>
      </x:c>
      <x:c r="G901" s="68" t="str">
        <x:v>Xã Hồng Dân</x:v>
      </x:c>
      <x:c r="H901" s="68" t="str">
        <x:v>THCS Phước Long</x:v>
      </x:c>
      <x:c r="I901" s="68" t="str">
        <x:v>Xã Phước Long</x:v>
      </x:c>
      <x:c r="J901" s="124" t="n">
        <x:v>23.3</x:v>
      </x:c>
      <x:c r="K901" s="130" t="n">
        <x:v>28</x:v>
      </x:c>
      <x:c r="L901" s="124"/>
      <x:c r="M901" s="124"/>
      <x:c r="N901" s="124" t="n">
        <x:v>51.3</x:v>
      </x:c>
      <x:c r="O901" s="69" t="str"/>
    </x:row>
    <x:row r="902" ht="21" customHeight="1">
      <x:c r="A902" s="100" t="n">
        <x:v>898</x:v>
      </x:c>
      <x:c r="B902" s="172" t="n">
        <x:v>95211006516</x:v>
      </x:c>
      <x:c r="C902" s="68" t="str">
        <x:v>LÊ HOÀNG GIA BẢO</x:v>
      </x:c>
      <x:c r="D902" s="106" t="str"/>
      <x:c r="E902" s="118" t="n">
        <x:v>40872</x:v>
      </x:c>
      <x:c r="F902" s="106" t="str">
        <x:v>Kinh</x:v>
      </x:c>
      <x:c r="G902" s="68" t="str">
        <x:v>Xã Vĩnh Phước</x:v>
      </x:c>
      <x:c r="H902" s="68" t="str">
        <x:v>THCS Vĩnh Phú Tây</x:v>
      </x:c>
      <x:c r="I902" s="68" t="str">
        <x:v>Xã Vĩnh Phước</x:v>
      </x:c>
      <x:c r="J902" s="124" t="n">
        <x:v>23.3</x:v>
      </x:c>
      <x:c r="K902" s="130" t="n">
        <x:v>28</x:v>
      </x:c>
      <x:c r="L902" s="124"/>
      <x:c r="M902" s="124"/>
      <x:c r="N902" s="124" t="n">
        <x:v>51.3</x:v>
      </x:c>
      <x:c r="O902" s="69" t="str"/>
    </x:row>
    <x:row r="903" ht="21" customHeight="1">
      <x:c r="A903" s="100" t="n">
        <x:v>899</x:v>
      </x:c>
      <x:c r="B903" s="172" t="n">
        <x:v>95311008806</x:v>
      </x:c>
      <x:c r="C903" s="68" t="str">
        <x:v>MAI CẨM TÚ</x:v>
      </x:c>
      <x:c r="D903" s="106" t="str">
        <x:v>X</x:v>
      </x:c>
      <x:c r="E903" s="118" t="n">
        <x:v>40632</x:v>
      </x:c>
      <x:c r="F903" s="106" t="str">
        <x:v>Kinh</x:v>
      </x:c>
      <x:c r="G903" s="68" t="str">
        <x:v>Xã Phước Long</x:v>
      </x:c>
      <x:c r="H903" s="68" t="str">
        <x:v>THCS Phước Long</x:v>
      </x:c>
      <x:c r="I903" s="68" t="str">
        <x:v>Xã Phước Long</x:v>
      </x:c>
      <x:c r="J903" s="124" t="n">
        <x:v>24.2</x:v>
      </x:c>
      <x:c r="K903" s="130" t="n">
        <x:v>27</x:v>
      </x:c>
      <x:c r="L903" s="124"/>
      <x:c r="M903" s="124"/>
      <x:c r="N903" s="124" t="n">
        <x:v>51.2</x:v>
      </x:c>
      <x:c r="O903" s="69" t="str"/>
    </x:row>
    <x:row r="904" ht="21" customHeight="1">
      <x:c r="A904" s="100" t="n">
        <x:v>900</x:v>
      </x:c>
      <x:c r="B904" s="172" t="n">
        <x:v>95211006361</x:v>
      </x:c>
      <x:c r="C904" s="68" t="str">
        <x:v>LÝ DƯƠNG HUY</x:v>
      </x:c>
      <x:c r="D904" s="106" t="str"/>
      <x:c r="E904" s="118" t="n">
        <x:v>40825</x:v>
      </x:c>
      <x:c r="F904" s="106" t="str">
        <x:v>Kinh</x:v>
      </x:c>
      <x:c r="G904" s="68" t="str">
        <x:v>Xã Vĩnh Thanh</x:v>
      </x:c>
      <x:c r="H904" s="68" t="str">
        <x:v>THCS Hưng Phú</x:v>
      </x:c>
      <x:c r="I904" s="68" t="str">
        <x:v>Xã Vĩnh Thanh</x:v>
      </x:c>
      <x:c r="J904" s="124" t="n">
        <x:v>23.2</x:v>
      </x:c>
      <x:c r="K904" s="130" t="n">
        <x:v>28</x:v>
      </x:c>
      <x:c r="L904" s="124"/>
      <x:c r="M904" s="124"/>
      <x:c r="N904" s="124" t="n">
        <x:v>51.2</x:v>
      </x:c>
      <x:c r="O904" s="69" t="str"/>
    </x:row>
    <x:row r="905" ht="21" customHeight="1">
      <x:c r="A905" s="100" t="n">
        <x:v>901</x:v>
      </x:c>
      <x:c r="B905" s="172" t="n">
        <x:v>95211003008</x:v>
      </x:c>
      <x:c r="C905" s="68" t="str">
        <x:v>TRẦN QUỐC ANH</x:v>
      </x:c>
      <x:c r="D905" s="106" t="str"/>
      <x:c r="E905" s="118" t="n">
        <x:v>40626</x:v>
      </x:c>
      <x:c r="F905" s="106" t="str">
        <x:v>Kinh</x:v>
      </x:c>
      <x:c r="G905" s="68" t="str">
        <x:v>Xã Phước Long</x:v>
      </x:c>
      <x:c r="H905" s="68" t="str">
        <x:v>THCS Phước Long</x:v>
      </x:c>
      <x:c r="I905" s="68" t="str">
        <x:v>Xã Phước Long</x:v>
      </x:c>
      <x:c r="J905" s="124" t="n">
        <x:v>24.6</x:v>
      </x:c>
      <x:c r="K905" s="130" t="n">
        <x:v>26</x:v>
      </x:c>
      <x:c r="L905" s="124"/>
      <x:c r="M905" s="124" t="n">
        <x:v>0.5</x:v>
      </x:c>
      <x:c r="N905" s="124" t="n">
        <x:v>51.1</x:v>
      </x:c>
      <x:c r="O905" s="69" t="str"/>
    </x:row>
    <x:row r="906" ht="21" customHeight="1">
      <x:c r="A906" s="100" t="n">
        <x:v>902</x:v>
      </x:c>
      <x:c r="B906" s="172" t="n">
        <x:v>95211004309</x:v>
      </x:c>
      <x:c r="C906" s="68" t="str">
        <x:v>TRẦN TRỌNG ANH</x:v>
      </x:c>
      <x:c r="D906" s="106" t="str"/>
      <x:c r="E906" s="118" t="n">
        <x:v>40692</x:v>
      </x:c>
      <x:c r="F906" s="106" t="str">
        <x:v>Kinh</x:v>
      </x:c>
      <x:c r="G906" s="68" t="str">
        <x:v>Xã Phước Long</x:v>
      </x:c>
      <x:c r="H906" s="68" t="str">
        <x:v>THCS Phước Long</x:v>
      </x:c>
      <x:c r="I906" s="68" t="str">
        <x:v>Xã Phước Long</x:v>
      </x:c>
      <x:c r="J906" s="124" t="n">
        <x:v>24.1</x:v>
      </x:c>
      <x:c r="K906" s="130" t="n">
        <x:v>27</x:v>
      </x:c>
      <x:c r="L906" s="124"/>
      <x:c r="M906" s="124"/>
      <x:c r="N906" s="124" t="n">
        <x:v>51.1</x:v>
      </x:c>
      <x:c r="O906" s="69" t="str"/>
    </x:row>
    <x:row r="907" ht="21" customHeight="1">
      <x:c r="A907" s="100" t="n">
        <x:v>903</x:v>
      </x:c>
      <x:c r="B907" s="172" t="n">
        <x:v>95211010469</x:v>
      </x:c>
      <x:c r="C907" s="68" t="str">
        <x:v>PHAN NAM KỲ</x:v>
      </x:c>
      <x:c r="D907" s="106" t="str"/>
      <x:c r="E907" s="118" t="n">
        <x:v>40830</x:v>
      </x:c>
      <x:c r="F907" s="106" t="str">
        <x:v>Kinh</x:v>
      </x:c>
      <x:c r="G907" s="68" t="str">
        <x:v>Xã Vĩnh Phước</x:v>
      </x:c>
      <x:c r="H907" s="68" t="str">
        <x:v>THCS Phước Long</x:v>
      </x:c>
      <x:c r="I907" s="68" t="str">
        <x:v>Xã Phước Long</x:v>
      </x:c>
      <x:c r="J907" s="124" t="n">
        <x:v>25</x:v>
      </x:c>
      <x:c r="K907" s="130" t="n">
        <x:v>26</x:v>
      </x:c>
      <x:c r="L907" s="124"/>
      <x:c r="M907" s="124"/>
      <x:c r="N907" s="124" t="n">
        <x:v>51</x:v>
      </x:c>
      <x:c r="O907" s="69" t="str"/>
    </x:row>
    <x:row r="908" ht="21" customHeight="1">
      <x:c r="A908" s="100" t="n">
        <x:v>904</x:v>
      </x:c>
      <x:c r="B908" s="172" t="n">
        <x:v>95211003493</x:v>
      </x:c>
      <x:c r="C908" s="68" t="str">
        <x:v>DANH NGUYỄN HOÀNG HUY</x:v>
      </x:c>
      <x:c r="D908" s="106" t="str"/>
      <x:c r="E908" s="118" t="n">
        <x:v>40831</x:v>
      </x:c>
      <x:c r="F908" s="106" t="str">
        <x:v>Khmer</x:v>
      </x:c>
      <x:c r="G908" s="68" t="str">
        <x:v>Xã Vĩnh Phước</x:v>
      </x:c>
      <x:c r="H908" s="68" t="str">
        <x:v>THCS Vĩnh Phú Tây</x:v>
      </x:c>
      <x:c r="I908" s="68" t="str">
        <x:v>Xã Vĩnh Phước</x:v>
      </x:c>
      <x:c r="J908" s="124" t="n">
        <x:v>22.9</x:v>
      </x:c>
      <x:c r="K908" s="130" t="n">
        <x:v>27</x:v>
      </x:c>
      <x:c r="L908" s="124" t="n">
        <x:v>1</x:v>
      </x:c>
      <x:c r="M908" s="124"/>
      <x:c r="N908" s="124" t="n">
        <x:v>50.9</x:v>
      </x:c>
      <x:c r="O908" s="69" t="str"/>
    </x:row>
    <x:row r="909" ht="21" customHeight="1">
      <x:c r="A909" s="100" t="n">
        <x:v>905</x:v>
      </x:c>
      <x:c r="B909" s="172" t="n">
        <x:v>95311006392</x:v>
      </x:c>
      <x:c r="C909" s="68" t="str">
        <x:v>NGUYỄN NGHI HÂN</x:v>
      </x:c>
      <x:c r="D909" s="106" t="str">
        <x:v>X</x:v>
      </x:c>
      <x:c r="E909" s="118" t="n">
        <x:v>40875</x:v>
      </x:c>
      <x:c r="F909" s="106" t="str">
        <x:v>Kinh</x:v>
      </x:c>
      <x:c r="G909" s="68" t="str">
        <x:v>Xã Phước Long</x:v>
      </x:c>
      <x:c r="H909" s="68" t="str">
        <x:v>THCS Phước Long</x:v>
      </x:c>
      <x:c r="I909" s="68" t="str">
        <x:v>Xã Phước Long</x:v>
      </x:c>
      <x:c r="J909" s="124" t="n">
        <x:v>23.8</x:v>
      </x:c>
      <x:c r="K909" s="130" t="n">
        <x:v>27</x:v>
      </x:c>
      <x:c r="L909" s="124"/>
      <x:c r="M909" s="124"/>
      <x:c r="N909" s="124" t="n">
        <x:v>50.8</x:v>
      </x:c>
      <x:c r="O909" s="69" t="str"/>
    </x:row>
    <x:row r="910" ht="21" customHeight="1">
      <x:c r="A910" s="100" t="n">
        <x:v>906</x:v>
      </x:c>
      <x:c r="B910" s="172" t="n">
        <x:v>95211008178</x:v>
      </x:c>
      <x:c r="C910" s="68" t="str">
        <x:v>LÊ THANH NGUYÊN</x:v>
      </x:c>
      <x:c r="D910" s="106" t="str"/>
      <x:c r="E910" s="118" t="n">
        <x:v>40589</x:v>
      </x:c>
      <x:c r="F910" s="106" t="str">
        <x:v>Kinh</x:v>
      </x:c>
      <x:c r="G910" s="68" t="str">
        <x:v>Xã Phước Long</x:v>
      </x:c>
      <x:c r="H910" s="68" t="str">
        <x:v>THCS Phước Long</x:v>
      </x:c>
      <x:c r="I910" s="68" t="str">
        <x:v>Xã Phước Long</x:v>
      </x:c>
      <x:c r="J910" s="124" t="n">
        <x:v>25.8</x:v>
      </x:c>
      <x:c r="K910" s="130" t="n">
        <x:v>25</x:v>
      </x:c>
      <x:c r="L910" s="124"/>
      <x:c r="M910" s="124"/>
      <x:c r="N910" s="124" t="n">
        <x:v>50.8</x:v>
      </x:c>
      <x:c r="O910" s="69" t="str"/>
    </x:row>
    <x:row r="911" ht="21" customHeight="1">
      <x:c r="A911" s="100" t="n">
        <x:v>907</x:v>
      </x:c>
      <x:c r="B911" s="172" t="n">
        <x:v>95210002531</x:v>
      </x:c>
      <x:c r="C911" s="68" t="str">
        <x:v>TRƯƠNG MINH TUẦN</x:v>
      </x:c>
      <x:c r="D911" s="106" t="str"/>
      <x:c r="E911" s="118" t="n">
        <x:v>40497</x:v>
      </x:c>
      <x:c r="F911" s="106" t="str">
        <x:v>Kinh</x:v>
      </x:c>
      <x:c r="G911" s="68" t="str">
        <x:v>Xã Phước Long</x:v>
      </x:c>
      <x:c r="H911" s="68" t="str">
        <x:v>THCS Phước Long</x:v>
      </x:c>
      <x:c r="I911" s="68" t="str">
        <x:v>Xã Phước Long</x:v>
      </x:c>
      <x:c r="J911" s="124" t="n">
        <x:v>23.7</x:v>
      </x:c>
      <x:c r="K911" s="130" t="n">
        <x:v>27</x:v>
      </x:c>
      <x:c r="L911" s="124"/>
      <x:c r="M911" s="124"/>
      <x:c r="N911" s="124" t="n">
        <x:v>50.7</x:v>
      </x:c>
      <x:c r="O911" s="69" t="str"/>
    </x:row>
    <x:row r="912" ht="21" customHeight="1">
      <x:c r="A912" s="100" t="n">
        <x:v>908</x:v>
      </x:c>
      <x:c r="B912" s="172" t="n">
        <x:v>95211001727</x:v>
      </x:c>
      <x:c r="C912" s="68" t="str">
        <x:v>NGUYỄN MINH NHỰT</x:v>
      </x:c>
      <x:c r="D912" s="106" t="str"/>
      <x:c r="E912" s="118" t="n">
        <x:v>40846</x:v>
      </x:c>
      <x:c r="F912" s="106" t="str">
        <x:v>Kinh</x:v>
      </x:c>
      <x:c r="G912" s="68" t="str">
        <x:v>Xã Phước Long</x:v>
      </x:c>
      <x:c r="H912" s="68" t="str">
        <x:v>THCS Phước Long</x:v>
      </x:c>
      <x:c r="I912" s="68" t="str">
        <x:v>Xã Phước Long</x:v>
      </x:c>
      <x:c r="J912" s="124" t="n">
        <x:v>25.7</x:v>
      </x:c>
      <x:c r="K912" s="130" t="n">
        <x:v>25</x:v>
      </x:c>
      <x:c r="L912" s="124"/>
      <x:c r="M912" s="124"/>
      <x:c r="N912" s="124" t="n">
        <x:v>50.7</x:v>
      </x:c>
      <x:c r="O912" s="69" t="str"/>
    </x:row>
    <x:row r="913" ht="21" customHeight="1">
      <x:c r="A913" s="100" t="n">
        <x:v>909</x:v>
      </x:c>
      <x:c r="B913" s="172" t="n">
        <x:v>95211009444</x:v>
      </x:c>
      <x:c r="C913" s="68" t="str">
        <x:v>TÔ ANH KHÔI</x:v>
      </x:c>
      <x:c r="D913" s="106" t="str"/>
      <x:c r="E913" s="118" t="n">
        <x:v>40707</x:v>
      </x:c>
      <x:c r="F913" s="106" t="str">
        <x:v>Kinh</x:v>
      </x:c>
      <x:c r="G913" s="68" t="str">
        <x:v>Xã Phước Long</x:v>
      </x:c>
      <x:c r="H913" s="68" t="str">
        <x:v>THCS Vương Hữu Nhơn</x:v>
      </x:c>
      <x:c r="I913" s="68" t="str">
        <x:v>Xã Phước Long</x:v>
      </x:c>
      <x:c r="J913" s="124" t="n">
        <x:v>22.7</x:v>
      </x:c>
      <x:c r="K913" s="130" t="n">
        <x:v>28</x:v>
      </x:c>
      <x:c r="L913" s="124"/>
      <x:c r="M913" s="124"/>
      <x:c r="N913" s="124" t="n">
        <x:v>50.7</x:v>
      </x:c>
      <x:c r="O913" s="69" t="str"/>
    </x:row>
    <x:row r="914" ht="21" customHeight="1">
      <x:c r="A914" s="100" t="n">
        <x:v>910</x:v>
      </x:c>
      <x:c r="B914" s="172" t="n">
        <x:v>95211009815</x:v>
      </x:c>
      <x:c r="C914" s="68" t="str">
        <x:v>LÂM THIÊN BẢO</x:v>
      </x:c>
      <x:c r="D914" s="106" t="str"/>
      <x:c r="E914" s="118" t="n">
        <x:v>40769</x:v>
      </x:c>
      <x:c r="F914" s="106" t="str">
        <x:v>Kinh</x:v>
      </x:c>
      <x:c r="G914" s="68" t="str">
        <x:v>Xã Phước Long</x:v>
      </x:c>
      <x:c r="H914" s="68" t="str">
        <x:v>THCS Vương Hữu Nhơn</x:v>
      </x:c>
      <x:c r="I914" s="68" t="str">
        <x:v>Xã Phước Long</x:v>
      </x:c>
      <x:c r="J914" s="124" t="n">
        <x:v>22.6</x:v>
      </x:c>
      <x:c r="K914" s="130" t="n">
        <x:v>28</x:v>
      </x:c>
      <x:c r="L914" s="124"/>
      <x:c r="M914" s="124"/>
      <x:c r="N914" s="124" t="n">
        <x:v>50.6</x:v>
      </x:c>
      <x:c r="O914" s="69" t="str"/>
    </x:row>
    <x:row r="915" ht="21" customHeight="1">
      <x:c r="A915" s="100" t="n">
        <x:v>911</x:v>
      </x:c>
      <x:c r="B915" s="172" t="n">
        <x:v>95211007476</x:v>
      </x:c>
      <x:c r="C915" s="68" t="str">
        <x:v>TRẦN CHÍ TÔN</x:v>
      </x:c>
      <x:c r="D915" s="106" t="str"/>
      <x:c r="E915" s="118" t="n">
        <x:v>40785</x:v>
      </x:c>
      <x:c r="F915" s="106" t="str">
        <x:v>Kinh</x:v>
      </x:c>
      <x:c r="G915" s="68" t="str">
        <x:v>Xã Vĩnh Thanh</x:v>
      </x:c>
      <x:c r="H915" s="68" t="str">
        <x:v>THCS Hưng Phú</x:v>
      </x:c>
      <x:c r="I915" s="68" t="str">
        <x:v>Xã Vĩnh Thanh</x:v>
      </x:c>
      <x:c r="J915" s="124" t="n">
        <x:v>23.6</x:v>
      </x:c>
      <x:c r="K915" s="130" t="n">
        <x:v>27</x:v>
      </x:c>
      <x:c r="L915" s="124"/>
      <x:c r="M915" s="124"/>
      <x:c r="N915" s="124" t="n">
        <x:v>50.6</x:v>
      </x:c>
      <x:c r="O915" s="69" t="str"/>
    </x:row>
    <x:row r="916" ht="21" customHeight="1">
      <x:c r="A916" s="100" t="n">
        <x:v>912</x:v>
      </x:c>
      <x:c r="B916" s="172" t="n">
        <x:v>95211002067</x:v>
      </x:c>
      <x:c r="C916" s="68" t="str">
        <x:v>LÊ DUY KHÁNH</x:v>
      </x:c>
      <x:c r="D916" s="106" t="str"/>
      <x:c r="E916" s="118" t="n">
        <x:v>40816</x:v>
      </x:c>
      <x:c r="F916" s="106" t="str">
        <x:v>Kinh</x:v>
      </x:c>
      <x:c r="G916" s="68" t="str">
        <x:v>Xã Vĩnh Phước</x:v>
      </x:c>
      <x:c r="H916" s="68" t="str">
        <x:v>THCS Trương Vĩnh Ký</x:v>
      </x:c>
      <x:c r="I916" s="68" t="str">
        <x:v>Xã Phước Long</x:v>
      </x:c>
      <x:c r="J916" s="124" t="n">
        <x:v>23.5</x:v>
      </x:c>
      <x:c r="K916" s="130" t="n">
        <x:v>26</x:v>
      </x:c>
      <x:c r="L916" s="124" t="n">
        <x:v>1</x:v>
      </x:c>
      <x:c r="M916" s="124"/>
      <x:c r="N916" s="124" t="n">
        <x:v>50.5</x:v>
      </x:c>
      <x:c r="O916" s="69" t="str"/>
    </x:row>
    <x:row r="917" ht="21" customHeight="1">
      <x:c r="A917" s="100" t="n">
        <x:v>913</x:v>
      </x:c>
      <x:c r="B917" s="172" t="n">
        <x:v>95211009754</x:v>
      </x:c>
      <x:c r="C917" s="68" t="str">
        <x:v>DANH TUẦN KHANG</x:v>
      </x:c>
      <x:c r="D917" s="106" t="str"/>
      <x:c r="E917" s="118" t="n">
        <x:v>40791</x:v>
      </x:c>
      <x:c r="F917" s="106" t="str">
        <x:v>Khmer</x:v>
      </x:c>
      <x:c r="G917" s="68" t="str">
        <x:v>Xã Phước Long</x:v>
      </x:c>
      <x:c r="H917" s="68" t="str">
        <x:v>THCS Phước Long</x:v>
      </x:c>
      <x:c r="I917" s="68" t="str">
        <x:v>Xã Phước Long</x:v>
      </x:c>
      <x:c r="J917" s="124" t="n">
        <x:v>22.4</x:v>
      </x:c>
      <x:c r="K917" s="130" t="n">
        <x:v>27</x:v>
      </x:c>
      <x:c r="L917" s="124" t="n">
        <x:v>1</x:v>
      </x:c>
      <x:c r="M917" s="124"/>
      <x:c r="N917" s="124" t="n">
        <x:v>50.4</x:v>
      </x:c>
      <x:c r="O917" s="69" t="str"/>
    </x:row>
    <x:row r="918" ht="21" customHeight="1">
      <x:c r="A918" s="100" t="n">
        <x:v>914</x:v>
      </x:c>
      <x:c r="B918" s="172" t="n">
        <x:v>95211004880</x:v>
      </x:c>
      <x:c r="C918" s="68" t="str">
        <x:v>LÊ HẢI ĐĂNG</x:v>
      </x:c>
      <x:c r="D918" s="106" t="str"/>
      <x:c r="E918" s="118" t="n">
        <x:v>40546</x:v>
      </x:c>
      <x:c r="F918" s="106" t="str">
        <x:v>Kinh</x:v>
      </x:c>
      <x:c r="G918" s="68" t="str">
        <x:v>Xã Vĩnh Phước</x:v>
      </x:c>
      <x:c r="H918" s="68" t="str">
        <x:v>THCS Vĩnh Phú Tây</x:v>
      </x:c>
      <x:c r="I918" s="68" t="str">
        <x:v>Xã Vĩnh Phước</x:v>
      </x:c>
      <x:c r="J918" s="124" t="n">
        <x:v>23.2</x:v>
      </x:c>
      <x:c r="K918" s="130" t="n">
        <x:v>27</x:v>
      </x:c>
      <x:c r="L918" s="124"/>
      <x:c r="M918" s="124"/>
      <x:c r="N918" s="124" t="n">
        <x:v>50.2</x:v>
      </x:c>
      <x:c r="O918" s="69" t="str"/>
    </x:row>
    <x:row r="919" ht="21" customHeight="1">
      <x:c r="A919" s="100" t="n">
        <x:v>915</x:v>
      </x:c>
      <x:c r="B919" s="172" t="n">
        <x:v>95210008082</x:v>
      </x:c>
      <x:c r="C919" s="68" t="str">
        <x:v>NGUYỄN CHÁN PHONG</x:v>
      </x:c>
      <x:c r="D919" s="106" t="str"/>
      <x:c r="E919" s="118" t="n">
        <x:v>40504</x:v>
      </x:c>
      <x:c r="F919" s="106" t="str">
        <x:v>Kinh</x:v>
      </x:c>
      <x:c r="G919" s="68" t="str">
        <x:v>Xã Phước Long</x:v>
      </x:c>
      <x:c r="H919" s="68" t="str">
        <x:v>THCS Phước Long</x:v>
      </x:c>
      <x:c r="I919" s="68" t="str">
        <x:v>Xã Phước Long</x:v>
      </x:c>
      <x:c r="J919" s="124" t="n">
        <x:v>24.1</x:v>
      </x:c>
      <x:c r="K919" s="130" t="n">
        <x:v>26</x:v>
      </x:c>
      <x:c r="L919" s="124"/>
      <x:c r="M919" s="124"/>
      <x:c r="N919" s="124" t="n">
        <x:v>50.1</x:v>
      </x:c>
      <x:c r="O919" s="69" t="str"/>
    </x:row>
    <x:row r="920" ht="21" customHeight="1">
      <x:c r="A920" s="100" t="n">
        <x:v>916</x:v>
      </x:c>
      <x:c r="B920" s="172" t="n">
        <x:v>95211004844</x:v>
      </x:c>
      <x:c r="C920" s="68" t="str">
        <x:v>NGÔ MINH KHÔI</x:v>
      </x:c>
      <x:c r="D920" s="106" t="str"/>
      <x:c r="E920" s="118" t="n">
        <x:v>40813</x:v>
      </x:c>
      <x:c r="F920" s="106" t="str">
        <x:v>Kinh</x:v>
      </x:c>
      <x:c r="G920" s="68" t="str">
        <x:v>Xã Phước Long</x:v>
      </x:c>
      <x:c r="H920" s="68" t="str">
        <x:v>THCS Phước Long</x:v>
      </x:c>
      <x:c r="I920" s="68" t="str">
        <x:v>Xã Phước Long</x:v>
      </x:c>
      <x:c r="J920" s="124" t="n">
        <x:v>22.1</x:v>
      </x:c>
      <x:c r="K920" s="130" t="n">
        <x:v>28</x:v>
      </x:c>
      <x:c r="L920" s="124"/>
      <x:c r="M920" s="124"/>
      <x:c r="N920" s="124" t="n">
        <x:v>50.1</x:v>
      </x:c>
      <x:c r="O920" s="69" t="str"/>
    </x:row>
    <x:row r="921" ht="21" customHeight="1">
      <x:c r="A921" s="100" t="n">
        <x:v>917</x:v>
      </x:c>
      <x:c r="B921" s="172" t="n">
        <x:v>95311007017</x:v>
      </x:c>
      <x:c r="C921" s="68" t="str">
        <x:v>HUỲNH THỊ NHƯ Ý</x:v>
      </x:c>
      <x:c r="D921" s="106" t="str">
        <x:v>X</x:v>
      </x:c>
      <x:c r="E921" s="118" t="n">
        <x:v>40653</x:v>
      </x:c>
      <x:c r="F921" s="106" t="str">
        <x:v>Kinh</x:v>
      </x:c>
      <x:c r="G921" s="68" t="str">
        <x:v>Xã Phước Long</x:v>
      </x:c>
      <x:c r="H921" s="68" t="str">
        <x:v>THCS Phước Long</x:v>
      </x:c>
      <x:c r="I921" s="68" t="str">
        <x:v>Xã Phước Long</x:v>
      </x:c>
      <x:c r="J921" s="124" t="n">
        <x:v>23.1</x:v>
      </x:c>
      <x:c r="K921" s="130" t="n">
        <x:v>27</x:v>
      </x:c>
      <x:c r="L921" s="124"/>
      <x:c r="M921" s="124"/>
      <x:c r="N921" s="124" t="n">
        <x:v>50.1</x:v>
      </x:c>
      <x:c r="O921" s="69" t="str"/>
    </x:row>
    <x:row r="922" ht="21" customHeight="1">
      <x:c r="A922" s="100" t="n">
        <x:v>918</x:v>
      </x:c>
      <x:c r="B922" s="172" t="n">
        <x:v>95311001354</x:v>
      </x:c>
      <x:c r="C922" s="68" t="str">
        <x:v>DƯƠNG MỸ XUÂN</x:v>
      </x:c>
      <x:c r="D922" s="106" t="str">
        <x:v>X</x:v>
      </x:c>
      <x:c r="E922" s="118" t="n">
        <x:v>40861</x:v>
      </x:c>
      <x:c r="F922" s="106" t="str">
        <x:v>Kinh</x:v>
      </x:c>
      <x:c r="G922" s="68" t="str">
        <x:v>Xã Phước Long</x:v>
      </x:c>
      <x:c r="H922" s="68" t="str">
        <x:v>THCS Phước Long</x:v>
      </x:c>
      <x:c r="I922" s="68" t="str">
        <x:v>Xã Phước Long</x:v>
      </x:c>
      <x:c r="J922" s="124" t="n">
        <x:v>23</x:v>
      </x:c>
      <x:c r="K922" s="130" t="n">
        <x:v>27</x:v>
      </x:c>
      <x:c r="L922" s="124"/>
      <x:c r="M922" s="124"/>
      <x:c r="N922" s="124" t="n">
        <x:v>50</x:v>
      </x:c>
      <x:c r="O922" s="69" t="str"/>
    </x:row>
    <x:row r="923" ht="21" customHeight="1">
      <x:c r="A923" s="100" t="n">
        <x:v>919</x:v>
      </x:c>
      <x:c r="B923" s="172" t="n">
        <x:v>95211008488</x:v>
      </x:c>
      <x:c r="C923" s="68" t="str">
        <x:v>NGÔ THIÊN BẢO</x:v>
      </x:c>
      <x:c r="D923" s="106" t="str"/>
      <x:c r="E923" s="118" t="n">
        <x:v>40856</x:v>
      </x:c>
      <x:c r="F923" s="106" t="str">
        <x:v>Kinh</x:v>
      </x:c>
      <x:c r="G923" s="68" t="str">
        <x:v>Xã Phước Long</x:v>
      </x:c>
      <x:c r="H923" s="68" t="str">
        <x:v>THCS Phước Long</x:v>
      </x:c>
      <x:c r="I923" s="68" t="str">
        <x:v>Xã Phước Long</x:v>
      </x:c>
      <x:c r="J923" s="124" t="n">
        <x:v>24</x:v>
      </x:c>
      <x:c r="K923" s="130" t="n">
        <x:v>26</x:v>
      </x:c>
      <x:c r="L923" s="124"/>
      <x:c r="M923" s="124"/>
      <x:c r="N923" s="124" t="n">
        <x:v>50</x:v>
      </x:c>
      <x:c r="O923" s="69" t="str"/>
    </x:row>
    <x:row r="924" ht="21" customHeight="1">
      <x:c r="A924" s="100" t="n">
        <x:v>920</x:v>
      </x:c>
      <x:c r="B924" s="172" t="n">
        <x:v>95211009134</x:v>
      </x:c>
      <x:c r="C924" s="68" t="str">
        <x:v>TRẦN TRỌNG NGUYỄN</x:v>
      </x:c>
      <x:c r="D924" s="106" t="str"/>
      <x:c r="E924" s="118" t="n">
        <x:v>40891</x:v>
      </x:c>
      <x:c r="F924" s="106" t="str">
        <x:v>Kinh</x:v>
      </x:c>
      <x:c r="G924" s="68" t="str">
        <x:v>Xã Phước Long</x:v>
      </x:c>
      <x:c r="H924" s="68" t="str">
        <x:v>THCS Phước Long</x:v>
      </x:c>
      <x:c r="I924" s="68" t="str">
        <x:v>Xã Phước Long</x:v>
      </x:c>
      <x:c r="J924" s="124" t="n">
        <x:v>22.4</x:v>
      </x:c>
      <x:c r="K924" s="130" t="n">
        <x:v>27</x:v>
      </x:c>
      <x:c r="L924" s="124"/>
      <x:c r="M924" s="124"/>
      <x:c r="N924" s="124" t="n">
        <x:v>49.4</x:v>
      </x:c>
      <x:c r="O924" s="69" t="str"/>
    </x:row>
    <x:row r="925" ht="21" customHeight="1">
      <x:c r="A925" s="100" t="n">
        <x:v>921</x:v>
      </x:c>
      <x:c r="B925" s="172" t="n">
        <x:v>95310002634</x:v>
      </x:c>
      <x:c r="C925" s="68" t="str">
        <x:v>NGUYỄN KIM ĐOAN</x:v>
      </x:c>
      <x:c r="D925" s="106" t="str">
        <x:v>X</x:v>
      </x:c>
      <x:c r="E925" s="118" t="n">
        <x:v>40479</x:v>
      </x:c>
      <x:c r="F925" s="106" t="str">
        <x:v>Kinh</x:v>
      </x:c>
      <x:c r="G925" s="68" t="str">
        <x:v>Xã Phước Long</x:v>
      </x:c>
      <x:c r="H925" s="68" t="str">
        <x:v>THCS Phước Long</x:v>
      </x:c>
      <x:c r="I925" s="68" t="str">
        <x:v>Xã Phước Long</x:v>
      </x:c>
      <x:c r="J925" s="124" t="n">
        <x:v>25.1</x:v>
      </x:c>
      <x:c r="K925" s="130" t="n">
        <x:v>24</x:v>
      </x:c>
      <x:c r="L925" s="124"/>
      <x:c r="M925" s="124"/>
      <x:c r="N925" s="124" t="n">
        <x:v>49.1</x:v>
      </x:c>
      <x:c r="O925" s="69" t="str"/>
    </x:row>
    <x:row r="926" ht="21" customHeight="1">
      <x:c r="A926" s="100" t="n">
        <x:v>922</x:v>
      </x:c>
      <x:c r="B926" s="172" t="n">
        <x:v>95210004829</x:v>
      </x:c>
      <x:c r="C926" s="68" t="str">
        <x:v>DƯƠNG TÌNH AN</x:v>
      </x:c>
      <x:c r="D926" s="106" t="str"/>
      <x:c r="E926" s="118" t="n">
        <x:v>40506</x:v>
      </x:c>
      <x:c r="F926" s="106" t="str">
        <x:v>Kinh</x:v>
      </x:c>
      <x:c r="G926" s="68" t="str">
        <x:v>Xã Phước Long</x:v>
      </x:c>
      <x:c r="H926" s="68" t="str">
        <x:v>THCS Phước Long</x:v>
      </x:c>
      <x:c r="I926" s="68" t="str">
        <x:v>Xã Phước Long</x:v>
      </x:c>
      <x:c r="J926" s="124" t="n">
        <x:v>23</x:v>
      </x:c>
      <x:c r="K926" s="130" t="n">
        <x:v>26</x:v>
      </x:c>
      <x:c r="L926" s="124"/>
      <x:c r="M926" s="124"/>
      <x:c r="N926" s="124" t="n">
        <x:v>49</x:v>
      </x:c>
      <x:c r="O926" s="69" t="str"/>
    </x:row>
    <x:row r="927" ht="21" customHeight="1">
      <x:c r="A927" s="100" t="n">
        <x:v>923</x:v>
      </x:c>
      <x:c r="B927" s="172" t="n">
        <x:v>95211007791</x:v>
      </x:c>
      <x:c r="C927" s="68" t="str">
        <x:v>NGUYỄN HƯNG THỊNH</x:v>
      </x:c>
      <x:c r="D927" s="106" t="str"/>
      <x:c r="E927" s="118" t="n">
        <x:v>40578</x:v>
      </x:c>
      <x:c r="F927" s="106" t="str">
        <x:v>Kinh</x:v>
      </x:c>
      <x:c r="G927" s="68" t="str">
        <x:v>Xã Phước Long</x:v>
      </x:c>
      <x:c r="H927" s="68" t="str">
        <x:v>THCS Phước Long</x:v>
      </x:c>
      <x:c r="I927" s="68" t="str">
        <x:v>Xã Phước Long</x:v>
      </x:c>
      <x:c r="J927" s="124" t="n">
        <x:v>22</x:v>
      </x:c>
      <x:c r="K927" s="130" t="n">
        <x:v>27</x:v>
      </x:c>
      <x:c r="L927" s="124"/>
      <x:c r="M927" s="124"/>
      <x:c r="N927" s="124" t="n">
        <x:v>49</x:v>
      </x:c>
      <x:c r="O927" s="69" t="str"/>
    </x:row>
    <x:row r="928" ht="21" customHeight="1">
      <x:c r="A928" s="100" t="n">
        <x:v>924</x:v>
      </x:c>
      <x:c r="B928" s="172" t="n">
        <x:v>95211007792</x:v>
      </x:c>
      <x:c r="C928" s="68" t="str">
        <x:v>DANH GIA HUY</x:v>
      </x:c>
      <x:c r="D928" s="106" t="str"/>
      <x:c r="E928" s="118" t="n">
        <x:v>40887</x:v>
      </x:c>
      <x:c r="F928" s="106" t="str">
        <x:v>Khmer</x:v>
      </x:c>
      <x:c r="G928" s="68" t="str">
        <x:v>Xã Phước Long</x:v>
      </x:c>
      <x:c r="H928" s="68" t="str">
        <x:v>THCS Vương Hữu Nhơn</x:v>
      </x:c>
      <x:c r="I928" s="68" t="str">
        <x:v>Xã Phước Long</x:v>
      </x:c>
      <x:c r="J928" s="124" t="n">
        <x:v>21.8</x:v>
      </x:c>
      <x:c r="K928" s="130" t="n">
        <x:v>26</x:v>
      </x:c>
      <x:c r="L928" s="124" t="n">
        <x:v>1</x:v>
      </x:c>
      <x:c r="M928" s="124"/>
      <x:c r="N928" s="124" t="n">
        <x:v>48.8</x:v>
      </x:c>
      <x:c r="O928" s="69" t="str"/>
    </x:row>
    <x:row r="929" ht="21" customHeight="1">
      <x:c r="A929" s="100" t="n">
        <x:v>925</x:v>
      </x:c>
      <x:c r="B929" s="172" t="n">
        <x:v>95211009074</x:v>
      </x:c>
      <x:c r="C929" s="68" t="str">
        <x:v>TRƯƠNG TRÍ NGUYỄN</x:v>
      </x:c>
      <x:c r="D929" s="106" t="str"/>
      <x:c r="E929" s="118" t="n">
        <x:v>40821</x:v>
      </x:c>
      <x:c r="F929" s="106" t="str">
        <x:v>Kinh</x:v>
      </x:c>
      <x:c r="G929" s="68" t="str">
        <x:v>Xã Vĩnh Thanh</x:v>
      </x:c>
      <x:c r="H929" s="68" t="str">
        <x:v>THCS Hưng Phú</x:v>
      </x:c>
      <x:c r="I929" s="68" t="str">
        <x:v>Xã Vĩnh Thanh</x:v>
      </x:c>
      <x:c r="J929" s="124" t="n">
        <x:v>21.7</x:v>
      </x:c>
      <x:c r="K929" s="130" t="n">
        <x:v>27</x:v>
      </x:c>
      <x:c r="L929" s="124"/>
      <x:c r="M929" s="124"/>
      <x:c r="N929" s="124" t="n">
        <x:v>48.7</x:v>
      </x:c>
      <x:c r="O929" s="69" t="str"/>
    </x:row>
    <x:row r="930" ht="21" customHeight="1">
      <x:c r="A930" s="100" t="n">
        <x:v>926</x:v>
      </x:c>
      <x:c r="B930" s="172" t="n">
        <x:v>95211006269</x:v>
      </x:c>
      <x:c r="C930" s="68" t="str">
        <x:v>LÊ NHỰT LINH</x:v>
      </x:c>
      <x:c r="D930" s="106" t="str"/>
      <x:c r="E930" s="118" t="n">
        <x:v>40625</x:v>
      </x:c>
      <x:c r="F930" s="106" t="str">
        <x:v>Kinh</x:v>
      </x:c>
      <x:c r="G930" s="68" t="str">
        <x:v>Xã Vĩnh Phước</x:v>
      </x:c>
      <x:c r="H930" s="68" t="str">
        <x:v>THCS Vĩnh Phú Tây</x:v>
      </x:c>
      <x:c r="I930" s="68" t="str">
        <x:v>Xã Vĩnh Phước</x:v>
      </x:c>
      <x:c r="J930" s="124" t="n">
        <x:v>21.3</x:v>
      </x:c>
      <x:c r="K930" s="130" t="n">
        <x:v>26</x:v>
      </x:c>
      <x:c r="L930" s="124" t="n">
        <x:v>1</x:v>
      </x:c>
      <x:c r="M930" s="124"/>
      <x:c r="N930" s="124" t="n">
        <x:v>48.3</x:v>
      </x:c>
      <x:c r="O930" s="69" t="str"/>
    </x:row>
    <x:row r="931" ht="21" customHeight="1">
      <x:c r="A931" s="100" t="n">
        <x:v>927</x:v>
      </x:c>
      <x:c r="B931" s="172" t="n">
        <x:v>95211003304</x:v>
      </x:c>
      <x:c r="C931" s="68" t="str">
        <x:v>NGUYỄN TRỌNG NGUYÊN</x:v>
      </x:c>
      <x:c r="D931" s="106" t="str"/>
      <x:c r="E931" s="118" t="n">
        <x:v>40876</x:v>
      </x:c>
      <x:c r="F931" s="106" t="str">
        <x:v>Kinh</x:v>
      </x:c>
      <x:c r="G931" s="68" t="str">
        <x:v>Xã Phước Long</x:v>
      </x:c>
      <x:c r="H931" s="68" t="str">
        <x:v>THCS Vương Hữu Nhơn</x:v>
      </x:c>
      <x:c r="I931" s="68" t="str">
        <x:v>Xã Phước Long</x:v>
      </x:c>
      <x:c r="J931" s="124" t="n">
        <x:v>23.3</x:v>
      </x:c>
      <x:c r="K931" s="130" t="n">
        <x:v>25</x:v>
      </x:c>
      <x:c r="L931" s="124"/>
      <x:c r="M931" s="124"/>
      <x:c r="N931" s="124" t="n">
        <x:v>48.3</x:v>
      </x:c>
      <x:c r="O931" s="69" t="str"/>
    </x:row>
    <x:row r="932" ht="21" customHeight="1">
      <x:c r="A932" s="100" t="n">
        <x:v>928</x:v>
      </x:c>
      <x:c r="B932" s="172" t="n">
        <x:v>95211001079</x:v>
      </x:c>
      <x:c r="C932" s="68" t="str">
        <x:v>NGUYỄN HOÀNG KHÁNH</x:v>
      </x:c>
      <x:c r="D932" s="106" t="str"/>
      <x:c r="E932" s="118" t="n">
        <x:v>40632</x:v>
      </x:c>
      <x:c r="F932" s="106" t="str">
        <x:v>Kinh</x:v>
      </x:c>
      <x:c r="G932" s="68" t="str">
        <x:v>Xã Phước Long</x:v>
      </x:c>
      <x:c r="H932" s="68" t="str">
        <x:v>THCS Phước Long</x:v>
      </x:c>
      <x:c r="I932" s="68" t="str">
        <x:v>Xã Phước Long</x:v>
      </x:c>
      <x:c r="J932" s="124" t="n">
        <x:v>23</x:v>
      </x:c>
      <x:c r="K932" s="130" t="n">
        <x:v>25</x:v>
      </x:c>
      <x:c r="L932" s="124"/>
      <x:c r="M932" s="124"/>
      <x:c r="N932" s="124" t="n">
        <x:v>48</x:v>
      </x:c>
      <x:c r="O932" s="69" t="str"/>
    </x:row>
    <x:row r="933" ht="21" customHeight="1">
      <x:c r="A933" s="100" t="n">
        <x:v>929</x:v>
      </x:c>
      <x:c r="B933" s="172" t="n">
        <x:v>95211002849</x:v>
      </x:c>
      <x:c r="C933" s="68" t="str">
        <x:v>LÊ TIẾN ĐẠT</x:v>
      </x:c>
      <x:c r="D933" s="106" t="str"/>
      <x:c r="E933" s="118" t="n">
        <x:v>40761</x:v>
      </x:c>
      <x:c r="F933" s="106" t="str">
        <x:v>Kinh</x:v>
      </x:c>
      <x:c r="G933" s="68" t="str">
        <x:v>Xã Vĩnh Phước</x:v>
      </x:c>
      <x:c r="H933" s="68" t="str">
        <x:v>THCS Vĩnh Phú Tây</x:v>
      </x:c>
      <x:c r="I933" s="68" t="str">
        <x:v>Xã Vĩnh Phước</x:v>
      </x:c>
      <x:c r="J933" s="124" t="n">
        <x:v>21</x:v>
      </x:c>
      <x:c r="K933" s="130" t="n">
        <x:v>27</x:v>
      </x:c>
      <x:c r="L933" s="124"/>
      <x:c r="M933" s="124"/>
      <x:c r="N933" s="124" t="n">
        <x:v>48</x:v>
      </x:c>
      <x:c r="O933" s="69" t="str"/>
    </x:row>
    <x:row r="934" ht="21" customHeight="1">
      <x:c r="A934" s="101" t="n">
        <x:v>930</x:v>
      </x:c>
      <x:c r="B934" s="173" t="n">
        <x:v>95211009427</x:v>
      </x:c>
      <x:c r="C934" s="71" t="str">
        <x:v>PHAN THANH TÌNH</x:v>
      </x:c>
      <x:c r="D934" s="107" t="str"/>
      <x:c r="E934" s="119" t="n">
        <x:v>40662</x:v>
      </x:c>
      <x:c r="F934" s="107" t="str">
        <x:v>Kinh</x:v>
      </x:c>
      <x:c r="G934" s="71" t="str">
        <x:v>Xã Phước Long</x:v>
      </x:c>
      <x:c r="H934" s="71" t="str">
        <x:v>THCS Phước Long</x:v>
      </x:c>
      <x:c r="I934" s="71" t="str">
        <x:v>Xã Phước Long</x:v>
      </x:c>
      <x:c r="J934" s="125" t="n">
        <x:v>21.8</x:v>
      </x:c>
      <x:c r="K934" s="131" t="n">
        <x:v>26</x:v>
      </x:c>
      <x:c r="L934" s="125"/>
      <x:c r="M934" s="125"/>
      <x:c r="N934" s="125" t="n">
        <x:v>47.8</x:v>
      </x:c>
      <x:c r="O934" s="72" t="str"/>
    </x:row>
  </x:sheetData>
  <x:mergeCells>
    <x:mergeCell ref="A1:O1"/>
    <x:mergeCell ref="A2:O2"/>
  </x:mergeCells>
  <x:conditionalFormatting sqref="N5:N934">
    <x:cfRule type="colorScale" priority="1">
      <x:colorScale>
        <x:cfvo type="min"/>
        <x:cfvo type="percentile" val="50"/>
        <x:cfvo type="max"/>
        <x:color rgb="FFFCE4D6"/>
        <x:color rgb="FFFFF2CC"/>
        <x:color rgb="FFE2F0D9"/>
      </x:colorScale>
    </x:cfRule>
  </x:conditionalFormatting>
  <x:pageMargins left="0.7" right="0.7" top="0.75" bottom="0.75" header="0.3" footer="0.3"/>
  <x:tableParts count="1">
    <x:tablePart xmlns:r="http://schemas.openxmlformats.org/officeDocument/2006/relationships" r:id="Rf0528fd00a154125"/>
  </x:tableParts>
</x:worksheet>
</file>

<file path=xl/worksheets/sheet2.xml><?xml version="1.0" encoding="utf-8"?>
<x:worksheet xmlns:x="http://schemas.openxmlformats.org/spreadsheetml/2006/main">
  <x:sheetFormatPr defaultRowHeight="15"/>
  <x:cols>
    <x:col min="1" max="1" width="10" hidden="0" customWidth="1"/>
    <x:col min="2" max="2" width="6" hidden="0" customWidth="1"/>
    <x:col min="3" max="3" width="19" hidden="0" customWidth="1"/>
    <x:col min="4" max="4" width="28" hidden="0" customWidth="1"/>
    <x:col min="5" max="5" width="7" hidden="0" customWidth="1"/>
    <x:col min="6" max="6" width="16" hidden="0" customWidth="1"/>
    <x:col min="7" max="7" width="11" hidden="0" customWidth="1"/>
    <x:col min="8" max="8" width="21" hidden="0" customWidth="1"/>
    <x:col min="9" max="9" width="28" hidden="0" customWidth="1"/>
    <x:col min="10" max="10" width="21" hidden="0" customWidth="1"/>
    <x:col min="11" max="11" width="18" hidden="0" customWidth="1"/>
    <x:col min="12" max="12" width="17" hidden="0" customWidth="1"/>
    <x:col min="13" max="13" width="12" hidden="0" customWidth="1"/>
    <x:col min="14" max="14" width="14" hidden="0" customWidth="1"/>
    <x:col min="15" max="15" width="13" hidden="0" customWidth="1"/>
    <x:col min="16" max="16" width="18" hidden="0" customWidth="1"/>
  </x:cols>
  <x:sheetData>
    <x:row r="1" ht="58" customHeight="1">
      <x:c r="A1" s="139" t="str">
        <x:v>Trang nguồn</x:v>
      </x:c>
      <x:c r="B1" s="139" t="str">
        <x:v>TT</x:v>
      </x:c>
      <x:c r="C1" s="139" t="str">
        <x:v>Mã định danh cá nhân/CCCD</x:v>
      </x:c>
      <x:c r="D1" s="139" t="str">
        <x:v>Họ và tên</x:v>
      </x:c>
      <x:c r="E1" s="139" t="str">
        <x:v>Nữ</x:v>
      </x:c>
      <x:c r="F1" s="139" t="str">
        <x:v>Ngày tháng năm sinh</x:v>
      </x:c>
      <x:c r="G1" s="139" t="str">
        <x:v>Dân tộc</x:v>
      </x:c>
      <x:c r="H1" s="139" t="str">
        <x:v>Nơi cư trú (Xã/Phường)</x:v>
      </x:c>
      <x:c r="I1" s="139" t="str">
        <x:v>Trường THCS - Tên trường</x:v>
      </x:c>
      <x:c r="J1" s="139" t="str">
        <x:v>Trường THCS - Xã/Phường</x:v>
      </x:c>
      <x:c r="K1" s="139" t="str">
        <x:v>Tổng ĐTB môn cả năm các môn học của 4 năm cấp THCS</x:v>
      </x:c>
      <x:c r="L1" s="139" t="str">
        <x:v>Tổng điểm quy đổi của 4 năm cấp THCS</x:v>
      </x:c>
      <x:c r="M1" s="139" t="str">
        <x:v>Điểm ưu tiên</x:v>
      </x:c>
      <x:c r="N1" s="139" t="str">
        <x:v>Điểm khuyến khích</x:v>
      </x:c>
      <x:c r="O1" s="139" t="str">
        <x:v>Điểm xét tuyển</x:v>
      </x:c>
      <x:c r="P1" s="139" t="str">
        <x:v>Ghi chú</x:v>
      </x:c>
    </x:row>
    <x:row r="2">
      <x:c r="A2" s="106" t="n">
        <x:v>1</x:v>
      </x:c>
      <x:c r="B2" s="106" t="str">
        <x:v>1</x:v>
      </x:c>
      <x:c r="C2" s="167" t="str">
        <x:f>"0923 1 1008843"</x:f>
        <x:v>0923 1 1008843</x:v>
      </x:c>
      <x:c r="D2" s="68" t="str">
        <x:v>NGUY£N THI AN BtNH</x:v>
      </x:c>
      <x:c r="E2" s="68" t="str">
        <x:v>X</x:v>
      </x:c>
      <x:c r="F2" s="68" t="str">
        <x:v>05/05/2011</x:v>
      </x:c>
      <x:c r="G2" s="68" t="str">
        <x:v>Kinh</x:v>
      </x:c>
      <x:c r="H2" s="68" t="str">
        <x:v>Xg Phu6c Long</x:v>
      </x:c>
      <x:c r="I2" s="68" t="str">
        <x:v>THCS Phudc Long</x:v>
      </x:c>
      <x:c r="J2" s="68" t="str">
        <x:v>Xa Phudc Long</x:v>
      </x:c>
      <x:c r="K2" s="68" t="str">
        <x:v>38.8</x:v>
      </x:c>
      <x:c r="L2" s="68" t="str">
        <x:v>40</x:v>
      </x:c>
      <x:c r="M2" s="68" t="str"/>
      <x:c r="N2" s="68" t="str">
        <x:v>1.0</x:v>
      </x:c>
      <x:c r="O2" s="68" t="str">
        <x:v>79.8</x:v>
      </x:c>
      <x:c r="P2" s="68" t="str"/>
    </x:row>
    <x:row r="3">
      <x:c r="A3" s="106" t="n">
        <x:v>1</x:v>
      </x:c>
      <x:c r="B3" s="106" t="str">
        <x:v>2</x:v>
      </x:c>
      <x:c r="C3" s="167" t="str">
        <x:f>"0953 1 1003768"</x:f>
        <x:v>0953 1 1003768</x:v>
      </x:c>
      <x:c r="D3" s="68" t="str">
        <x:v>PHAN THI ANH THU</x:v>
      </x:c>
      <x:c r="E3" s="68" t="str">
        <x:v>X</x:v>
      </x:c>
      <x:c r="F3" s="68" t="str">
        <x:v>29/0 1/2011</x:v>
      </x:c>
      <x:c r="G3" s="68" t="str">
        <x:v>Kinh</x:v>
      </x:c>
      <x:c r="H3" s="68" t="str">
        <x:v>Xa Phudc Long</x:v>
      </x:c>
      <x:c r="I3" s="68" t="str">
        <x:v>THCS Phu a Long</x:v>
      </x:c>
      <x:c r="J3" s="68" t="str">
        <x:v>Xa Phudc Long</x:v>
      </x:c>
      <x:c r="K3" s="68" t="str">
        <x:v>38.2</x:v>
      </x:c>
      <x:c r="L3" s="68" t="str">
        <x:v>40</x:v>
      </x:c>
      <x:c r="M3" s="68" t="str"/>
      <x:c r="N3" s="68" t="str">
        <x:v>1.5</x:v>
      </x:c>
      <x:c r="O3" s="68" t="str">
        <x:v>79.7</x:v>
      </x:c>
      <x:c r="P3" s="68" t="str"/>
    </x:row>
    <x:row r="4">
      <x:c r="A4" s="106" t="n">
        <x:v>1</x:v>
      </x:c>
      <x:c r="B4" s="106" t="str">
        <x:v>3</x:v>
      </x:c>
      <x:c r="C4" s="167" t="str">
        <x:f>"09521 ] 001217"</x:f>
        <x:v>09521 ] 001217</x:v>
      </x:c>
      <x:c r="D4" s="68" t="str">
        <x:v>HUYNH DAT</x:v>
      </x:c>
      <x:c r="E4" s="68" t="str"/>
      <x:c r="F4" s="68" t="str">
        <x:v>07/1 1/2011</x:v>
      </x:c>
      <x:c r="G4" s="68" t="str">
        <x:v>Hoa</x:v>
      </x:c>
      <x:c r="H4" s="68" t="str">
        <x:v>Xa Phu6c Long</x:v>
      </x:c>
      <x:c r="I4" s="68" t="str">
        <x:v>THCS Phu6c Long</x:v>
      </x:c>
      <x:c r="J4" s="68" t="str">
        <x:v>Xa Phudc Long</x:v>
      </x:c>
      <x:c r="K4" s="68" t="str">
        <x:v>38.1</x:v>
      </x:c>
      <x:c r="L4" s="68" t="str">
        <x:v>40</x:v>
      </x:c>
      <x:c r="M4" s="68" t="str">
        <x:v>1.0</x:v>
      </x:c>
      <x:c r="N4" s="68" t="str">
        <x:v>0.5</x:v>
      </x:c>
      <x:c r="O4" s="68" t="str">
        <x:v>79.6</x:v>
      </x:c>
      <x:c r="P4" s="68" t="str"/>
    </x:row>
    <x:row r="5">
      <x:c r="A5" s="106" t="n">
        <x:v>1</x:v>
      </x:c>
      <x:c r="B5" s="106" t="str">
        <x:v>4</x:v>
      </x:c>
      <x:c r="C5" s="167" t="str">
        <x:f>"0953 1 ] 006597"</x:f>
        <x:v>0953 1 ] 006597</x:v>
      </x:c>
      <x:c r="D5" s="68" t="str">
        <x:v>NGUYEN THI TUYET KHA</x:v>
      </x:c>
      <x:c r="E5" s="68" t="str">
        <x:v>X</x:v>
      </x:c>
      <x:c r="F5" s="68" t="str">
        <x:v>06/07/2011</x:v>
      </x:c>
      <x:c r="G5" s="68" t="str">
        <x:v>Kinh</x:v>
      </x:c>
      <x:c r="H5" s="68" t="str">
        <x:v>Xa Phu6c Long</x:v>
      </x:c>
      <x:c r="I5" s="68" t="str">
        <x:v>THCS Phudc Long</x:v>
      </x:c>
      <x:c r="J5" s="68" t="str">
        <x:v>Xa Phudc Long</x:v>
      </x:c>
      <x:c r="K5" s="68" t="str">
        <x:v>39.1</x:v>
      </x:c>
      <x:c r="L5" s="68" t="str">
        <x:v>40</x:v>
      </x:c>
      <x:c r="M5" s="68" t="str"/>
      <x:c r="N5" s="68" t="str">
        <x:v>0.5</x:v>
      </x:c>
      <x:c r="O5" s="68" t="str">
        <x:v>79.6</x:v>
      </x:c>
      <x:c r="P5" s="68" t="str"/>
    </x:row>
    <x:row r="6">
      <x:c r="A6" s="106" t="n">
        <x:v>1</x:v>
      </x:c>
      <x:c r="B6" s="106" t="str">
        <x:v>5</x:v>
      </x:c>
      <x:c r="C6" s="167" t="str">
        <x:f>"095211009332"</x:f>
        <x:v>095211009332</x:v>
      </x:c>
      <x:c r="D6" s="68" t="str">
        <x:v>PHAN PH(IC TRU6NG</x:v>
      </x:c>
      <x:c r="E6" s="68" t="str"/>
      <x:c r="F6" s="68" t="str">
        <x:v>17/09/201 1</x:v>
      </x:c>
      <x:c r="G6" s="68" t="str">
        <x:v>Kinh</x:v>
      </x:c>
      <x:c r="H6" s="68" t="str">
        <x:v>Xa VTnh Thanh</x:v>
      </x:c>
      <x:c r="I6" s="68" t="str">
        <x:v>THCS Hung Phd</x:v>
      </x:c>
      <x:c r="J6" s="68" t="str">
        <x:v>Xa Vmh Thanh</x:v>
      </x:c>
      <x:c r="K6" s="68" t="str">
        <x:v>38.4</x:v>
      </x:c>
      <x:c r="L6" s="68" t="str">
        <x:v>40</x:v>
      </x:c>
      <x:c r="M6" s="68" t="str"/>
      <x:c r="N6" s="68" t="str">
        <x:v>1.0</x:v>
      </x:c>
      <x:c r="O6" s="68" t="str">
        <x:v>79.4</x:v>
      </x:c>
      <x:c r="P6" s="68" t="str"/>
    </x:row>
    <x:row r="7">
      <x:c r="A7" s="106" t="n">
        <x:v>1</x:v>
      </x:c>
      <x:c r="B7" s="106" t="str">
        <x:v>6</x:v>
      </x:c>
      <x:c r="C7" s="167" t="str">
        <x:f>"09521 1005083"</x:f>
        <x:v>09521 1005083</x:v>
      </x:c>
      <x:c r="D7" s="68" t="str">
        <x:v>TRAN HAO</x:v>
      </x:c>
      <x:c r="E7" s="68" t="str"/>
      <x:c r="F7" s="68" t="str">
        <x:v>01/03/201 1</x:v>
      </x:c>
      <x:c r="G7" s="68" t="str">
        <x:v>Kinh</x:v>
      </x:c>
      <x:c r="H7" s="68" t="str">
        <x:v>Xa Phu6c Long</x:v>
      </x:c>
      <x:c r="I7" s="68" t="str">
        <x:v>THCS Phudc Long</x:v>
      </x:c>
      <x:c r="J7" s="68" t="str">
        <x:v>Xa Phu6c Long</x:v>
      </x:c>
      <x:c r="K7" s="68" t="str">
        <x:v>38.5</x:v>
      </x:c>
      <x:c r="L7" s="68" t="str">
        <x:v>40</x:v>
      </x:c>
      <x:c r="M7" s="68" t="str"/>
      <x:c r="N7" s="68" t="str">
        <x:v>0.5</x:v>
      </x:c>
      <x:c r="O7" s="68" t="str">
        <x:v>79.0</x:v>
      </x:c>
      <x:c r="P7" s="68" t="str"/>
    </x:row>
    <x:row r="8">
      <x:c r="A8" s="106" t="n">
        <x:v>1</x:v>
      </x:c>
      <x:c r="B8" s="106" t="str">
        <x:v>7</x:v>
      </x:c>
      <x:c r="C8" s="167" t="str">
        <x:f>"09521 1003 142"</x:f>
        <x:v>09521 1003 142</x:v>
      </x:c>
      <x:c r="D8" s="68" t="str">
        <x:v>TO TRU'ONG BANG PHI</x:v>
      </x:c>
      <x:c r="E8" s="68" t="str"/>
      <x:c r="F8" s="68" t="str">
        <x:v>16/10/201 1</x:v>
      </x:c>
      <x:c r="G8" s="68" t="str">
        <x:v>Kinh</x:v>
      </x:c>
      <x:c r="H8" s="68" t="str">
        <x:v>Xa Phu6c Long</x:v>
      </x:c>
      <x:c r="I8" s="68" t="str">
        <x:v>THCS Phudc Long</x:v>
      </x:c>
      <x:c r="J8" s="68" t="str">
        <x:v>Xa Phudc Long</x:v>
      </x:c>
      <x:c r="K8" s="68" t="str">
        <x:v>38.2</x:v>
      </x:c>
      <x:c r="L8" s="68" t="str">
        <x:v>40</x:v>
      </x:c>
      <x:c r="M8" s="68" t="str"/>
      <x:c r="N8" s="68" t="str">
        <x:v>0.5</x:v>
      </x:c>
      <x:c r="O8" s="68" t="str">
        <x:v>78.7</x:v>
      </x:c>
      <x:c r="P8" s="68" t="str"/>
    </x:row>
    <x:row r="9">
      <x:c r="A9" s="106" t="n">
        <x:v>1</x:v>
      </x:c>
      <x:c r="B9" s="106" t="str">
        <x:v>8</x:v>
      </x:c>
      <x:c r="C9" s="167" t="str">
        <x:f>"095311002093"</x:f>
        <x:v>095311002093</x:v>
      </x:c>
      <x:c r="D9" s="68" t="str">
        <x:v>DAO THI N}li</x:v>
      </x:c>
      <x:c r="E9" s="68" t="str">
        <x:v>X</x:v>
      </x:c>
      <x:c r="F9" s="68" t="str">
        <x:v>10/05/201 1</x:v>
      </x:c>
      <x:c r="G9" s="68" t="str">
        <x:v>Kinh</x:v>
      </x:c>
      <x:c r="H9" s="68" t="str">
        <x:v>Xa Phudc Long</x:v>
      </x:c>
      <x:c r="I9" s="68" t="str">
        <x:v>THCS Phu a Long</x:v>
      </x:c>
      <x:c r="J9" s="68" t="str">
        <x:v>Xa Phudc Long</x:v>
      </x:c>
      <x:c r="K9" s="68" t="str">
        <x:v>37.6</x:v>
      </x:c>
      <x:c r="L9" s="68" t="str">
        <x:v>40</x:v>
      </x:c>
      <x:c r="M9" s="68" t="str"/>
      <x:c r="N9" s="68" t="str">
        <x:v>1.0</x:v>
      </x:c>
      <x:c r="O9" s="68" t="str">
        <x:v>78.6</x:v>
      </x:c>
      <x:c r="P9" s="68" t="str"/>
    </x:row>
    <x:row r="10">
      <x:c r="A10" s="106" t="n">
        <x:v>1</x:v>
      </x:c>
      <x:c r="B10" s="106" t="str">
        <x:v>9</x:v>
      </x:c>
      <x:c r="C10" s="167" t="str">
        <x:f>"095211001512"</x:f>
        <x:v>095211001512</x:v>
      </x:c>
      <x:c r="D10" s="68" t="str">
        <x:v>NGUYEN THANH HUNG</x:v>
      </x:c>
      <x:c r="E10" s="68" t="str"/>
      <x:c r="F10" s="68" t="str">
        <x:v>21/06/2011</x:v>
      </x:c>
      <x:c r="G10" s="68" t="str">
        <x:v>Kinh</x:v>
      </x:c>
      <x:c r="H10" s="68" t="str">
        <x:v>Xa Phu6c Long</x:v>
      </x:c>
      <x:c r="I10" s="68" t="str">
        <x:v>THCS Phu6c Long</x:v>
      </x:c>
      <x:c r="J10" s="68" t="str">
        <x:v>Xa Phudc Long</x:v>
      </x:c>
      <x:c r="K10" s="68" t="str">
        <x:v>38.5</x:v>
      </x:c>
      <x:c r="L10" s="68" t="str">
        <x:v>40</x:v>
      </x:c>
      <x:c r="M10" s="68" t="str"/>
      <x:c r="N10" s="68" t="str"/>
      <x:c r="O10" s="68" t="str">
        <x:v>78.5</x:v>
      </x:c>
      <x:c r="P10" s="68" t="str"/>
    </x:row>
    <x:row r="11">
      <x:c r="A11" s="106" t="n">
        <x:v>1</x:v>
      </x:c>
      <x:c r="B11" s="106" t="str">
        <x:v>10</x:v>
      </x:c>
      <x:c r="C11" s="167" t="str">
        <x:f>"0953 1 1003537"</x:f>
        <x:v>0953 1 1003537</x:v>
      </x:c>
      <x:c r="D11" s="68" t="str">
        <x:v>DANG SON DaM MY</x:v>
      </x:c>
      <x:c r="E11" s="68" t="str">
        <x:v>X</x:v>
      </x:c>
      <x:c r="F11" s="68" t="str">
        <x:v>05/03/2011</x:v>
      </x:c>
      <x:c r="G11" s="68" t="str">
        <x:v>Khmer</x:v>
      </x:c>
      <x:c r="H11" s="68" t="str">
        <x:v>Xa Plurdc Long</x:v>
      </x:c>
      <x:c r="I11" s="68" t="str">
        <x:v>THCS Phu6'c Long</x:v>
      </x:c>
      <x:c r="J11" s="68" t="str">
        <x:v>Xa Phudc Long</x:v>
      </x:c>
      <x:c r="K11" s="68" t="str">
        <x:v>37.4</x:v>
      </x:c>
      <x:c r="L11" s="68" t="str">
        <x:v>40</x:v>
      </x:c>
      <x:c r="M11" s="68" t="str">
        <x:v>1.0</x:v>
      </x:c>
      <x:c r="N11" s="68" t="str"/>
      <x:c r="O11" s="68" t="str">
        <x:v>78.4</x:v>
      </x:c>
      <x:c r="P11" s="68" t="str"/>
    </x:row>
    <x:row r="12">
      <x:c r="A12" s="106" t="n">
        <x:v>1</x:v>
      </x:c>
      <x:c r="B12" s="106" t="str">
        <x:v>11</x:v>
      </x:c>
      <x:c r="C12" s="167" t="str">
        <x:f>"0953 1 1005853"</x:f>
        <x:v>0953 1 1005853</x:v>
      </x:c>
      <x:c r="D12" s="68" t="str">
        <x:v>TRAN NGQC TUYEN</x:v>
      </x:c>
      <x:c r="E12" s="68" t="str">
        <x:v>X</x:v>
      </x:c>
      <x:c r="F12" s="68" t="str">
        <x:v>24/04/201 1</x:v>
      </x:c>
      <x:c r="G12" s="68" t="str">
        <x:v>Kinh</x:v>
      </x:c>
      <x:c r="H12" s="68" t="str">
        <x:v>Xa Phu6c Long</x:v>
      </x:c>
      <x:c r="I12" s="68" t="str">
        <x:v>THCS Phudc Long</x:v>
      </x:c>
      <x:c r="J12" s="68" t="str">
        <x:v>Xa Phudc Long</x:v>
      </x:c>
      <x:c r="K12" s="68" t="str">
        <x:v>37.4</x:v>
      </x:c>
      <x:c r="L12" s="68" t="str">
        <x:v>40</x:v>
      </x:c>
      <x:c r="M12" s="68" t="str"/>
      <x:c r="N12" s="68" t="str">
        <x:v>1.0</x:v>
      </x:c>
      <x:c r="O12" s="68" t="str">
        <x:v>78.4</x:v>
      </x:c>
      <x:c r="P12" s="68" t="str"/>
    </x:row>
    <x:row r="13">
      <x:c r="A13" s="106" t="n">
        <x:v>1</x:v>
      </x:c>
      <x:c r="B13" s="106" t="str">
        <x:v>12</x:v>
      </x:c>
      <x:c r="C13" s="167" t="str">
        <x:f>"0953 1 1006165"</x:f>
        <x:v>0953 1 1006165</x:v>
      </x:c>
      <x:c r="D13" s="68" t="str">
        <x:v>LAM KnANH VY</x:v>
      </x:c>
      <x:c r="E13" s="68" t="str">
        <x:v>X</x:v>
      </x:c>
      <x:c r="F13" s="68" t="str">
        <x:v>11/1 1/2011</x:v>
      </x:c>
      <x:c r="G13" s="68" t="str">
        <x:v>Kinh</x:v>
      </x:c>
      <x:c r="H13" s="68" t="str">
        <x:v>Xa Vrnh Thanh</x:v>
      </x:c>
      <x:c r="I13" s="68" t="str">
        <x:v>THCS Hung Phd</x:v>
      </x:c>
      <x:c r="J13" s="68" t="str">
        <x:v>Xa VTnh Thanh</x:v>
      </x:c>
      <x:c r="K13" s="68" t="str">
        <x:v>38.3</x:v>
      </x:c>
      <x:c r="L13" s="68" t="str">
        <x:v>40</x:v>
      </x:c>
      <x:c r="M13" s="68" t="str"/>
      <x:c r="N13" s="68" t="str"/>
      <x:c r="O13" s="68" t="str">
        <x:v>78.3</x:v>
      </x:c>
      <x:c r="P13" s="68" t="str"/>
    </x:row>
    <x:row r="14">
      <x:c r="A14" s="106" t="n">
        <x:v>1</x:v>
      </x:c>
      <x:c r="B14" s="106" t="str">
        <x:v>13</x:v>
      </x:c>
      <x:c r="C14" s="167" t="str">
        <x:f>"09521 1 002174"</x:f>
        <x:v>09521 1 002174</x:v>
      </x:c>
      <x:c r="D14" s="68" t="str">
        <x:v>LE }rutNH KHANH DUY</x:v>
      </x:c>
      <x:c r="E14" s="68" t="str"/>
      <x:c r="F14" s="68" t="str">
        <x:v>03/1 1/2011</x:v>
      </x:c>
      <x:c r="G14" s="68" t="str">
        <x:v>Kinh</x:v>
      </x:c>
      <x:c r="H14" s="68" t="str">
        <x:v>Xa Phudc Long</x:v>
      </x:c>
      <x:c r="I14" s="68" t="str">
        <x:v>THCS Phudc Long</x:v>
      </x:c>
      <x:c r="J14" s="68" t="str">
        <x:v>Xa Phudc Long</x:v>
      </x:c>
      <x:c r="K14" s="68" t="str">
        <x:v>37.5</x:v>
      </x:c>
      <x:c r="L14" s="68" t="str">
        <x:v>40</x:v>
      </x:c>
      <x:c r="M14" s="68" t="str"/>
      <x:c r="N14" s="68" t="str">
        <x:v>0.5</x:v>
      </x:c>
      <x:c r="O14" s="68" t="str">
        <x:v>78.0</x:v>
      </x:c>
      <x:c r="P14" s="68" t="str"/>
    </x:row>
    <x:row r="15">
      <x:c r="A15" s="106" t="n">
        <x:v>1</x:v>
      </x:c>
      <x:c r="B15" s="106" t="str">
        <x:v>14</x:v>
      </x:c>
      <x:c r="C15" s="167" t="str">
        <x:f>"0953 1 1006058"</x:f>
        <x:v>0953 1 1006058</x:v>
      </x:c>
      <x:c r="D15" s="68" t="str">
        <x:v>TRIEU MINH THU</x:v>
      </x:c>
      <x:c r="E15" s="68" t="str">
        <x:v>X</x:v>
      </x:c>
      <x:c r="F15" s="68" t="str">
        <x:v>06/06/201 1</x:v>
      </x:c>
      <x:c r="G15" s="68" t="str">
        <x:v>Kinh</x:v>
      </x:c>
      <x:c r="H15" s="68" t="str">
        <x:v>Xa Phu6'c Long</x:v>
      </x:c>
      <x:c r="I15" s="68" t="str">
        <x:v>THCS .Phudc Long</x:v>
      </x:c>
      <x:c r="J15" s="68" t="str">
        <x:v>Xa Phu6c Long</x:v>
      </x:c>
      <x:c r="K15" s="68" t="str">
        <x:v>38.0</x:v>
      </x:c>
      <x:c r="L15" s="68" t="str">
        <x:v>40</x:v>
      </x:c>
      <x:c r="M15" s="68" t="str"/>
      <x:c r="N15" s="68" t="str"/>
      <x:c r="O15" s="68" t="str">
        <x:v>78.0</x:v>
      </x:c>
      <x:c r="P15" s="68" t="str"/>
    </x:row>
    <x:row r="16">
      <x:c r="A16" s="106" t="n">
        <x:v>1</x:v>
      </x:c>
      <x:c r="B16" s="106" t="str">
        <x:v>15</x:v>
      </x:c>
      <x:c r="C16" s="167" t="str">
        <x:f>"095311008396"</x:f>
        <x:v>095311008396</x:v>
      </x:c>
      <x:c r="D16" s="68" t="str">
        <x:v>CAO NHA TRaC</x:v>
      </x:c>
      <x:c r="E16" s="68" t="str">
        <x:v>X</x:v>
      </x:c>
      <x:c r="F16" s="68" t="str">
        <x:v>22/02/2011</x:v>
      </x:c>
      <x:c r="G16" s="68" t="str">
        <x:v>Kinh</x:v>
      </x:c>
      <x:c r="H16" s="68" t="str">
        <x:v>Xa Phudc Long</x:v>
      </x:c>
      <x:c r="I16" s="68" t="str">
        <x:v>THCS Phudc Long</x:v>
      </x:c>
      <x:c r="J16" s="68" t="str">
        <x:v>Xa Phu6c Long</x:v>
      </x:c>
      <x:c r="K16" s="68" t="str">
        <x:v>37.9</x:v>
      </x:c>
      <x:c r="L16" s="68" t="str">
        <x:v>40</x:v>
      </x:c>
      <x:c r="M16" s="68" t="str"/>
      <x:c r="N16" s="68" t="str"/>
      <x:c r="O16" s="68" t="str">
        <x:v>77.9</x:v>
      </x:c>
      <x:c r="P16" s="68" t="str"/>
    </x:row>
    <x:row r="17">
      <x:c r="A17" s="106" t="n">
        <x:v>1</x:v>
      </x:c>
      <x:c r="B17" s="106" t="str">
        <x:v>16</x:v>
      </x:c>
      <x:c r="C17" s="167" t="str">
        <x:f>"09531 1003536"</x:f>
        <x:v>09531 1003536</x:v>
      </x:c>
      <x:c r="D17" s="68" t="str">
        <x:v>NGUYEN BAO NGQC</x:v>
      </x:c>
      <x:c r="E17" s="68" t="str">
        <x:v>X</x:v>
      </x:c>
      <x:c r="F17" s="68" t="str">
        <x:v>27/02/2011</x:v>
      </x:c>
      <x:c r="G17" s="68" t="str">
        <x:v>Kinh</x:v>
      </x:c>
      <x:c r="H17" s="68" t="str">
        <x:v>Xi Phudc Long</x:v>
      </x:c>
      <x:c r="I17" s="68" t="str">
        <x:v>THCS Phudc Long</x:v>
      </x:c>
      <x:c r="J17" s="68" t="str">
        <x:v>Xa Phudc Long</x:v>
      </x:c>
      <x:c r="K17" s="68" t="str">
        <x:v>37.4</x:v>
      </x:c>
      <x:c r="L17" s="68" t="str">
        <x:v>40</x:v>
      </x:c>
      <x:c r="M17" s="68" t="str"/>
      <x:c r="N17" s="68" t="str">
        <x:v>0.5</x:v>
      </x:c>
      <x:c r="O17" s="68" t="str">
        <x:v>77.9</x:v>
      </x:c>
      <x:c r="P17" s="68" t="str"/>
    </x:row>
    <x:row r="18">
      <x:c r="A18" s="106" t="n">
        <x:v>1</x:v>
      </x:c>
      <x:c r="B18" s="106" t="str">
        <x:v>17</x:v>
      </x:c>
      <x:c r="C18" s="167" t="str">
        <x:f>"09531 1002828"</x:f>
        <x:v>09531 1002828</x:v>
      </x:c>
      <x:c r="D18" s="68" t="str">
        <x:v>LB THAO NGUYEN</x:v>
      </x:c>
      <x:c r="E18" s="68" t="str">
        <x:v>X</x:v>
      </x:c>
      <x:c r="F18" s="68" t="str">
        <x:v>29/09/201 1</x:v>
      </x:c>
      <x:c r="G18" s="68" t="str">
        <x:v>Kinh</x:v>
      </x:c>
      <x:c r="H18" s="68" t="str">
        <x:v>Xa Phudc Long</x:v>
      </x:c>
      <x:c r="I18" s="68" t="str">
        <x:v>THCS Phudc Long</x:v>
      </x:c>
      <x:c r="J18" s="68" t="str">
        <x:v>Xa Phudc Long</x:v>
      </x:c>
      <x:c r="K18" s="68" t="str">
        <x:v>37.7</x:v>
      </x:c>
      <x:c r="L18" s="68" t="str">
        <x:v>40</x:v>
      </x:c>
      <x:c r="M18" s="68" t="str"/>
      <x:c r="N18" s="68" t="str"/>
      <x:c r="O18" s="68" t="str">
        <x:v>77.7</x:v>
      </x:c>
      <x:c r="P18" s="68" t="str"/>
    </x:row>
    <x:row r="19">
      <x:c r="A19" s="106" t="n">
        <x:v>1</x:v>
      </x:c>
      <x:c r="B19" s="106" t="str">
        <x:v>18</x:v>
      </x:c>
      <x:c r="C19" s="167" t="str">
        <x:f>"0953 1 1003268"</x:f>
        <x:v>0953 1 1003268</x:v>
      </x:c>
      <x:c r="D19" s="68" t="str">
        <x:v>NGUY£N DIEM QUtNH</x:v>
      </x:c>
      <x:c r="E19" s="68" t="str">
        <x:v>X</x:v>
      </x:c>
      <x:c r="F19" s="68" t="str">
        <x:v>08/09/2011</x:v>
      </x:c>
      <x:c r="G19" s="68" t="str">
        <x:v>K inh</x:v>
      </x:c>
      <x:c r="H19" s="68" t="str">
        <x:v>Xi Phu6c Long</x:v>
      </x:c>
      <x:c r="I19" s="68" t="str">
        <x:v>THCS Phu6c Long</x:v>
      </x:c>
      <x:c r="J19" s="68" t="str">
        <x:v>Xa Phudc Long</x:v>
      </x:c>
      <x:c r="K19" s="68" t="str">
        <x:v>37.7</x:v>
      </x:c>
      <x:c r="L19" s="68" t="str">
        <x:v>40</x:v>
      </x:c>
      <x:c r="M19" s="68" t="str"/>
      <x:c r="N19" s="68" t="str"/>
      <x:c r="O19" s="68" t="str">
        <x:v>77.7</x:v>
      </x:c>
      <x:c r="P19" s="68" t="str"/>
    </x:row>
    <x:row r="20">
      <x:c r="A20" s="106" t="n">
        <x:v>1</x:v>
      </x:c>
      <x:c r="B20" s="106" t="str">
        <x:v>19</x:v>
      </x:c>
      <x:c r="C20" s="167" t="str">
        <x:f>"09531 1006258"</x:f>
        <x:v>09531 1006258</x:v>
      </x:c>
      <x:c r="D20" s="68" t="str">
        <x:v>TRAN THI KHANH BANG</x:v>
      </x:c>
      <x:c r="E20" s="68" t="str">
        <x:v>X</x:v>
      </x:c>
      <x:c r="F20" s="68" t="str">
        <x:v>02/12/2011</x:v>
      </x:c>
      <x:c r="G20" s="68" t="str">
        <x:v>Kinh</x:v>
      </x:c>
      <x:c r="H20" s="68" t="str">
        <x:v>Xa Vinh Thanh</x:v>
      </x:c>
      <x:c r="I20" s="68" t="str">
        <x:v>THCS Hung Phd</x:v>
      </x:c>
      <x:c r="J20" s="68" t="str">
        <x:v>Xa Wnh Thanh</x:v>
      </x:c>
      <x:c r="K20" s="68" t="str">
        <x:v>37.6</x:v>
      </x:c>
      <x:c r="L20" s="68" t="str">
        <x:v>40</x:v>
      </x:c>
      <x:c r="M20" s="68" t="str"/>
      <x:c r="N20" s="68" t="str"/>
      <x:c r="O20" s="68" t="str">
        <x:v>77.6</x:v>
      </x:c>
      <x:c r="P20" s="68" t="str"/>
    </x:row>
    <x:row r="21">
      <x:c r="A21" s="106" t="n">
        <x:v>1</x:v>
      </x:c>
      <x:c r="B21" s="106" t="str">
        <x:v>20</x:v>
      </x:c>
      <x:c r="C21" s="167" t="str">
        <x:f>"09531 1008916"</x:f>
        <x:v>09531 1008916</x:v>
      </x:c>
      <x:c r="D21" s="68" t="str">
        <x:v>DOAN CHUC VY</x:v>
      </x:c>
      <x:c r="E21" s="68" t="str">
        <x:v>X</x:v>
      </x:c>
      <x:c r="F21" s="68" t="str">
        <x:v>13/04/201 1</x:v>
      </x:c>
      <x:c r="G21" s="68" t="str">
        <x:v>Kinh</x:v>
      </x:c>
      <x:c r="H21" s="68" t="str">
        <x:v>Xa Phu6c Long</x:v>
      </x:c>
      <x:c r="I21" s="68" t="str">
        <x:v>THCS Phudc Long</x:v>
      </x:c>
      <x:c r="J21" s="68" t="str">
        <x:v>Xg Phudc Long</x:v>
      </x:c>
      <x:c r="K21" s="68" t="str">
        <x:v>37.5</x:v>
      </x:c>
      <x:c r="L21" s="68" t="str">
        <x:v>40</x:v>
      </x:c>
      <x:c r="M21" s="68" t="str"/>
      <x:c r="N21" s="68" t="str"/>
      <x:c r="O21" s="68" t="str">
        <x:v>77.5</x:v>
      </x:c>
      <x:c r="P21" s="68" t="str"/>
    </x:row>
    <x:row r="22">
      <x:c r="A22" s="106" t="n">
        <x:v>1</x:v>
      </x:c>
      <x:c r="B22" s="106" t="str">
        <x:v>21</x:v>
      </x:c>
      <x:c r="C22" s="167" t="str">
        <x:f>"09531 1002526"</x:f>
        <x:v>09531 1002526</x:v>
      </x:c>
      <x:c r="D22" s="68" t="str">
        <x:v>DaaNG H6NG LUY£N</x:v>
      </x:c>
      <x:c r="E22" s="68" t="str">
        <x:v>X</x:v>
      </x:c>
      <x:c r="F22" s="68" t="str">
        <x:v>25/05/2011</x:v>
      </x:c>
      <x:c r="G22" s="68" t="str">
        <x:v>Kinh</x:v>
      </x:c>
      <x:c r="H22" s="68" t="str">
        <x:v>Xa Vinh Thanh</x:v>
      </x:c>
      <x:c r="I22" s="68" t="str">
        <x:v>THCS Hung Phd</x:v>
      </x:c>
      <x:c r="J22" s="68" t="str">
        <x:v>Xa Wmh Thanh</x:v>
      </x:c>
      <x:c r="K22" s="68" t="str">
        <x:v>37.5</x:v>
      </x:c>
      <x:c r="L22" s="68" t="str">
        <x:v>40</x:v>
      </x:c>
      <x:c r="M22" s="68" t="str"/>
      <x:c r="N22" s="68" t="str"/>
      <x:c r="O22" s="68" t="str">
        <x:v>77.5</x:v>
      </x:c>
      <x:c r="P22" s="68" t="str"/>
    </x:row>
    <x:row r="23">
      <x:c r="A23" s="106" t="n">
        <x:v>1</x:v>
      </x:c>
      <x:c r="B23" s="106" t="str">
        <x:v>22</x:v>
      </x:c>
      <x:c r="C23" s="167" t="str">
        <x:f>"0953 1 1007272"</x:f>
        <x:v>0953 1 1007272</x:v>
      </x:c>
      <x:c r="D23" s="68" t="str">
        <x:v>DANG NGQC PHUC</x:v>
      </x:c>
      <x:c r="E23" s="68" t="str">
        <x:v>X</x:v>
      </x:c>
      <x:c r="F23" s="68" t="str">
        <x:v>26/01/2011</x:v>
      </x:c>
      <x:c r="G23" s="68" t="str">
        <x:v>Kinh</x:v>
      </x:c>
      <x:c r="H23" s="68" t="str">
        <x:v>Xa Vinh Thanh</x:v>
      </x:c>
      <x:c r="I23" s="68" t="str">
        <x:v>THCS Vinh Thanh</x:v>
      </x:c>
      <x:c r="J23" s="68" t="str">
        <x:v>Xa VTnh Thanh</x:v>
      </x:c>
      <x:c r="K23" s="68" t="str">
        <x:v>37.0</x:v>
      </x:c>
      <x:c r="L23" s="68" t="str">
        <x:v>40</x:v>
      </x:c>
      <x:c r="M23" s="68" t="str"/>
      <x:c r="N23" s="68" t="str">
        <x:v>0.5</x:v>
      </x:c>
      <x:c r="O23" s="68" t="str">
        <x:v>77.5</x:v>
      </x:c>
      <x:c r="P23" s="68" t="str"/>
    </x:row>
    <x:row r="24">
      <x:c r="A24" s="106" t="n">
        <x:v>1</x:v>
      </x:c>
      <x:c r="B24" s="106" t="str">
        <x:v>23</x:v>
      </x:c>
      <x:c r="C24" s="167" t="str">
        <x:f>"095211001953"</x:f>
        <x:v>095211001953</x:v>
      </x:c>
      <x:c r="D24" s="68" t="str">
        <x:v>NGUYEN TRQNG NHAN</x:v>
      </x:c>
      <x:c r="E24" s="68" t="str"/>
      <x:c r="F24" s="68" t="str">
        <x:v>15/12/2011</x:v>
      </x:c>
      <x:c r="G24" s="68" t="str">
        <x:v>Kinh</x:v>
      </x:c>
      <x:c r="H24" s="68" t="str">
        <x:v>Xa Phu6c Long</x:v>
      </x:c>
      <x:c r="I24" s="68" t="str">
        <x:v>THCS Phudc Long</x:v>
      </x:c>
      <x:c r="J24" s="68" t="str">
        <x:v>Xa Phu6c Long</x:v>
      </x:c>
      <x:c r="K24" s="68" t="str">
        <x:v>37.4</x:v>
      </x:c>
      <x:c r="L24" s="68" t="str">
        <x:v>40</x:v>
      </x:c>
      <x:c r="M24" s="68" t="str"/>
      <x:c r="N24" s="68" t="str"/>
      <x:c r="O24" s="68" t="str">
        <x:v>77.4</x:v>
      </x:c>
      <x:c r="P24" s="68" t="str"/>
    </x:row>
    <x:row r="25">
      <x:c r="A25" s="106" t="n">
        <x:v>1</x:v>
      </x:c>
      <x:c r="B25" s="106" t="str">
        <x:v>24</x:v>
      </x:c>
      <x:c r="C25" s="167" t="str">
        <x:f>"09521 1009852"</x:f>
        <x:v>09521 1009852</x:v>
      </x:c>
      <x:c r="D25" s="68" t="str">
        <x:v>NGUY£N HOANG THaN</x:v>
      </x:c>
      <x:c r="E25" s="68" t="str"/>
      <x:c r="F25" s="68" t="str">
        <x:v>30/04/201 1</x:v>
      </x:c>
      <x:c r="G25" s="68" t="str">
        <x:v>Kinh</x:v>
      </x:c>
      <x:c r="H25" s="68" t="str">
        <x:v>Xa Vinh Thanh</x:v>
      </x:c>
      <x:c r="I25" s="68" t="str">
        <x:v>THCS Vinh Thanh</x:v>
      </x:c>
      <x:c r="J25" s="68" t="str">
        <x:v>Xa VTnh Thanh</x:v>
      </x:c>
      <x:c r="K25" s="68" t="str">
        <x:v>35.9</x:v>
      </x:c>
      <x:c r="L25" s="68" t="str">
        <x:v>40</x:v>
      </x:c>
      <x:c r="M25" s="68" t="str"/>
      <x:c r="N25" s="68" t="str">
        <x:v>1.5</x:v>
      </x:c>
      <x:c r="O25" s="68" t="str">
        <x:v>77.4</x:v>
      </x:c>
      <x:c r="P25" s="68" t="str"/>
    </x:row>
    <x:row r="26">
      <x:c r="A26" s="106" t="n">
        <x:v>1</x:v>
      </x:c>
      <x:c r="B26" s="106" t="str">
        <x:v>25</x:v>
      </x:c>
      <x:c r="C26" s="167" t="str">
        <x:f>"0953 1 1007155"</x:f>
        <x:v>0953 1 1007155</x:v>
      </x:c>
      <x:c r="D26" s="68" t="str">
        <x:v>NGUYEN TUE MAN</x:v>
      </x:c>
      <x:c r="E26" s="68" t="str">
        <x:v>X</x:v>
      </x:c>
      <x:c r="F26" s="68" t="str">
        <x:v>30/01/2011</x:v>
      </x:c>
      <x:c r="G26" s="68" t="str">
        <x:v>Kinh</x:v>
      </x:c>
      <x:c r="H26" s="68" t="str">
        <x:v>Xa FIITh PhUdC</x:v>
      </x:c>
      <x:c r="I26" s="68" t="str">
        <x:v>THCS Phudc Long</x:v>
      </x:c>
      <x:c r="J26" s="68" t="str">
        <x:v>Xa VTnh Phudc</x:v>
      </x:c>
      <x:c r="K26" s="68" t="str">
        <x:v>36.4</x:v>
      </x:c>
      <x:c r="L26" s="68" t="str">
        <x:v>40</x:v>
      </x:c>
      <x:c r="M26" s="68" t="str">
        <x:v>1.0</x:v>
      </x:c>
      <x:c r="N26" s="68" t="str"/>
      <x:c r="O26" s="68" t="str">
        <x:v>77.4</x:v>
      </x:c>
      <x:c r="P26" s="68" t="str"/>
    </x:row>
    <x:row r="27">
      <x:c r="A27" s="106" t="n">
        <x:v>1</x:v>
      </x:c>
      <x:c r="B27" s="106" t="str">
        <x:v>26</x:v>
      </x:c>
      <x:c r="C27" s="167" t="str">
        <x:f>"0953 1 1009220"</x:f>
        <x:v>0953 1 1009220</x:v>
      </x:c>
      <x:c r="D27" s="68" t="str">
        <x:v>NGUY£N THI cAM NWH</x:v>
      </x:c>
      <x:c r="E27" s="68" t="str">
        <x:v>X</x:v>
      </x:c>
      <x:c r="F27" s="68" t="str">
        <x:v>01 /03/201 1</x:v>
      </x:c>
      <x:c r="G27" s="68" t="str">
        <x:v>Kinh</x:v>
      </x:c>
      <x:c r="H27" s="68" t="str">
        <x:v>Xa Vrnh Thanh</x:v>
      </x:c>
      <x:c r="I27" s="68" t="str">
        <x:v>THCS Hung Phd</x:v>
      </x:c>
      <x:c r="J27" s="68" t="str">
        <x:v>Xa Vinh Thanh</x:v>
      </x:c>
      <x:c r="K27" s="68" t="str">
        <x:v>37.3</x:v>
      </x:c>
      <x:c r="L27" s="68" t="str">
        <x:v>40</x:v>
      </x:c>
      <x:c r="M27" s="68" t="str"/>
      <x:c r="N27" s="68" t="str"/>
      <x:c r="O27" s="68" t="str">
        <x:v>77.3</x:v>
      </x:c>
      <x:c r="P27" s="68" t="str"/>
    </x:row>
    <x:row r="28">
      <x:c r="A28" s="106" t="n">
        <x:v>1</x:v>
      </x:c>
      <x:c r="B28" s="106" t="str">
        <x:v>27</x:v>
      </x:c>
      <x:c r="C28" s="167" t="str">
        <x:f>"09521 1003732"</x:f>
        <x:v>09521 1003732</x:v>
      </x:c>
      <x:c r="D28" s="68" t="str">
        <x:v>NGUY£N ANH Kl£N</x:v>
      </x:c>
      <x:c r="E28" s="68" t="str"/>
      <x:c r="F28" s="68" t="str">
        <x:v>15/01/2011</x:v>
      </x:c>
      <x:c r="G28" s="68" t="str">
        <x:v>Kinh</x:v>
      </x:c>
      <x:c r="H28" s="68" t="str">
        <x:v>Xa VTnh phu6c</x:v>
      </x:c>
      <x:c r="I28" s="68" t="str">
        <x:v>THCS PhMc Long</x:v>
      </x:c>
      <x:c r="J28" s="68" t="str">
        <x:v>Xa Phu6c Long</x:v>
      </x:c>
      <x:c r="K28" s="68" t="str">
        <x:v>37.3</x:v>
      </x:c>
      <x:c r="L28" s="68" t="str">
        <x:v>40</x:v>
      </x:c>
      <x:c r="M28" s="68" t="str"/>
      <x:c r="N28" s="68" t="str"/>
      <x:c r="O28" s="68" t="str">
        <x:v>77.3</x:v>
      </x:c>
      <x:c r="P28" s="68" t="str"/>
    </x:row>
    <x:row r="29">
      <x:c r="A29" s="106" t="n">
        <x:v>1</x:v>
      </x:c>
      <x:c r="B29" s="106" t="str">
        <x:v>28</x:v>
      </x:c>
      <x:c r="C29" s="167" t="str">
        <x:f>"095211006131"</x:f>
        <x:v>095211006131</x:v>
      </x:c>
      <x:c r="D29" s="68" t="str">
        <x:v>NGUY£N HUVNH TEEN</x:v>
      </x:c>
      <x:c r="E29" s="68" t="str"/>
      <x:c r="F29" s="68" t="str">
        <x:v>16/02/201 1</x:v>
      </x:c>
      <x:c r="G29" s="68" t="str">
        <x:v>Kinh</x:v>
      </x:c>
      <x:c r="H29" s="68" t="str">
        <x:v>Xa Phudc Long</x:v>
      </x:c>
      <x:c r="I29" s="68" t="str">
        <x:v>THCS Phu a Long</x:v>
      </x:c>
      <x:c r="J29" s="68" t="str">
        <x:v>Xg Phu6c Long</x:v>
      </x:c>
      <x:c r="K29" s="68" t="str">
        <x:v>37.3</x:v>
      </x:c>
      <x:c r="L29" s="68" t="str">
        <x:v>40</x:v>
      </x:c>
      <x:c r="M29" s="68" t="str"/>
      <x:c r="N29" s="68" t="str"/>
      <x:c r="O29" s="68" t="str">
        <x:v>77.3</x:v>
      </x:c>
      <x:c r="P29" s="68" t="str"/>
    </x:row>
    <x:row r="30">
      <x:c r="A30" s="106" t="n">
        <x:v>2</x:v>
      </x:c>
      <x:c r="B30" s="106" t="str">
        <x:v>29</x:v>
      </x:c>
      <x:c r="C30" s="167" t="str">
        <x:f>"09521 1004629"</x:f>
        <x:v>09521 1004629</x:v>
      </x:c>
      <x:c r="D30" s="68" t="str">
        <x:v>NGUYEN DtNH LB</x:v>
      </x:c>
      <x:c r="E30" s="68" t="str"/>
      <x:c r="F30" s="68" t="str">
        <x:v>28/04/201 1</x:v>
      </x:c>
      <x:c r="G30" s="68" t="str">
        <x:v>Kinh</x:v>
      </x:c>
      <x:c r="H30" s="68" t="str">
        <x:v>Xa Phu6c Long</x:v>
      </x:c>
      <x:c r="I30" s="68" t="str">
        <x:v>THCS Phudc Long</x:v>
      </x:c>
      <x:c r="J30" s="68" t="str">
        <x:v>Xa Phu6c Long</x:v>
      </x:c>
      <x:c r="K30" s="68" t="str">
        <x:v>36.8</x:v>
      </x:c>
      <x:c r="L30" s="68" t="str">
        <x:v>40</x:v>
      </x:c>
      <x:c r="M30" s="68" t="str"/>
      <x:c r="N30" s="68" t="str">
        <x:v>0.5</x:v>
      </x:c>
      <x:c r="O30" s="68" t="str">
        <x:v>77.3</x:v>
      </x:c>
      <x:c r="P30" s="68" t="str"/>
    </x:row>
    <x:row r="31">
      <x:c r="A31" s="106" t="n">
        <x:v>2</x:v>
      </x:c>
      <x:c r="B31" s="106" t="str">
        <x:v>30</x:v>
      </x:c>
      <x:c r="C31" s="167" t="str">
        <x:f>"095211009171"</x:f>
        <x:v>095211009171</x:v>
      </x:c>
      <x:c r="D31" s="68" t="str">
        <x:v>NGUYEN NHAT nAo</x:v>
      </x:c>
      <x:c r="E31" s="68" t="str"/>
      <x:c r="F31" s="68" t="str">
        <x:v>03/03/201 1</x:v>
      </x:c>
      <x:c r="G31" s="68" t="str">
        <x:v>Kinh</x:v>
      </x:c>
      <x:c r="H31" s="68" t="str">
        <x:v>Xa VTnh Thanh</x:v>
      </x:c>
      <x:c r="I31" s="68" t="str">
        <x:v>THCS Hung Phd</x:v>
      </x:c>
      <x:c r="J31" s="68" t="str">
        <x:v>Xa VTnh Thanh</x:v>
      </x:c>
      <x:c r="K31" s="68" t="str">
        <x:v>37.3</x:v>
      </x:c>
      <x:c r="L31" s="68" t="str">
        <x:v>40</x:v>
      </x:c>
      <x:c r="M31" s="68" t="str"/>
      <x:c r="N31" s="68" t="str"/>
      <x:c r="O31" s="68" t="str">
        <x:v>77.3</x:v>
      </x:c>
      <x:c r="P31" s="68" t="str"/>
    </x:row>
    <x:row r="32">
      <x:c r="A32" s="106" t="n">
        <x:v>2</x:v>
      </x:c>
      <x:c r="B32" s="106" t="str">
        <x:v>31</x:v>
      </x:c>
      <x:c r="C32" s="167" t="str">
        <x:f>"095211001678"</x:f>
        <x:v>095211001678</x:v>
      </x:c>
      <x:c r="D32" s="68" t="str">
        <x:v>FIUtNH GLA LOI</x:v>
      </x:c>
      <x:c r="E32" s="68" t="str"/>
      <x:c r="F32" s="68" t="str">
        <x:v>06/02/201 1</x:v>
      </x:c>
      <x:c r="G32" s="68" t="str">
        <x:v>Kinh</x:v>
      </x:c>
      <x:c r="H32" s="68" t="str">
        <x:v>Xa Phudc Long</x:v>
      </x:c>
      <x:c r="I32" s="68" t="str">
        <x:v>THCS Phu6c Long</x:v>
      </x:c>
      <x:c r="J32" s="68" t="str">
        <x:v>Xa Phu a Long</x:v>
      </x:c>
      <x:c r="K32" s="68" t="str">
        <x:v>37.2</x:v>
      </x:c>
      <x:c r="L32" s="68" t="str">
        <x:v>40</x:v>
      </x:c>
      <x:c r="M32" s="68" t="str"/>
      <x:c r="N32" s="68" t="str"/>
      <x:c r="O32" s="68" t="str">
        <x:v>77.2</x:v>
      </x:c>
      <x:c r="P32" s="68" t="str"/>
    </x:row>
    <x:row r="33">
      <x:c r="A33" s="106" t="n">
        <x:v>2</x:v>
      </x:c>
      <x:c r="B33" s="106" t="str">
        <x:v>32</x:v>
      </x:c>
      <x:c r="C33" s="167" t="str">
        <x:f>"095211010083"</x:f>
        <x:v>095211010083</x:v>
      </x:c>
      <x:c r="D33" s="68" t="str">
        <x:v>TRAN THINH PHAT</x:v>
      </x:c>
      <x:c r="E33" s="68" t="str"/>
      <x:c r="F33" s="68" t="str">
        <x:v>02/01/201 1</x:v>
      </x:c>
      <x:c r="G33" s="68" t="str">
        <x:v>Kinh</x:v>
      </x:c>
      <x:c r="H33" s="68" t="str">
        <x:v>Xa Phu6c Long</x:v>
      </x:c>
      <x:c r="I33" s="68" t="str">
        <x:v>THCS Phu6c Long</x:v>
      </x:c>
      <x:c r="J33" s="68" t="str">
        <x:v>Xa Phu6c Long</x:v>
      </x:c>
      <x:c r="K33" s="68" t="str">
        <x:v>36.7</x:v>
      </x:c>
      <x:c r="L33" s="68" t="str">
        <x:v>40</x:v>
      </x:c>
      <x:c r="M33" s="68" t="str"/>
      <x:c r="N33" s="68" t="str">
        <x:v>0.5</x:v>
      </x:c>
      <x:c r="O33" s="68" t="str">
        <x:v>77.2</x:v>
      </x:c>
      <x:c r="P33" s="68" t="str"/>
    </x:row>
    <x:row r="34">
      <x:c r="A34" s="106" t="n">
        <x:v>2</x:v>
      </x:c>
      <x:c r="B34" s="106" t="str">
        <x:v>33</x:v>
      </x:c>
      <x:c r="C34" s="167" t="str">
        <x:f>"09521 1008703"</x:f>
        <x:v>09521 1008703</x:v>
      </x:c>
      <x:c r="D34" s="68" t="str">
        <x:v>va HOANG BACH</x:v>
      </x:c>
      <x:c r="E34" s="68" t="str"/>
      <x:c r="F34" s="68" t="str">
        <x:v>02/06/201 1</x:v>
      </x:c>
      <x:c r="G34" s="68" t="str">
        <x:v>Kinh</x:v>
      </x:c>
      <x:c r="H34" s="68" t="str">
        <x:v>Xa VTnh Thanh</x:v>
      </x:c>
      <x:c r="I34" s="68" t="str">
        <x:v>THCS Phu6c Long</x:v>
      </x:c>
      <x:c r="J34" s="68" t="str">
        <x:v>Xa Phu6c Long</x:v>
      </x:c>
      <x:c r="K34" s="68" t="str">
        <x:v>37.2</x:v>
      </x:c>
      <x:c r="L34" s="68" t="str">
        <x:v>40</x:v>
      </x:c>
      <x:c r="M34" s="68" t="str"/>
      <x:c r="N34" s="68" t="str"/>
      <x:c r="O34" s="68" t="str">
        <x:v>77.2</x:v>
      </x:c>
      <x:c r="P34" s="68" t="str"/>
    </x:row>
    <x:row r="35">
      <x:c r="A35" s="106" t="n">
        <x:v>2</x:v>
      </x:c>
      <x:c r="B35" s="106" t="str">
        <x:v>34</x:v>
      </x:c>
      <x:c r="C35" s="167" t="str">
        <x:f>"09531 1006825"</x:f>
        <x:v>09531 1006825</x:v>
      </x:c>
      <x:c r="D35" s="68" t="str">
        <x:v>GLANG THI MINH HAO</x:v>
      </x:c>
      <x:c r="E35" s="68" t="str">
        <x:v>X</x:v>
      </x:c>
      <x:c r="F35" s="68" t="str">
        <x:v>03/01/201 I</x:v>
      </x:c>
      <x:c r="G35" s="68" t="str">
        <x:v>Kinh</x:v>
      </x:c>
      <x:c r="H35" s="68" t="str">
        <x:v>Xa Frnh Thanh</x:v>
      </x:c>
      <x:c r="I35" s="68" t="str">
        <x:v>THCS Hung Phd</x:v>
      </x:c>
      <x:c r="J35" s="68" t="str">
        <x:v>Xa Wlnh Thanh</x:v>
      </x:c>
      <x:c r="K35" s="68" t="str">
        <x:v>37.2</x:v>
      </x:c>
      <x:c r="L35" s="68" t="str">
        <x:v>40</x:v>
      </x:c>
      <x:c r="M35" s="68" t="str"/>
      <x:c r="N35" s="68" t="str"/>
      <x:c r="O35" s="68" t="str">
        <x:v>77.2</x:v>
      </x:c>
      <x:c r="P35" s="68" t="str"/>
    </x:row>
    <x:row r="36">
      <x:c r="A36" s="106" t="n">
        <x:v>2</x:v>
      </x:c>
      <x:c r="B36" s="106" t="str">
        <x:v>35</x:v>
      </x:c>
      <x:c r="C36" s="167" t="str">
        <x:f>"095211005347"</x:f>
        <x:v>095211005347</x:v>
      </x:c>
      <x:c r="D36" s="68" t="str">
        <x:v>TRAN N©NH KHO A</x:v>
      </x:c>
      <x:c r="E36" s="68" t="str"/>
      <x:c r="F36" s="68" t="str">
        <x:v>04/02/201 1</x:v>
      </x:c>
      <x:c r="G36" s="68" t="str">
        <x:v>Kinh</x:v>
      </x:c>
      <x:c r="H36" s="68" t="str">
        <x:v>Xa Vinh Thanh</x:v>
      </x:c>
      <x:c r="I36" s="68" t="str">
        <x:v>THCS Phudc Long</x:v>
      </x:c>
      <x:c r="J36" s="68" t="str">
        <x:v>Xa Phudc Long</x:v>
      </x:c>
      <x:c r="K36" s="68" t="str">
        <x:v>37.1</x:v>
      </x:c>
      <x:c r="L36" s="68" t="str">
        <x:v>40</x:v>
      </x:c>
      <x:c r="M36" s="68" t="str"/>
      <x:c r="N36" s="68" t="str"/>
      <x:c r="O36" s="68" t="str">
        <x:v>77. 1</x:v>
      </x:c>
      <x:c r="P36" s="68" t="str"/>
    </x:row>
    <x:row r="37">
      <x:c r="A37" s="106" t="n">
        <x:v>2</x:v>
      </x:c>
      <x:c r="B37" s="106" t="str">
        <x:v>36</x:v>
      </x:c>
      <x:c r="C37" s="167" t="str">
        <x:f>"095211000441"</x:f>
        <x:v>095211000441</x:v>
      </x:c>
      <x:c r="D37" s="68" t="str">
        <x:v>TRAN ANH KHA</x:v>
      </x:c>
      <x:c r="E37" s="68" t="str"/>
      <x:c r="F37" s="68" t="str">
        <x:v>21/08/201 1</x:v>
      </x:c>
      <x:c r="G37" s="68" t="str">
        <x:v>Kinh</x:v>
      </x:c>
      <x:c r="H37" s="68" t="str">
        <x:v>Xa H6ng Dan</x:v>
      </x:c>
      <x:c r="I37" s="68" t="str">
        <x:v>THCS Phu6c Long</x:v>
      </x:c>
      <x:c r="J37" s="68" t="str">
        <x:v>Xa Phudc Long</x:v>
      </x:c>
      <x:c r="K37" s="68" t="str">
        <x:v>36.6</x:v>
      </x:c>
      <x:c r="L37" s="68" t="str">
        <x:v>40</x:v>
      </x:c>
      <x:c r="M37" s="68" t="str"/>
      <x:c r="N37" s="68" t="str">
        <x:v>0.5</x:v>
      </x:c>
      <x:c r="O37" s="68" t="str">
        <x:v>77. 1</x:v>
      </x:c>
      <x:c r="P37" s="68" t="str"/>
    </x:row>
    <x:row r="38">
      <x:c r="A38" s="106" t="n">
        <x:v>2</x:v>
      </x:c>
      <x:c r="B38" s="106" t="str">
        <x:v>37</x:v>
      </x:c>
      <x:c r="C38" s="167" t="str">
        <x:f>"0953 1 1 007955"</x:f>
        <x:v>0953 1 1 007955</x:v>
      </x:c>
      <x:c r="D38" s="68" t="str">
        <x:v>DAO NHA XUY£N</x:v>
      </x:c>
      <x:c r="E38" s="68" t="str">
        <x:v>X</x:v>
      </x:c>
      <x:c r="F38" s="68" t="str">
        <x:v>08/06/201 I</x:v>
      </x:c>
      <x:c r="G38" s="68" t="str">
        <x:v>Kinh</x:v>
      </x:c>
      <x:c r="H38" s="68" t="str">
        <x:v>Xa Phudc Long</x:v>
      </x:c>
      <x:c r="I38" s="68" t="str">
        <x:v>THCS Phudc Long</x:v>
      </x:c>
      <x:c r="J38" s="68" t="str">
        <x:v>Xa Phu6c Long</x:v>
      </x:c>
      <x:c r="K38" s="68" t="str">
        <x:v>37.1</x:v>
      </x:c>
      <x:c r="L38" s="68" t="str">
        <x:v>40</x:v>
      </x:c>
      <x:c r="M38" s="68" t="str"/>
      <x:c r="N38" s="68" t="str"/>
      <x:c r="O38" s="68" t="str">
        <x:v>77. 1</x:v>
      </x:c>
      <x:c r="P38" s="68" t="str"/>
    </x:row>
    <x:row r="39">
      <x:c r="A39" s="106" t="n">
        <x:v>2</x:v>
      </x:c>
      <x:c r="B39" s="106" t="str">
        <x:v>38</x:v>
      </x:c>
      <x:c r="C39" s="167" t="str">
        <x:f>"0953 1 1006404"</x:f>
        <x:v>0953 1 1006404</x:v>
      </x:c>
      <x:c r="D39" s="68" t="str">
        <x:v>LE THI NGAN QUtNH</x:v>
      </x:c>
      <x:c r="E39" s="68" t="str">
        <x:v>X</x:v>
      </x:c>
      <x:c r="F39" s="68" t="str">
        <x:v>19/07/201 1</x:v>
      </x:c>
      <x:c r="G39" s="68" t="str">
        <x:v>Kinh</x:v>
      </x:c>
      <x:c r="H39" s="68" t="str">
        <x:v>Xa Wrnh Thanh</x:v>
      </x:c>
      <x:c r="I39" s="68" t="str">
        <x:v>THCS Hung Phd</x:v>
      </x:c>
      <x:c r="J39" s="68" t="str">
        <x:v>Xa Vinh Thanh</x:v>
      </x:c>
      <x:c r="K39" s="68" t="str">
        <x:v>37.1</x:v>
      </x:c>
      <x:c r="L39" s="68" t="str">
        <x:v>40</x:v>
      </x:c>
      <x:c r="M39" s="68" t="str"/>
      <x:c r="N39" s="68" t="str"/>
      <x:c r="O39" s="68" t="str">
        <x:v>77. 1</x:v>
      </x:c>
      <x:c r="P39" s="68" t="str"/>
    </x:row>
    <x:row r="40">
      <x:c r="A40" s="106" t="n">
        <x:v>2</x:v>
      </x:c>
      <x:c r="B40" s="106" t="str">
        <x:v>39</x:v>
      </x:c>
      <x:c r="C40" s="167" t="str">
        <x:f>"0953 1 1006038"</x:f>
        <x:v>0953 1 1006038</x:v>
      </x:c>
      <x:c r="D40" s="68" t="str">
        <x:v>NGUY£N THI H6NG cAM</x:v>
      </x:c>
      <x:c r="E40" s="68" t="str">
        <x:v>X</x:v>
      </x:c>
      <x:c r="F40" s="68" t="str">
        <x:v>26/06/201 1</x:v>
      </x:c>
      <x:c r="G40" s="68" t="str">
        <x:v>Kinh</x:v>
      </x:c>
      <x:c r="H40" s="68" t="str">
        <x:v>Xa Phu6c Long</x:v>
      </x:c>
      <x:c r="I40" s="68" t="str">
        <x:v>THCS PhMc Long</x:v>
      </x:c>
      <x:c r="J40" s="68" t="str">
        <x:v>Xa Phu6c Long</x:v>
      </x:c>
      <x:c r="K40" s="68" t="str">
        <x:v>36.0</x:v>
      </x:c>
      <x:c r="L40" s="68" t="str">
        <x:v>40</x:v>
      </x:c>
      <x:c r="M40" s="68" t="str"/>
      <x:c r="N40" s="68" t="str">
        <x:v>1.0</x:v>
      </x:c>
      <x:c r="O40" s="68" t="str">
        <x:v>77.0</x:v>
      </x:c>
      <x:c r="P40" s="68" t="str"/>
    </x:row>
    <x:row r="41">
      <x:c r="A41" s="106" t="n">
        <x:v>2</x:v>
      </x:c>
      <x:c r="B41" s="106" t="str">
        <x:v>40</x:v>
      </x:c>
      <x:c r="C41" s="167" t="str">
        <x:f>"095211002080"</x:f>
        <x:v>095211002080</x:v>
      </x:c>
      <x:c r="D41" s="68" t="str">
        <x:v>LA v6 BAO DUY</x:v>
      </x:c>
      <x:c r="E41" s="68" t="str"/>
      <x:c r="F41" s="68" t="str">
        <x:v>04/05/201 1</x:v>
      </x:c>
      <x:c r="G41" s="68" t="str">
        <x:v>Kinh</x:v>
      </x:c>
      <x:c r="H41" s="68" t="str">
        <x:v>Xa Phu6c Long</x:v>
      </x:c>
      <x:c r="I41" s="68" t="str">
        <x:v>THCS Phu6c Long</x:v>
      </x:c>
      <x:c r="J41" s="68" t="str">
        <x:v>Xa Phu6c Long</x:v>
      </x:c>
      <x:c r="K41" s="68" t="str">
        <x:v>37.0</x:v>
      </x:c>
      <x:c r="L41" s="68" t="str">
        <x:v>40</x:v>
      </x:c>
      <x:c r="M41" s="68" t="str"/>
      <x:c r="N41" s="68" t="str"/>
      <x:c r="O41" s="68" t="str">
        <x:v>77.0</x:v>
      </x:c>
      <x:c r="P41" s="68" t="str"/>
    </x:row>
    <x:row r="42">
      <x:c r="A42" s="106" t="n">
        <x:v>2</x:v>
      </x:c>
      <x:c r="B42" s="106" t="str">
        <x:v>41</x:v>
      </x:c>
      <x:c r="C42" s="167" t="str">
        <x:f>"0953 1 1005454"</x:f>
        <x:v>0953 1 1005454</x:v>
      </x:c>
      <x:c r="D42" s="68" t="str">
        <x:v>LV TRac QUYNH</x:v>
      </x:c>
      <x:c r="E42" s="68" t="str">
        <x:v>X</x:v>
      </x:c>
      <x:c r="F42" s="68" t="str">
        <x:v>13/12/201 1</x:v>
      </x:c>
      <x:c r="G42" s="68" t="str">
        <x:v>Kinh</x:v>
      </x:c>
      <x:c r="H42" s="68" t="str">
        <x:v>Xa Phu a Long</x:v>
      </x:c>
      <x:c r="I42" s="68" t="str">
        <x:v>THCS Phu6c Long</x:v>
      </x:c>
      <x:c r="J42" s="68" t="str">
        <x:v>Xa Phu6c Long</x:v>
      </x:c>
      <x:c r="K42" s="68" t="str">
        <x:v>37.0</x:v>
      </x:c>
      <x:c r="L42" s="68" t="str">
        <x:v>40</x:v>
      </x:c>
      <x:c r="M42" s="68" t="str"/>
      <x:c r="N42" s="68" t="str"/>
      <x:c r="O42" s="68" t="str">
        <x:v>77.0</x:v>
      </x:c>
      <x:c r="P42" s="68" t="str"/>
    </x:row>
    <x:row r="43">
      <x:c r="A43" s="106" t="n">
        <x:v>2</x:v>
      </x:c>
      <x:c r="B43" s="106" t="str">
        <x:v>42</x:v>
      </x:c>
      <x:c r="C43" s="167" t="str">
        <x:f>"092211005722"</x:f>
        <x:v>092211005722</x:v>
      </x:c>
      <x:c r="D43" s="68" t="str">
        <x:v>HA MANH TRi</x:v>
      </x:c>
      <x:c r="E43" s="68" t="str"/>
      <x:c r="F43" s="68" t="str">
        <x:v>01/09/20 1 1</x:v>
      </x:c>
      <x:c r="G43" s="68" t="str">
        <x:v>Kinh</x:v>
      </x:c>
      <x:c r="H43" s="68" t="str">
        <x:v>Xa Vinh Thanh</x:v>
      </x:c>
      <x:c r="I43" s="68" t="str">
        <x:v>THCS Vinh Pha Tay</x:v>
      </x:c>
      <x:c r="J43" s="68" t="str">
        <x:v>Xa VTnh Phu6c</x:v>
      </x:c>
      <x:c r="K43" s="68" t="str">
        <x:v>37.0</x:v>
      </x:c>
      <x:c r="L43" s="68" t="str">
        <x:v>40</x:v>
      </x:c>
      <x:c r="M43" s="68" t="str"/>
      <x:c r="N43" s="68" t="str"/>
      <x:c r="O43" s="68" t="str">
        <x:v>77.0</x:v>
      </x:c>
      <x:c r="P43" s="68" t="str"/>
    </x:row>
    <x:row r="44">
      <x:c r="A44" s="106" t="n">
        <x:v>2</x:v>
      </x:c>
      <x:c r="B44" s="106" t="str">
        <x:v>43</x:v>
      </x:c>
      <x:c r="C44" s="167" t="str">
        <x:f>"0933 1 1000744"</x:f>
        <x:v>0933 1 1000744</x:v>
      </x:c>
      <x:c r="D44" s="68" t="str">
        <x:v>DO AN NGQC THCrY QUY£N</x:v>
      </x:c>
      <x:c r="E44" s="68" t="str">
        <x:v>X</x:v>
      </x:c>
      <x:c r="F44" s="68" t="str">
        <x:v>24/01/201 1</x:v>
      </x:c>
      <x:c r="G44" s="68" t="str">
        <x:v>Kinh</x:v>
      </x:c>
      <x:c r="H44" s="68" t="str">
        <x:v>Xa Vinh Thanh</x:v>
      </x:c>
      <x:c r="I44" s="68" t="str">
        <x:v>THCS Hung Pha</x:v>
      </x:c>
      <x:c r="J44" s="68" t="str">
        <x:v>Xa Vinh Thanh</x:v>
      </x:c>
      <x:c r="K44" s="68" t="str">
        <x:v>37.0</x:v>
      </x:c>
      <x:c r="L44" s="68" t="str">
        <x:v>40</x:v>
      </x:c>
      <x:c r="M44" s="68" t="str"/>
      <x:c r="N44" s="68" t="str"/>
      <x:c r="O44" s="68" t="str">
        <x:v>77.0</x:v>
      </x:c>
      <x:c r="P44" s="68" t="str"/>
    </x:row>
    <x:row r="45">
      <x:c r="A45" s="106" t="n">
        <x:v>2</x:v>
      </x:c>
      <x:c r="B45" s="106" t="str">
        <x:v>44</x:v>
      </x:c>
      <x:c r="C45" s="167" t="str">
        <x:f>"095211008203"</x:f>
        <x:v>095211008203</x:v>
      </x:c>
      <x:c r="D45" s="68" t="str">
        <x:v>LAM GLA HAO</x:v>
      </x:c>
      <x:c r="E45" s="68" t="str"/>
      <x:c r="F45" s="68" t="str">
        <x:v>15/03/201 1</x:v>
      </x:c>
      <x:c r="G45" s="68" t="str">
        <x:v>Kinh</x:v>
      </x:c>
      <x:c r="H45" s="68" t="str">
        <x:v>Xa Phudc Long</x:v>
      </x:c>
      <x:c r="I45" s="68" t="str">
        <x:v>THCS Phu6c Long</x:v>
      </x:c>
      <x:c r="J45" s="68" t="str">
        <x:v>Xa Phu6c Long</x:v>
      </x:c>
      <x:c r="K45" s="68" t="str">
        <x:v>36.9</x:v>
      </x:c>
      <x:c r="L45" s="68" t="str">
        <x:v>40</x:v>
      </x:c>
      <x:c r="M45" s="68" t="str"/>
      <x:c r="N45" s="68" t="str"/>
      <x:c r="O45" s="68" t="str">
        <x:v>76.9</x:v>
      </x:c>
      <x:c r="P45" s="68" t="str"/>
    </x:row>
    <x:row r="46">
      <x:c r="A46" s="106" t="n">
        <x:v>2</x:v>
      </x:c>
      <x:c r="B46" s="106" t="str">
        <x:v>45</x:v>
      </x:c>
      <x:c r="C46" s="167" t="str">
        <x:f>"095311010914"</x:f>
        <x:v>095311010914</x:v>
      </x:c>
      <x:c r="D46" s="68" t="str">
        <x:v>NGUYEN THI HANG NGA</x:v>
      </x:c>
      <x:c r="E46" s="68" t="str">
        <x:v>X</x:v>
      </x:c>
      <x:c r="F46" s="68" t="str">
        <x:v>22/03/201 1</x:v>
      </x:c>
      <x:c r="G46" s="68" t="str">
        <x:v>Kinh</x:v>
      </x:c>
      <x:c r="H46" s="68" t="str">
        <x:v>Xa Vinh Thanh</x:v>
      </x:c>
      <x:c r="I46" s="68" t="str">
        <x:v>THCS Hung Phi</x:v>
      </x:c>
      <x:c r="J46" s="68" t="str">
        <x:v>Xa Vinh Thanh</x:v>
      </x:c>
      <x:c r="K46" s="68" t="str">
        <x:v>36.9</x:v>
      </x:c>
      <x:c r="L46" s="68" t="str">
        <x:v>40</x:v>
      </x:c>
      <x:c r="M46" s="68" t="str"/>
      <x:c r="N46" s="68" t="str"/>
      <x:c r="O46" s="68" t="str">
        <x:v>76.9</x:v>
      </x:c>
      <x:c r="P46" s="68" t="str"/>
    </x:row>
    <x:row r="47">
      <x:c r="A47" s="106" t="n">
        <x:v>2</x:v>
      </x:c>
      <x:c r="B47" s="106" t="str">
        <x:v>46</x:v>
      </x:c>
      <x:c r="C47" s="167" t="str">
        <x:f>"0953 1 1003384"</x:f>
        <x:v>0953 1 1003384</x:v>
      </x:c>
      <x:c r="D47" s="68" t="str">
        <x:v>NGUYeN THI BiNH YEN</x:v>
      </x:c>
      <x:c r="E47" s="68" t="str">
        <x:v>X</x:v>
      </x:c>
      <x:c r="F47" s="68" t="str">
        <x:v>14/12/201 1</x:v>
      </x:c>
      <x:c r="G47" s="68" t="str">
        <x:v>Kinh</x:v>
      </x:c>
      <x:c r="H47" s="68" t="str">
        <x:v>Xa Phu6c Long</x:v>
      </x:c>
      <x:c r="I47" s="68" t="str">
        <x:v>THCS Phudc Long</x:v>
      </x:c>
      <x:c r="J47" s="68" t="str">
        <x:v>Xa Phudc Long</x:v>
      </x:c>
      <x:c r="K47" s="68" t="str">
        <x:v>36.8</x:v>
      </x:c>
      <x:c r="L47" s="68" t="str">
        <x:v>40</x:v>
      </x:c>
      <x:c r="M47" s="68" t="str"/>
      <x:c r="N47" s="68" t="str"/>
      <x:c r="O47" s="68" t="str">
        <x:v>76.8</x:v>
      </x:c>
      <x:c r="P47" s="68" t="str"/>
    </x:row>
    <x:row r="48">
      <x:c r="A48" s="106" t="n">
        <x:v>2</x:v>
      </x:c>
      <x:c r="B48" s="106" t="str">
        <x:v>47</x:v>
      </x:c>
      <x:c r="C48" s="167" t="str">
        <x:f>"0953 11002384"</x:f>
        <x:v>0953 11002384</x:v>
      </x:c>
      <x:c r="D48" s="68" t="str">
        <x:v>TRAN MINH ANH</x:v>
      </x:c>
      <x:c r="E48" s="68" t="str">
        <x:v>X</x:v>
      </x:c>
      <x:c r="F48" s="68" t="str">
        <x:v>12/01/201 1</x:v>
      </x:c>
      <x:c r="G48" s="68" t="str">
        <x:v>Kinh</x:v>
      </x:c>
      <x:c r="H48" s="68" t="str">
        <x:v>Xa Phudc Long</x:v>
      </x:c>
      <x:c r="I48" s="68" t="str">
        <x:v>THCS Phu6c Long</x:v>
      </x:c>
      <x:c r="J48" s="68" t="str">
        <x:v>Xa Phu6c Long</x:v>
      </x:c>
      <x:c r="K48" s="68" t="str">
        <x:v>36.8</x:v>
      </x:c>
      <x:c r="L48" s="68" t="str">
        <x:v>40</x:v>
      </x:c>
      <x:c r="M48" s="68" t="str"/>
      <x:c r="N48" s="68" t="str"/>
      <x:c r="O48" s="68" t="str">
        <x:v>76.8</x:v>
      </x:c>
      <x:c r="P48" s="68" t="str"/>
    </x:row>
    <x:row r="49">
      <x:c r="A49" s="106" t="n">
        <x:v>2</x:v>
      </x:c>
      <x:c r="B49" s="106" t="str">
        <x:v>48</x:v>
      </x:c>
      <x:c r="C49" s="167" t="str">
        <x:f>"0953 1 1 003543"</x:f>
        <x:v>0953 1 1 003543</x:v>
      </x:c>
      <x:c r="D49" s="68" t="str">
        <x:v>L£ QUtNH ANH</x:v>
      </x:c>
      <x:c r="E49" s="68" t="str">
        <x:v>X</x:v>
      </x:c>
      <x:c r="F49" s="68" t="str">
        <x:v>25/04/201 1</x:v>
      </x:c>
      <x:c r="G49" s="68" t="str">
        <x:v>Kinh</x:v>
      </x:c>
      <x:c r="H49" s="68" t="str">
        <x:v>Xa Wnh Phu6c</x:v>
      </x:c>
      <x:c r="I49" s="68" t="str">
        <x:v>THCS Vinh Pha Tay</x:v>
      </x:c>
      <x:c r="J49" s="68" t="str">
        <x:v>Xa VTnh phu6c</x:v>
      </x:c>
      <x:c r="K49" s="68" t="str">
        <x:v>36.8</x:v>
      </x:c>
      <x:c r="L49" s="68" t="str">
        <x:v>40</x:v>
      </x:c>
      <x:c r="M49" s="68" t="str"/>
      <x:c r="N49" s="68" t="str"/>
      <x:c r="O49" s="68" t="str">
        <x:v>76.8</x:v>
      </x:c>
      <x:c r="P49" s="68" t="str"/>
    </x:row>
    <x:row r="50">
      <x:c r="A50" s="106" t="n">
        <x:v>2</x:v>
      </x:c>
      <x:c r="B50" s="106" t="str">
        <x:v>49</x:v>
      </x:c>
      <x:c r="C50" s="167" t="str">
        <x:f>"09531 1007000"</x:f>
        <x:v>09531 1007000</x:v>
      </x:c>
      <x:c r="D50" s="68" t="str">
        <x:v>NGUYEN NGQC TUY£N</x:v>
      </x:c>
      <x:c r="E50" s="68" t="str">
        <x:v>X</x:v>
      </x:c>
      <x:c r="F50" s="68" t="str">
        <x:v>18/10/201 1</x:v>
      </x:c>
      <x:c r="G50" s="68" t="str">
        <x:v>Kinh</x:v>
      </x:c>
      <x:c r="H50" s="68" t="str">
        <x:v>Xa VTnh Phudc</x:v>
      </x:c>
      <x:c r="I50" s="68" t="str">
        <x:v>THCS Phudc Long</x:v>
      </x:c>
      <x:c r="J50" s="68" t="str">
        <x:v>Xa Phu6c Long</x:v>
      </x:c>
      <x:c r="K50" s="68" t="str">
        <x:v>36.7</x:v>
      </x:c>
      <x:c r="L50" s="68" t="str">
        <x:v>40</x:v>
      </x:c>
      <x:c r="M50" s="68" t="str"/>
      <x:c r="N50" s="68" t="str"/>
      <x:c r="O50" s="68" t="str">
        <x:v>76.7</x:v>
      </x:c>
      <x:c r="P50" s="68" t="str"/>
    </x:row>
    <x:row r="51">
      <x:c r="A51" s="106" t="n">
        <x:v>2</x:v>
      </x:c>
      <x:c r="B51" s="106" t="str">
        <x:v>50</x:v>
      </x:c>
      <x:c r="C51" s="167" t="str">
        <x:f>"095211010013"</x:f>
        <x:v>095211010013</x:v>
      </x:c>
      <x:c r="D51" s="68" t="str">
        <x:v>HUVNH TRUdNG vi</x:v>
      </x:c>
      <x:c r="E51" s="68" t="str"/>
      <x:c r="F51" s="68" t="str">
        <x:v>04/12/20 1 1</x:v>
      </x:c>
      <x:c r="G51" s="68" t="str">
        <x:v>Kinh</x:v>
      </x:c>
      <x:c r="H51" s="68" t="str">
        <x:v>Xa Phu6c Long</x:v>
      </x:c>
      <x:c r="I51" s="68" t="str">
        <x:v>THCS Phudc Long</x:v>
      </x:c>
      <x:c r="J51" s="68" t="str">
        <x:v>Xa Phudc Long</x:v>
      </x:c>
      <x:c r="K51" s="68" t="str">
        <x:v>36.7</x:v>
      </x:c>
      <x:c r="L51" s="68" t="str">
        <x:v>40</x:v>
      </x:c>
      <x:c r="M51" s="68" t="str"/>
      <x:c r="N51" s="68" t="str"/>
      <x:c r="O51" s="68" t="str">
        <x:v>76.7</x:v>
      </x:c>
      <x:c r="P51" s="68" t="str"/>
    </x:row>
    <x:row r="52">
      <x:c r="A52" s="106" t="n">
        <x:v>2</x:v>
      </x:c>
      <x:c r="B52" s="106" t="str">
        <x:v>51</x:v>
      </x:c>
      <x:c r="C52" s="167" t="str">
        <x:f>"09521 1003 191"</x:f>
        <x:v>09521 1003 191</x:v>
      </x:c>
      <x:c r="D52" s="68" t="str">
        <x:v>HUtNH DUY KHIEM</x:v>
      </x:c>
      <x:c r="E52" s="68" t="str"/>
      <x:c r="F52" s="68" t="str">
        <x:v>24/1 1/201 1</x:v>
      </x:c>
      <x:c r="G52" s="68" t="str">
        <x:v>Kinh</x:v>
      </x:c>
      <x:c r="H52" s="68" t="str">
        <x:v>Xa Vinh Phu6c</x:v>
      </x:c>
      <x:c r="I52" s="68" t="str">
        <x:v>THCS Wlnh Thanh</x:v>
      </x:c>
      <x:c r="J52" s="68" t="str">
        <x:v>Xa Wrnh Thanh</x:v>
      </x:c>
      <x:c r="K52" s="68" t="str">
        <x:v>35.7</x:v>
      </x:c>
      <x:c r="L52" s="68" t="str">
        <x:v>40</x:v>
      </x:c>
      <x:c r="M52" s="68" t="str">
        <x:v>1.0</x:v>
      </x:c>
      <x:c r="N52" s="68" t="str"/>
      <x:c r="O52" s="68" t="str">
        <x:v>76.7</x:v>
      </x:c>
      <x:c r="P52" s="68" t="str"/>
    </x:row>
    <x:row r="53">
      <x:c r="A53" s="106" t="n">
        <x:v>2</x:v>
      </x:c>
      <x:c r="B53" s="106" t="str">
        <x:v>52</x:v>
      </x:c>
      <x:c r="C53" s="167" t="str">
        <x:f>"0953 1 1001498"</x:f>
        <x:v>0953 1 1001498</x:v>
      </x:c>
      <x:c r="D53" s="68" t="str">
        <x:v>TRANG KIM NGAN</x:v>
      </x:c>
      <x:c r="E53" s="68" t="str">
        <x:v>X</x:v>
      </x:c>
      <x:c r="F53" s="68" t="str">
        <x:v>26/10/201 1</x:v>
      </x:c>
      <x:c r="G53" s="68" t="str">
        <x:v>Kinh</x:v>
      </x:c>
      <x:c r="H53" s="68" t="str">
        <x:v>Xa Vinh Thanh</x:v>
      </x:c>
      <x:c r="I53" s="68" t="str">
        <x:v>THCS PhMc Long</x:v>
      </x:c>
      <x:c r="J53" s="68" t="str">
        <x:v>Xa Phudc Long</x:v>
      </x:c>
      <x:c r="K53" s="68" t="str">
        <x:v>36.2</x:v>
      </x:c>
      <x:c r="L53" s="68" t="str">
        <x:v>40</x:v>
      </x:c>
      <x:c r="M53" s="68" t="str"/>
      <x:c r="N53" s="68" t="str">
        <x:v>0.5</x:v>
      </x:c>
      <x:c r="O53" s="68" t="str">
        <x:v>76.7</x:v>
      </x:c>
      <x:c r="P53" s="68" t="str"/>
    </x:row>
    <x:row r="54">
      <x:c r="A54" s="106" t="n">
        <x:v>2</x:v>
      </x:c>
      <x:c r="B54" s="106" t="str">
        <x:v>53</x:v>
      </x:c>
      <x:c r="C54" s="167" t="str">
        <x:f>"09521 1007865"</x:f>
        <x:v>09521 1007865</x:v>
      </x:c>
      <x:c r="D54" s="68" t="str">
        <x:v>NGUYeN LE HOANG TUAN</x:v>
      </x:c>
      <x:c r="E54" s="68" t="str"/>
      <x:c r="F54" s="68" t="str">
        <x:v>10/03/201 I</x:v>
      </x:c>
      <x:c r="G54" s="68" t="str">
        <x:v>Kinh</x:v>
      </x:c>
      <x:c r="H54" s="68" t="str">
        <x:v>Xa Phudc Long</x:v>
      </x:c>
      <x:c r="I54" s="68" t="str">
        <x:v>THCS Phudc Long</x:v>
      </x:c>
      <x:c r="J54" s="68" t="str">
        <x:v>Xa Phu6c Long</x:v>
      </x:c>
      <x:c r="K54" s="68" t="str">
        <x:v>36.6</x:v>
      </x:c>
      <x:c r="L54" s="68" t="str">
        <x:v>40</x:v>
      </x:c>
      <x:c r="M54" s="68" t="str"/>
      <x:c r="N54" s="68" t="str"/>
      <x:c r="O54" s="68" t="str">
        <x:v>76.6</x:v>
      </x:c>
      <x:c r="P54" s="68" t="str"/>
    </x:row>
    <x:row r="55">
      <x:c r="A55" s="106" t="n">
        <x:v>2</x:v>
      </x:c>
      <x:c r="B55" s="106" t="str">
        <x:v>54</x:v>
      </x:c>
      <x:c r="C55" s="167" t="str">
        <x:f>"09531 1008450"</x:f>
        <x:v>09531 1008450</x:v>
      </x:c>
      <x:c r="D55" s="68" t="str">
        <x:v>NGUY£N BiCH TUYEN</x:v>
      </x:c>
      <x:c r="E55" s="68" t="str">
        <x:v>X</x:v>
      </x:c>
      <x:c r="F55" s="68" t="str">
        <x:v>11/08/201 1</x:v>
      </x:c>
      <x:c r="G55" s="68" t="str">
        <x:v>Kinh</x:v>
      </x:c>
      <x:c r="H55" s="68" t="str">
        <x:v>Xa Ninh Thenh Lqi</x:v>
      </x:c>
      <x:c r="I55" s="68" t="str">
        <x:v>THCS Phu6c Long</x:v>
      </x:c>
      <x:c r="J55" s="68" t="str">
        <x:v>Xa Vinh Phudc</x:v>
      </x:c>
      <x:c r="K55" s="68" t="str">
        <x:v>35.6</x:v>
      </x:c>
      <x:c r="L55" s="68" t="str">
        <x:v>40</x:v>
      </x:c>
      <x:c r="M55" s="68" t="str">
        <x:v>1.0</x:v>
      </x:c>
      <x:c r="N55" s="68" t="str"/>
      <x:c r="O55" s="68" t="str">
        <x:v>76.6</x:v>
      </x:c>
      <x:c r="P55" s="68" t="str"/>
    </x:row>
    <x:row r="56">
      <x:c r="A56" s="106" t="n">
        <x:v>2</x:v>
      </x:c>
      <x:c r="B56" s="106" t="str">
        <x:v>55</x:v>
      </x:c>
      <x:c r="C56" s="167" t="str">
        <x:f>"0953 1 1006126"</x:f>
        <x:v>0953 1 1006126</x:v>
      </x:c>
      <x:c r="D56" s="68" t="str">
        <x:v>QUACH HA THAO VY</x:v>
      </x:c>
      <x:c r="E56" s="68" t="str">
        <x:v>X</x:v>
      </x:c>
      <x:c r="F56" s="68" t="str">
        <x:v>26/05/201 1</x:v>
      </x:c>
      <x:c r="G56" s="68" t="str">
        <x:v>Kinh</x:v>
      </x:c>
      <x:c r="H56" s="68" t="str">
        <x:v>Xi Vrnh Phudc</x:v>
      </x:c>
      <x:c r="I56" s="68" t="str">
        <x:v>THCS Wnh Pha Tay</x:v>
      </x:c>
      <x:c r="J56" s="68" t="str">
        <x:v>Xa VTnh Phu6c</x:v>
      </x:c>
      <x:c r="K56" s="68" t="str">
        <x:v>36.5</x:v>
      </x:c>
      <x:c r="L56" s="68" t="str">
        <x:v>40</x:v>
      </x:c>
      <x:c r="M56" s="68" t="str"/>
      <x:c r="N56" s="68" t="str"/>
      <x:c r="O56" s="68" t="str">
        <x:v>76.5</x:v>
      </x:c>
      <x:c r="P56" s="68" t="str"/>
    </x:row>
    <x:row r="57">
      <x:c r="A57" s="106" t="n">
        <x:v>2</x:v>
      </x:c>
      <x:c r="B57" s="106" t="str">
        <x:v>56</x:v>
      </x:c>
      <x:c r="C57" s="167" t="str">
        <x:f>"0953 1 1008948"</x:f>
        <x:v>0953 1 1008948</x:v>
      </x:c>
      <x:c r="D57" s="68" t="str">
        <x:v>LAM KIEU MY</x:v>
      </x:c>
      <x:c r="E57" s="68" t="str">
        <x:v>X</x:v>
      </x:c>
      <x:c r="F57" s="68" t="str">
        <x:v>17/06/201 1</x:v>
      </x:c>
      <x:c r="G57" s="68" t="str">
        <x:v>Kinh</x:v>
      </x:c>
      <x:c r="H57" s="68" t="str">
        <x:v>Xa Wnh Thanh</x:v>
      </x:c>
      <x:c r="I57" s="68" t="str">
        <x:v>THCS Phu6c Long</x:v>
      </x:c>
      <x:c r="J57" s="68" t="str">
        <x:v>Xa Phu a Long</x:v>
      </x:c>
      <x:c r="K57" s="68" t="str">
        <x:v>36.4</x:v>
      </x:c>
      <x:c r="L57" s="68" t="str">
        <x:v>40</x:v>
      </x:c>
      <x:c r="M57" s="68" t="str"/>
      <x:c r="N57" s="68" t="str"/>
      <x:c r="O57" s="68" t="str">
        <x:v>76.4</x:v>
      </x:c>
      <x:c r="P57" s="68" t="str"/>
    </x:row>
    <x:row r="58">
      <x:c r="A58" s="106" t="n">
        <x:v>2</x:v>
      </x:c>
      <x:c r="B58" s="106" t="str">
        <x:v>57</x:v>
      </x:c>
      <x:c r="C58" s="167" t="str">
        <x:f>"095211005 101"</x:f>
        <x:v>095211005 101</x:v>
      </x:c>
      <x:c r="D58" s="68" t="str">
        <x:v>va saN MINH DINH</x:v>
      </x:c>
      <x:c r="E58" s="68" t="str"/>
      <x:c r="F58" s="68" t="str">
        <x:v>11/06/201 1</x:v>
      </x:c>
      <x:c r="G58" s="68" t="str">
        <x:v>Khmer</x:v>
      </x:c>
      <x:c r="H58" s="68" t="str">
        <x:v>Xa Phudc Long</x:v>
      </x:c>
      <x:c r="I58" s="68" t="str">
        <x:v>THCS Phudc Long</x:v>
      </x:c>
      <x:c r="J58" s="68" t="str">
        <x:v>Xa Phu6c Long</x:v>
      </x:c>
      <x:c r="K58" s="68" t="str">
        <x:v>35.4</x:v>
      </x:c>
      <x:c r="L58" s="68" t="str">
        <x:v>40</x:v>
      </x:c>
      <x:c r="M58" s="68" t="str">
        <x:v>1.0</x:v>
      </x:c>
      <x:c r="N58" s="68" t="str"/>
      <x:c r="O58" s="68" t="str">
        <x:v>76.4</x:v>
      </x:c>
      <x:c r="P58" s="68" t="str"/>
    </x:row>
    <x:row r="59">
      <x:c r="A59" s="106" t="n">
        <x:v>2</x:v>
      </x:c>
      <x:c r="B59" s="106" t="str">
        <x:v>58</x:v>
      </x:c>
      <x:c r="C59" s="167" t="str">
        <x:f>"0953 1 1007959"</x:f>
        <x:v>0953 1 1007959</x:v>
      </x:c>
      <x:c r="D59" s="68" t="str">
        <x:v>NGUY£N TRAN AI VY</x:v>
      </x:c>
      <x:c r="E59" s="68" t="str">
        <x:v>X</x:v>
      </x:c>
      <x:c r="F59" s="68" t="str">
        <x:v>17/01/201 I</x:v>
      </x:c>
      <x:c r="G59" s="68" t="str">
        <x:v>Kinh</x:v>
      </x:c>
      <x:c r="H59" s="68" t="str">
        <x:v>Xa Vinh Thanh</x:v>
      </x:c>
      <x:c r="I59" s="68" t="str">
        <x:v>THCS Hung Phd</x:v>
      </x:c>
      <x:c r="J59" s="68" t="str">
        <x:v>Xa Vmh Thanh</x:v>
      </x:c>
      <x:c r="K59" s="68" t="str">
        <x:v>36.4</x:v>
      </x:c>
      <x:c r="L59" s="68" t="str">
        <x:v>40</x:v>
      </x:c>
      <x:c r="M59" s="68" t="str"/>
      <x:c r="N59" s="68" t="str"/>
      <x:c r="O59" s="68" t="str">
        <x:v>76.4</x:v>
      </x:c>
      <x:c r="P59" s="68" t="str"/>
    </x:row>
    <x:row r="60">
      <x:c r="A60" s="106" t="n">
        <x:v>2</x:v>
      </x:c>
      <x:c r="B60" s="106" t="str">
        <x:v>59</x:v>
      </x:c>
      <x:c r="C60" s="167" t="str">
        <x:f>"09531 1003563"</x:f>
        <x:v>09531 1003563</x:v>
      </x:c>
      <x:c r="D60" s="68" t="str">
        <x:v>DANH TUI PHtJONG NGUY£T</x:v>
      </x:c>
      <x:c r="E60" s="68" t="str">
        <x:v>X</x:v>
      </x:c>
      <x:c r="F60" s="68" t="str">
        <x:v>29/05/20 1 1</x:v>
      </x:c>
      <x:c r="G60" s="68" t="str">
        <x:v>Khmer</x:v>
      </x:c>
      <x:c r="H60" s="68" t="str">
        <x:v>Xa Vmh Phudc</x:v>
      </x:c>
      <x:c r="I60" s="68" t="str">
        <x:v>THCS Phu6c Long</x:v>
      </x:c>
      <x:c r="J60" s="68" t="str">
        <x:v>Xa Vinh Phu6c</x:v>
      </x:c>
      <x:c r="K60" s="68" t="str">
        <x:v>35.4</x:v>
      </x:c>
      <x:c r="L60" s="68" t="str">
        <x:v>40</x:v>
      </x:c>
      <x:c r="M60" s="68" t="str">
        <x:v>1.0</x:v>
      </x:c>
      <x:c r="N60" s="68" t="str"/>
      <x:c r="O60" s="68" t="str">
        <x:v>76.4</x:v>
      </x:c>
      <x:c r="P60" s="68" t="str"/>
    </x:row>
    <x:row r="61">
      <x:c r="A61" s="106" t="n">
        <x:v>2</x:v>
      </x:c>
      <x:c r="B61" s="106" t="str">
        <x:v>60</x:v>
      </x:c>
      <x:c r="C61" s="167" t="str">
        <x:f>"09521 1003403"</x:f>
        <x:v>09521 1003403</x:v>
      </x:c>
      <x:c r="D61" s="68" t="str">
        <x:v>TRAN Lt NGUYEN</x:v>
      </x:c>
      <x:c r="E61" s="68" t="str"/>
      <x:c r="F61" s="68" t="str">
        <x:v>09/03/201 1</x:v>
      </x:c>
      <x:c r="G61" s="68" t="str">
        <x:v>Kinh</x:v>
      </x:c>
      <x:c r="H61" s="68" t="str">
        <x:v>Xa Phu6c Long</x:v>
      </x:c>
      <x:c r="I61" s="68" t="str">
        <x:v>THCS Phu6c Long</x:v>
      </x:c>
      <x:c r="J61" s="68" t="str">
        <x:v>Xa Phu6c Long</x:v>
      </x:c>
      <x:c r="K61" s="68" t="str">
        <x:v>36.3</x:v>
      </x:c>
      <x:c r="L61" s="68" t="str">
        <x:v>40</x:v>
      </x:c>
      <x:c r="M61" s="68" t="str"/>
      <x:c r="N61" s="68" t="str"/>
      <x:c r="O61" s="68" t="str">
        <x:v>76.3</x:v>
      </x:c>
      <x:c r="P61" s="68" t="str"/>
    </x:row>
    <x:row r="62">
      <x:c r="A62" s="106" t="n">
        <x:v>2</x:v>
      </x:c>
      <x:c r="B62" s="106" t="str">
        <x:v>61</x:v>
      </x:c>
      <x:c r="C62" s="167" t="str">
        <x:f>"09531 1005425"</x:f>
        <x:v>09531 1005425</x:v>
      </x:c>
      <x:c r="D62" s="68" t="str">
        <x:v>Li cAT TUdNG</x:v>
      </x:c>
      <x:c r="E62" s="68" t="str">
        <x:v>X</x:v>
      </x:c>
      <x:c r="F62" s="68" t="str">
        <x:v>30/04/201 1</x:v>
      </x:c>
      <x:c r="G62" s="68" t="str">
        <x:v>Kinh</x:v>
      </x:c>
      <x:c r="H62" s="68" t="str">
        <x:v>Xa Wnh phudc</x:v>
      </x:c>
      <x:c r="I62" s="68" t="str">
        <x:v>THCS Phudc Long</x:v>
      </x:c>
      <x:c r="J62" s="68" t="str">
        <x:v>Xa Phu6c Long</x:v>
      </x:c>
      <x:c r="K62" s="68" t="str">
        <x:v>36.3</x:v>
      </x:c>
      <x:c r="L62" s="68" t="str">
        <x:v>40</x:v>
      </x:c>
      <x:c r="M62" s="68" t="str"/>
      <x:c r="N62" s="68" t="str"/>
      <x:c r="O62" s="68" t="str">
        <x:v>76.3</x:v>
      </x:c>
      <x:c r="P62" s="68" t="str"/>
    </x:row>
    <x:row r="63">
      <x:c r="A63" s="106" t="n">
        <x:v>2</x:v>
      </x:c>
      <x:c r="B63" s="106" t="str">
        <x:v>62</x:v>
      </x:c>
      <x:c r="C63" s="167" t="str">
        <x:f>"0953 1 1006960"</x:f>
        <x:v>0953 1 1006960</x:v>
      </x:c>
      <x:c r="D63" s="68" t="str">
        <x:v>NGUY£N DINH KHA MY</x:v>
      </x:c>
      <x:c r="E63" s="68" t="str">
        <x:v>X</x:v>
      </x:c>
      <x:c r="F63" s="68" t="str">
        <x:v>30/1 1/201 1</x:v>
      </x:c>
      <x:c r="G63" s="68" t="str">
        <x:v>Kinh</x:v>
      </x:c>
      <x:c r="H63" s="68" t="str">
        <x:v>Xa Phu6c Long</x:v>
      </x:c>
      <x:c r="I63" s="68" t="str">
        <x:v>THCS Phu6c Long</x:v>
      </x:c>
      <x:c r="J63" s="68" t="str">
        <x:v>Xa Phu6c Long</x:v>
      </x:c>
      <x:c r="K63" s="68" t="str">
        <x:v>36.3</x:v>
      </x:c>
      <x:c r="L63" s="68" t="str">
        <x:v>40</x:v>
      </x:c>
      <x:c r="M63" s="68" t="str"/>
      <x:c r="N63" s="68" t="str"/>
      <x:c r="O63" s="68" t="str">
        <x:v>76.3</x:v>
      </x:c>
      <x:c r="P63" s="68" t="str"/>
    </x:row>
    <x:row r="64">
      <x:c r="A64" s="106" t="n">
        <x:v>3</x:v>
      </x:c>
      <x:c r="B64" s="106" t="str">
        <x:v>63</x:v>
      </x:c>
      <x:c r="C64" s="167" t="str">
        <x:f>"095211000347"</x:f>
        <x:v>095211000347</x:v>
      </x:c>
      <x:c r="D64" s="68" t="str">
        <x:v>NGUYEN THi BAO</x:v>
      </x:c>
      <x:c r="E64" s="68" t="str"/>
      <x:c r="F64" s="68" t="str">
        <x:v>04/08/2011</x:v>
      </x:c>
      <x:c r="G64" s="68" t="str">
        <x:v>Kinh</x:v>
      </x:c>
      <x:c r="H64" s="68" t="str">
        <x:v>Xa Phu6c Long</x:v>
      </x:c>
      <x:c r="I64" s="68" t="str">
        <x:v>THCS Phudc Long</x:v>
      </x:c>
      <x:c r="J64" s="68" t="str">
        <x:v>Xa PhMc Long</x:v>
      </x:c>
      <x:c r="K64" s="68" t="str">
        <x:v>36.3</x:v>
      </x:c>
      <x:c r="L64" s="68" t="str">
        <x:v>40</x:v>
      </x:c>
      <x:c r="M64" s="68" t="str"/>
      <x:c r="N64" s="68" t="str"/>
      <x:c r="O64" s="68" t="str">
        <x:v>76.3</x:v>
      </x:c>
      <x:c r="P64" s="68" t="str"/>
    </x:row>
    <x:row r="65">
      <x:c r="A65" s="106" t="n">
        <x:v>3</x:v>
      </x:c>
      <x:c r="B65" s="106" t="str">
        <x:v>64</x:v>
      </x:c>
      <x:c r="C65" s="167" t="str">
        <x:f>"09531 1007897"</x:f>
        <x:v>09531 1007897</x:v>
      </x:c>
      <x:c r="D65" s="68" t="str">
        <x:v>DANG THAO VY</x:v>
      </x:c>
      <x:c r="E65" s="68" t="str">
        <x:v>X</x:v>
      </x:c>
      <x:c r="F65" s="68" t="str">
        <x:v>13/08/201 1</x:v>
      </x:c>
      <x:c r="G65" s="68" t="str">
        <x:v>Kinh</x:v>
      </x:c>
      <x:c r="H65" s="68" t="str">
        <x:v>Xa Vinh Phu6c</x:v>
      </x:c>
      <x:c r="I65" s="68" t="str">
        <x:v>THCS Wnh Pha Tay</x:v>
      </x:c>
      <x:c r="J65" s="68" t="str">
        <x:v>Xa VTnh Phu6c</x:v>
      </x:c>
      <x:c r="K65" s="68" t="str">
        <x:v>35.3</x:v>
      </x:c>
      <x:c r="L65" s="68" t="str">
        <x:v>40</x:v>
      </x:c>
      <x:c r="M65" s="68" t="str">
        <x:v>1.0</x:v>
      </x:c>
      <x:c r="N65" s="68" t="str"/>
      <x:c r="O65" s="68" t="str">
        <x:v>76.3</x:v>
      </x:c>
      <x:c r="P65" s="68" t="str"/>
    </x:row>
    <x:row r="66">
      <x:c r="A66" s="106" t="n">
        <x:v>3</x:v>
      </x:c>
      <x:c r="B66" s="106" t="str">
        <x:v>65</x:v>
      </x:c>
      <x:c r="C66" s="167" t="str">
        <x:f>"09531 1005684"</x:f>
        <x:v>09531 1005684</x:v>
      </x:c>
      <x:c r="D66" s="68" t="str">
        <x:v>TRANNHU V</x:v>
      </x:c>
      <x:c r="E66" s="68" t="str">
        <x:v>X</x:v>
      </x:c>
      <x:c r="F66" s="68" t="str">
        <x:v>29/07/201 1</x:v>
      </x:c>
      <x:c r="G66" s="68" t="str">
        <x:v>Kinh</x:v>
      </x:c>
      <x:c r="H66" s="68" t="str">
        <x:v>Xa Vinh Thanh</x:v>
      </x:c>
      <x:c r="I66" s="68" t="str">
        <x:v>THCS Hung Pha</x:v>
      </x:c>
      <x:c r="J66" s="68" t="str">
        <x:v>Xa Vinh Thanh</x:v>
      </x:c>
      <x:c r="K66" s="68" t="str">
        <x:v>36.3</x:v>
      </x:c>
      <x:c r="L66" s="68" t="str">
        <x:v>40</x:v>
      </x:c>
      <x:c r="M66" s="68" t="str"/>
      <x:c r="N66" s="68" t="str"/>
      <x:c r="O66" s="68" t="str">
        <x:v>76.3</x:v>
      </x:c>
      <x:c r="P66" s="68" t="str"/>
    </x:row>
    <x:row r="67">
      <x:c r="A67" s="106" t="n">
        <x:v>3</x:v>
      </x:c>
      <x:c r="B67" s="106" t="str">
        <x:v>66</x:v>
      </x:c>
      <x:c r="C67" s="167" t="str">
        <x:f>"09521 1002169"</x:f>
        <x:v>09521 1002169</x:v>
      </x:c>
      <x:c r="D67" s="68" t="str">
        <x:v>LE HAI LONG</x:v>
      </x:c>
      <x:c r="E67" s="68" t="str"/>
      <x:c r="F67" s="68" t="str">
        <x:v>03/10/201 1</x:v>
      </x:c>
      <x:c r="G67" s="68" t="str">
        <x:v>Kinh</x:v>
      </x:c>
      <x:c r="H67" s="68" t="str">
        <x:v>Xa Wrnh Thanh</x:v>
      </x:c>
      <x:c r="I67" s="68" t="str">
        <x:v>THCS Hung Phd</x:v>
      </x:c>
      <x:c r="J67" s="68" t="str">
        <x:v>Xa Vinh TTlanh</x:v>
      </x:c>
      <x:c r="K67" s="68" t="str">
        <x:v>36.3</x:v>
      </x:c>
      <x:c r="L67" s="68" t="str">
        <x:v>40</x:v>
      </x:c>
      <x:c r="M67" s="68" t="str"/>
      <x:c r="N67" s="68" t="str"/>
      <x:c r="O67" s="68" t="str">
        <x:v>76.3</x:v>
      </x:c>
      <x:c r="P67" s="68" t="str"/>
    </x:row>
    <x:row r="68">
      <x:c r="A68" s="106" t="n">
        <x:v>3</x:v>
      </x:c>
      <x:c r="B68" s="106" t="str">
        <x:v>67</x:v>
      </x:c>
      <x:c r="C68" s="167" t="str">
        <x:f>"0953 1 1004777"</x:f>
        <x:v>0953 1 1004777</x:v>
      </x:c>
      <x:c r="D68" s="68" t="str">
        <x:v>NGUYEN HA UY£N NHI</x:v>
      </x:c>
      <x:c r="E68" s="68" t="str">
        <x:v>X</x:v>
      </x:c>
      <x:c r="F68" s="68" t="str">
        <x:v>13/01/201 1</x:v>
      </x:c>
      <x:c r="G68" s="68" t="str">
        <x:v>Kinh</x:v>
      </x:c>
      <x:c r="H68" s="68" t="str">
        <x:v>Xa Phu6c Long</x:v>
      </x:c>
      <x:c r="I68" s="68" t="str">
        <x:v>THCS Phu6c Long</x:v>
      </x:c>
      <x:c r="J68" s="68" t="str">
        <x:v>Xa Phu6c Long</x:v>
      </x:c>
      <x:c r="K68" s="68" t="str">
        <x:v>36.2</x:v>
      </x:c>
      <x:c r="L68" s="68" t="str">
        <x:v>40</x:v>
      </x:c>
      <x:c r="M68" s="68" t="str"/>
      <x:c r="N68" s="68" t="str"/>
      <x:c r="O68" s="68" t="str">
        <x:v>76.2</x:v>
      </x:c>
      <x:c r="P68" s="68" t="str"/>
    </x:row>
    <x:row r="69">
      <x:c r="A69" s="106" t="n">
        <x:v>3</x:v>
      </x:c>
      <x:c r="B69" s="106" t="str">
        <x:v>68</x:v>
      </x:c>
      <x:c r="C69" s="167" t="str">
        <x:f>"0953 1 1002595"</x:f>
        <x:v>0953 1 1002595</x:v>
      </x:c>
      <x:c r="D69" s="68" t="str">
        <x:v>NGUY£N THI LAN ANH</x:v>
      </x:c>
      <x:c r="E69" s="68" t="str">
        <x:v>X</x:v>
      </x:c>
      <x:c r="F69" s="68" t="str">
        <x:v>27/03/201 1</x:v>
      </x:c>
      <x:c r="G69" s="68" t="str">
        <x:v>Kinh</x:v>
      </x:c>
      <x:c r="H69" s="68" t="str">
        <x:v>Xa Phu6c Long</x:v>
      </x:c>
      <x:c r="I69" s="68" t="str">
        <x:v>THCS Vuang Hfru Nhon</x:v>
      </x:c>
      <x:c r="J69" s="68" t="str">
        <x:v>Xa Phu6'c Long</x:v>
      </x:c>
      <x:c r="K69" s="68" t="str">
        <x:v>36.2</x:v>
      </x:c>
      <x:c r="L69" s="68" t="str">
        <x:v>40</x:v>
      </x:c>
      <x:c r="M69" s="68" t="str"/>
      <x:c r="N69" s="68" t="str"/>
      <x:c r="O69" s="68" t="str">
        <x:v>76.2</x:v>
      </x:c>
      <x:c r="P69" s="68" t="str"/>
    </x:row>
    <x:row r="70">
      <x:c r="A70" s="106" t="n">
        <x:v>3</x:v>
      </x:c>
      <x:c r="B70" s="106" t="str">
        <x:v>69</x:v>
      </x:c>
      <x:c r="C70" s="167" t="str">
        <x:f>"09521 1003352"</x:f>
        <x:v>09521 1003352</x:v>
      </x:c>
      <x:c r="D70" s="68" t="str">
        <x:v>PHAN THANH DUY</x:v>
      </x:c>
      <x:c r="E70" s="68" t="str"/>
      <x:c r="F70" s="68" t="str">
        <x:v>22/08/2011</x:v>
      </x:c>
      <x:c r="G70" s="68" t="str">
        <x:v>Kinh</x:v>
      </x:c>
      <x:c r="H70" s="68" t="str">
        <x:v>Xa Phu6c Long</x:v>
      </x:c>
      <x:c r="I70" s="68" t="str">
        <x:v>THCS Phu6c Long</x:v>
      </x:c>
      <x:c r="J70" s="68" t="str">
        <x:v>Xa Phu6c Long</x:v>
      </x:c>
      <x:c r="K70" s="68" t="str">
        <x:v>36.2</x:v>
      </x:c>
      <x:c r="L70" s="68" t="str">
        <x:v>40</x:v>
      </x:c>
      <x:c r="M70" s="68" t="str"/>
      <x:c r="N70" s="68" t="str"/>
      <x:c r="O70" s="68" t="str">
        <x:v>76.2</x:v>
      </x:c>
      <x:c r="P70" s="68" t="str"/>
    </x:row>
    <x:row r="71">
      <x:c r="A71" s="106" t="n">
        <x:v>3</x:v>
      </x:c>
      <x:c r="B71" s="106" t="str">
        <x:v>70</x:v>
      </x:c>
      <x:c r="C71" s="167" t="str">
        <x:f>"095211002841"</x:f>
        <x:v>095211002841</x:v>
      </x:c>
      <x:c r="D71" s="68" t="str">
        <x:v>LIUtNH vV TtICiNG</x:v>
      </x:c>
      <x:c r="E71" s="68" t="str"/>
      <x:c r="F71" s="68" t="str">
        <x:v>15/02/201 1</x:v>
      </x:c>
      <x:c r="G71" s="68" t="str">
        <x:v>Kinh</x:v>
      </x:c>
      <x:c r="H71" s="68" t="str">
        <x:v>Xa VTnh Phu6c</x:v>
      </x:c>
      <x:c r="I71" s="68" t="str">
        <x:v>THCS Phu M Long</x:v>
      </x:c>
      <x:c r="J71" s="68" t="str">
        <x:v>Xa Phua Long</x:v>
      </x:c>
      <x:c r="K71" s="68" t="str">
        <x:v>36.1</x:v>
      </x:c>
      <x:c r="L71" s="68" t="str">
        <x:v>40</x:v>
      </x:c>
      <x:c r="M71" s="68" t="str"/>
      <x:c r="N71" s="68" t="str"/>
      <x:c r="O71" s="68" t="str">
        <x:v>76. 1</x:v>
      </x:c>
      <x:c r="P71" s="68" t="str"/>
    </x:row>
    <x:row r="72">
      <x:c r="A72" s="106" t="n">
        <x:v>3</x:v>
      </x:c>
      <x:c r="B72" s="106" t="str">
        <x:v>71</x:v>
      </x:c>
      <x:c r="C72" s="167" t="str">
        <x:f>"095211001189"</x:f>
        <x:v>095211001189</x:v>
      </x:c>
      <x:c r="D72" s="68" t="str">
        <x:v>TRu-aNC va THAI</x:v>
      </x:c>
      <x:c r="E72" s="68" t="str"/>
      <x:c r="F72" s="68" t="str">
        <x:v>02/10/201 1</x:v>
      </x:c>
      <x:c r="G72" s="68" t="str">
        <x:v>Kinh</x:v>
      </x:c>
      <x:c r="H72" s="68" t="str">
        <x:v>Xa Vinh PhMc</x:v>
      </x:c>
      <x:c r="I72" s="68" t="str">
        <x:v>THCS VTnh Phi Tay</x:v>
      </x:c>
      <x:c r="J72" s="68" t="str">
        <x:v>Xa VTnh Phudc</x:v>
      </x:c>
      <x:c r="K72" s="68" t="str">
        <x:v>36. 1</x:v>
      </x:c>
      <x:c r="L72" s="68" t="str">
        <x:v>40</x:v>
      </x:c>
      <x:c r="M72" s="68" t="str"/>
      <x:c r="N72" s="68" t="str"/>
      <x:c r="O72" s="68" t="str">
        <x:v>76. 1</x:v>
      </x:c>
      <x:c r="P72" s="68" t="str"/>
    </x:row>
    <x:row r="73">
      <x:c r="A73" s="106" t="n">
        <x:v>3</x:v>
      </x:c>
      <x:c r="B73" s="106" t="str">
        <x:v>72</x:v>
      </x:c>
      <x:c r="C73" s="167" t="str">
        <x:f>"0953 1 1005950"</x:f>
        <x:v>0953 1 1005950</x:v>
      </x:c>
      <x:c r="D73" s="68" t="str">
        <x:v>NGUY£N THANH TRA</x:v>
      </x:c>
      <x:c r="E73" s="68" t="str">
        <x:v>X</x:v>
      </x:c>
      <x:c r="F73" s="68" t="str">
        <x:v>15/03/201 1</x:v>
      </x:c>
      <x:c r="G73" s="68" t="str">
        <x:v>Kinh</x:v>
      </x:c>
      <x:c r="H73" s="68" t="str">
        <x:v>Xa Phudc Long</x:v>
      </x:c>
      <x:c r="I73" s="68" t="str">
        <x:v>THCS Phudc Long</x:v>
      </x:c>
      <x:c r="J73" s="68" t="str">
        <x:v>Xa Phu a Long</x:v>
      </x:c>
      <x:c r="K73" s="68" t="str">
        <x:v>36.0</x:v>
      </x:c>
      <x:c r="L73" s="68" t="str">
        <x:v>40</x:v>
      </x:c>
      <x:c r="M73" s="68" t="str"/>
      <x:c r="N73" s="68" t="str"/>
      <x:c r="O73" s="68" t="str">
        <x:v>76.0</x:v>
      </x:c>
      <x:c r="P73" s="68" t="str"/>
    </x:row>
    <x:row r="74">
      <x:c r="A74" s="106" t="n">
        <x:v>3</x:v>
      </x:c>
      <x:c r="B74" s="106" t="str">
        <x:v>73</x:v>
      </x:c>
      <x:c r="C74" s="167" t="str">
        <x:f>"095211002134"</x:f>
        <x:v>095211002134</x:v>
      </x:c>
      <x:c r="D74" s="68" t="str">
        <x:v>Va QUANG M[NH</x:v>
      </x:c>
      <x:c r="E74" s="68" t="str"/>
      <x:c r="F74" s="68" t="str">
        <x:v>17/09/201 1</x:v>
      </x:c>
      <x:c r="G74" s="68" t="str">
        <x:v>Kinh</x:v>
      </x:c>
      <x:c r="H74" s="68" t="str">
        <x:v>Xa Phudc Long</x:v>
      </x:c>
      <x:c r="I74" s="68" t="str">
        <x:v>THCS Phu6c Long</x:v>
      </x:c>
      <x:c r="J74" s="68" t="str">
        <x:v>Xa Phu6'c Long</x:v>
      </x:c>
      <x:c r="K74" s="68" t="str">
        <x:v>36,0</x:v>
      </x:c>
      <x:c r="L74" s="68" t="str">
        <x:v>40</x:v>
      </x:c>
      <x:c r="M74" s="68" t="str"/>
      <x:c r="N74" s="68" t="str"/>
      <x:c r="O74" s="68" t="str">
        <x:v>76.0</x:v>
      </x:c>
      <x:c r="P74" s="68" t="str"/>
    </x:row>
    <x:row r="75">
      <x:c r="A75" s="106" t="n">
        <x:v>3</x:v>
      </x:c>
      <x:c r="B75" s="106" t="str">
        <x:v>74</x:v>
      </x:c>
      <x:c r="C75" s="167" t="str">
        <x:f>"0952110093 14"</x:f>
        <x:v>0952110093 14</x:v>
      </x:c>
      <x:c r="D75" s="68" t="str">
        <x:v>LE NHAT LAM</x:v>
      </x:c>
      <x:c r="E75" s="68" t="str"/>
      <x:c r="F75" s="68" t="str">
        <x:v>13/02/201 1</x:v>
      </x:c>
      <x:c r="G75" s="68" t="str">
        <x:v>Kinh</x:v>
      </x:c>
      <x:c r="H75" s="68" t="str">
        <x:v>Xa Wnh Thanh</x:v>
      </x:c>
      <x:c r="I75" s="68" t="str">
        <x:v>THCS Hung Pha</x:v>
      </x:c>
      <x:c r="J75" s="68" t="str">
        <x:v>Xa Vinh Thanh</x:v>
      </x:c>
      <x:c r="K75" s="68" t="str">
        <x:v>35.5</x:v>
      </x:c>
      <x:c r="L75" s="68" t="str">
        <x:v>40</x:v>
      </x:c>
      <x:c r="M75" s="68" t="str"/>
      <x:c r="N75" s="68" t="str">
        <x:v>0.5</x:v>
      </x:c>
      <x:c r="O75" s="68" t="str">
        <x:v>76.0</x:v>
      </x:c>
      <x:c r="P75" s="68" t="str"/>
    </x:row>
    <x:row r="76">
      <x:c r="A76" s="106" t="n">
        <x:v>3</x:v>
      </x:c>
      <x:c r="B76" s="106" t="str">
        <x:v>75</x:v>
      </x:c>
      <x:c r="C76" s="167" t="str">
        <x:f>"0953 1 1004039"</x:f>
        <x:v>0953 1 1004039</x:v>
      </x:c>
      <x:c r="D76" s="68" t="str">
        <x:v>H6 THI cAM rrUdNG</x:v>
      </x:c>
      <x:c r="E76" s="68" t="str">
        <x:v>X</x:v>
      </x:c>
      <x:c r="F76" s="68" t="str">
        <x:v>25/10/2011</x:v>
      </x:c>
      <x:c r="G76" s="68" t="str">
        <x:v>Kinh</x:v>
      </x:c>
      <x:c r="H76" s="68" t="str">
        <x:v>Xg VTnh Phu6c</x:v>
      </x:c>
      <x:c r="I76" s="68" t="str">
        <x:v>THCS Hung Phd</x:v>
      </x:c>
      <x:c r="J76" s="68" t="str">
        <x:v>Xa VTnh Thanh</x:v>
      </x:c>
      <x:c r="K76" s="68" t="str">
        <x:v>36.0</x:v>
      </x:c>
      <x:c r="L76" s="68" t="str">
        <x:v>40</x:v>
      </x:c>
      <x:c r="M76" s="68" t="str"/>
      <x:c r="N76" s="68" t="str"/>
      <x:c r="O76" s="68" t="str">
        <x:v>76.0</x:v>
      </x:c>
      <x:c r="P76" s="68" t="str"/>
    </x:row>
    <x:row r="77">
      <x:c r="A77" s="106" t="n">
        <x:v>3</x:v>
      </x:c>
      <x:c r="B77" s="106" t="str">
        <x:v>76</x:v>
      </x:c>
      <x:c r="C77" s="167" t="str">
        <x:f>"0953 1 100795 1"</x:f>
        <x:v>0953 1 100795 1</x:v>
      </x:c>
      <x:c r="D77" s="68" t="str">
        <x:v>NGUYEN THAO NGAN</x:v>
      </x:c>
      <x:c r="E77" s="68" t="str">
        <x:v>X</x:v>
      </x:c>
      <x:c r="F77" s="68" t="str">
        <x:v>08/09/201 1</x:v>
      </x:c>
      <x:c r="G77" s="68" t="str">
        <x:v>Kinh</x:v>
      </x:c>
      <x:c r="H77" s="68" t="str">
        <x:v>Xa H6ng Dan</x:v>
      </x:c>
      <x:c r="I77" s="68" t="str">
        <x:v>THCS PhMc Long</x:v>
      </x:c>
      <x:c r="J77" s="68" t="str">
        <x:v>Xa VTnh Phudc</x:v>
      </x:c>
      <x:c r="K77" s="68" t="str">
        <x:v>36.0</x:v>
      </x:c>
      <x:c r="L77" s="68" t="str">
        <x:v>40</x:v>
      </x:c>
      <x:c r="M77" s="68" t="str"/>
      <x:c r="N77" s="68" t="str"/>
      <x:c r="O77" s="68" t="str">
        <x:v>76.0</x:v>
      </x:c>
      <x:c r="P77" s="68" t="str"/>
    </x:row>
    <x:row r="78">
      <x:c r="A78" s="106" t="n">
        <x:v>3</x:v>
      </x:c>
      <x:c r="B78" s="106" t="str">
        <x:v>77</x:v>
      </x:c>
      <x:c r="C78" s="167" t="str">
        <x:f>"09521 1004482"</x:f>
        <x:v>09521 1004482</x:v>
      </x:c>
      <x:c r="D78" s="68" t="str">
        <x:v>TRAN TRUNG HUNG</x:v>
      </x:c>
      <x:c r="E78" s="68" t="str"/>
      <x:c r="F78" s="68" t="str">
        <x:v>24/01/2011</x:v>
      </x:c>
      <x:c r="G78" s="68" t="str">
        <x:v>Kinh</x:v>
      </x:c>
      <x:c r="H78" s="68" t="str">
        <x:v>Xa VTnh Phu6c</x:v>
      </x:c>
      <x:c r="I78" s="68" t="str">
        <x:v>THCS Phu6c Long</x:v>
      </x:c>
      <x:c r="J78" s="68" t="str">
        <x:v>Xa Phu6c Long</x:v>
      </x:c>
      <x:c r="K78" s="68" t="str">
        <x:v>35.9</x:v>
      </x:c>
      <x:c r="L78" s="68" t="str">
        <x:v>40</x:v>
      </x:c>
      <x:c r="M78" s="68" t="str"/>
      <x:c r="N78" s="68" t="str"/>
      <x:c r="O78" s="68" t="str">
        <x:v>75.9</x:v>
      </x:c>
      <x:c r="P78" s="68" t="str"/>
    </x:row>
    <x:row r="79">
      <x:c r="A79" s="106" t="n">
        <x:v>3</x:v>
      </x:c>
      <x:c r="B79" s="106" t="str">
        <x:v>78</x:v>
      </x:c>
      <x:c r="C79" s="167" t="str">
        <x:f>"0953 1 1006940"</x:f>
        <x:v>0953 1 1006940</x:v>
      </x:c>
      <x:c r="D79" s="68" t="str">
        <x:v>PHAM NGUYEN DIeM QUtNH</x:v>
      </x:c>
      <x:c r="E79" s="68" t="str">
        <x:v>X</x:v>
      </x:c>
      <x:c r="F79" s="68" t="str">
        <x:v>06/04/2011</x:v>
      </x:c>
      <x:c r="G79" s="68" t="str">
        <x:v>Kinh</x:v>
      </x:c>
      <x:c r="H79" s="68" t="str">
        <x:v>Xa VTnh Phu6c</x:v>
      </x:c>
      <x:c r="I79" s="68" t="str">
        <x:v>THCS Phu6c Long</x:v>
      </x:c>
      <x:c r="J79" s="68" t="str">
        <x:v>Xa Phudc Long</x:v>
      </x:c>
      <x:c r="K79" s="68" t="str">
        <x:v>35.9</x:v>
      </x:c>
      <x:c r="L79" s="68" t="str">
        <x:v>40</x:v>
      </x:c>
      <x:c r="M79" s="68" t="str"/>
      <x:c r="N79" s="68" t="str"/>
      <x:c r="O79" s="68" t="str">
        <x:v>75.9</x:v>
      </x:c>
      <x:c r="P79" s="68" t="str"/>
    </x:row>
    <x:row r="80">
      <x:c r="A80" s="106" t="n">
        <x:v>3</x:v>
      </x:c>
      <x:c r="B80" s="106" t="str">
        <x:v>79</x:v>
      </x:c>
      <x:c r="C80" s="167" t="str">
        <x:f>"091210010019"</x:f>
        <x:v>091210010019</x:v>
      </x:c>
      <x:c r="D80" s="68" t="str">
        <x:v>NGUYEN NGQC TAN</x:v>
      </x:c>
      <x:c r="E80" s="68" t="str"/>
      <x:c r="F80" s="68" t="str">
        <x:v>19/08/2010</x:v>
      </x:c>
      <x:c r="G80" s="68" t="str">
        <x:v>Kinh</x:v>
      </x:c>
      <x:c r="H80" s="68" t="str">
        <x:v>Xa Phu6c Long</x:v>
      </x:c>
      <x:c r="I80" s="68" t="str">
        <x:v>THCS Phtrdc Long</x:v>
      </x:c>
      <x:c r="J80" s="68" t="str">
        <x:v>Xa Phudc Long</x:v>
      </x:c>
      <x:c r="K80" s="68" t="str">
        <x:v>35.9</x:v>
      </x:c>
      <x:c r="L80" s="68" t="str">
        <x:v>40</x:v>
      </x:c>
      <x:c r="M80" s="68" t="str"/>
      <x:c r="N80" s="68" t="str"/>
      <x:c r="O80" s="68" t="str">
        <x:v>75.9</x:v>
      </x:c>
      <x:c r="P80" s="68" t="str"/>
    </x:row>
    <x:row r="81">
      <x:c r="A81" s="106" t="n">
        <x:v>3</x:v>
      </x:c>
      <x:c r="B81" s="106" t="str">
        <x:v>80</x:v>
      </x:c>
      <x:c r="C81" s="167" t="str">
        <x:f>"0953 1 1006504"</x:f>
        <x:v>0953 1 1006504</x:v>
      </x:c>
      <x:c r="D81" s="68" t="str">
        <x:v>NGUY£N THI THAI</x:v>
      </x:c>
      <x:c r="E81" s="68" t="str">
        <x:v>X</x:v>
      </x:c>
      <x:c r="F81" s="68" t="str">
        <x:v>09/02/201 1</x:v>
      </x:c>
      <x:c r="G81" s="68" t="str">
        <x:v>Kinh</x:v>
      </x:c>
      <x:c r="H81" s="68" t="str">
        <x:v>Xa Phu6c Long</x:v>
      </x:c>
      <x:c r="I81" s="68" t="str">
        <x:v>THCS Phu6c Long</x:v>
      </x:c>
      <x:c r="J81" s="68" t="str">
        <x:v>Xa Phu6c Long</x:v>
      </x:c>
      <x:c r="K81" s="68" t="str">
        <x:v>35.9</x:v>
      </x:c>
      <x:c r="L81" s="68" t="str">
        <x:v>40</x:v>
      </x:c>
      <x:c r="M81" s="68" t="str"/>
      <x:c r="N81" s="68" t="str"/>
      <x:c r="O81" s="68" t="str">
        <x:v>75.9</x:v>
      </x:c>
      <x:c r="P81" s="68" t="str"/>
    </x:row>
    <x:row r="82">
      <x:c r="A82" s="106" t="n">
        <x:v>3</x:v>
      </x:c>
      <x:c r="B82" s="106" t="str">
        <x:v>81</x:v>
      </x:c>
      <x:c r="C82" s="167" t="str">
        <x:f>"0953 1 1006969"</x:f>
        <x:v>0953 1 1006969</x:v>
      </x:c>
      <x:c r="D82" s="68" t="str">
        <x:v>LE THI KIM DOAN</x:v>
      </x:c>
      <x:c r="E82" s="68" t="str">
        <x:v>X</x:v>
      </x:c>
      <x:c r="F82" s="68" t="str">
        <x:v>28/05/2011</x:v>
      </x:c>
      <x:c r="G82" s="68" t="str">
        <x:v>Kinh</x:v>
      </x:c>
      <x:c r="H82" s="68" t="str">
        <x:v>Xa Wnh Phudc</x:v>
      </x:c>
      <x:c r="I82" s="68" t="str">
        <x:v>THCS VTnh Pha Tay</x:v>
      </x:c>
      <x:c r="J82" s="68" t="str">
        <x:v>Xa Vinh phu6c</x:v>
      </x:c>
      <x:c r="K82" s="68" t="str">
        <x:v>35.9</x:v>
      </x:c>
      <x:c r="L82" s="68" t="str">
        <x:v>40</x:v>
      </x:c>
      <x:c r="M82" s="68" t="str"/>
      <x:c r="N82" s="68" t="str"/>
      <x:c r="O82" s="68" t="str">
        <x:v>75.9</x:v>
      </x:c>
      <x:c r="P82" s="68" t="str"/>
    </x:row>
    <x:row r="83">
      <x:c r="A83" s="106" t="n">
        <x:v>3</x:v>
      </x:c>
      <x:c r="B83" s="106" t="str">
        <x:v>82</x:v>
      </x:c>
      <x:c r="C83" s="167" t="str">
        <x:f>"09521 1009026"</x:f>
        <x:v>09521 1009026</x:v>
      </x:c>
      <x:c r="D83" s="68" t="str">
        <x:v>Lt C6NG QUAN</x:v>
      </x:c>
      <x:c r="E83" s="68" t="str"/>
      <x:c r="F83" s="68" t="str">
        <x:v>08/09/201 1</x:v>
      </x:c>
      <x:c r="G83" s="68" t="str">
        <x:v>Kinh</x:v>
      </x:c>
      <x:c r="H83" s="68" t="str">
        <x:v>Xa Vinh Thanh</x:v>
      </x:c>
      <x:c r="I83" s="68" t="str">
        <x:v>THCS Hung Phd</x:v>
      </x:c>
      <x:c r="J83" s="68" t="str">
        <x:v>Xa Vinh Thanh</x:v>
      </x:c>
      <x:c r="K83" s="68" t="str">
        <x:v>35.9</x:v>
      </x:c>
      <x:c r="L83" s="68" t="str">
        <x:v>40</x:v>
      </x:c>
      <x:c r="M83" s="68" t="str"/>
      <x:c r="N83" s="68" t="str"/>
      <x:c r="O83" s="68" t="str">
        <x:v>75.9</x:v>
      </x:c>
      <x:c r="P83" s="68" t="str"/>
    </x:row>
    <x:row r="84">
      <x:c r="A84" s="106" t="n">
        <x:v>3</x:v>
      </x:c>
      <x:c r="B84" s="106" t="str">
        <x:v>83</x:v>
      </x:c>
      <x:c r="C84" s="167" t="str">
        <x:f>"09521 1006212"</x:f>
        <x:v>09521 1006212</x:v>
      </x:c>
      <x:c r="D84" s="68" t="str">
        <x:v>TRAN TAN PHAT</x:v>
      </x:c>
      <x:c r="E84" s="68" t="str"/>
      <x:c r="F84" s="68" t="str">
        <x:v>03/03/201 1</x:v>
      </x:c>
      <x:c r="G84" s="68" t="str">
        <x:v>Kinh</x:v>
      </x:c>
      <x:c r="H84" s="68" t="str">
        <x:v>Xa Vinh Thanh</x:v>
      </x:c>
      <x:c r="I84" s="68" t="str">
        <x:v>THCS Hung Phd</x:v>
      </x:c>
      <x:c r="J84" s="68" t="str">
        <x:v>Xa Vinh Thanh</x:v>
      </x:c>
      <x:c r="K84" s="68" t="str">
        <x:v>35.9</x:v>
      </x:c>
      <x:c r="L84" s="68" t="str">
        <x:v>40</x:v>
      </x:c>
      <x:c r="M84" s="68" t="str"/>
      <x:c r="N84" s="68" t="str"/>
      <x:c r="O84" s="68" t="str">
        <x:v>75.9</x:v>
      </x:c>
      <x:c r="P84" s="68" t="str"/>
    </x:row>
    <x:row r="85">
      <x:c r="A85" s="106" t="n">
        <x:v>3</x:v>
      </x:c>
      <x:c r="B85" s="106" t="str">
        <x:v>84</x:v>
      </x:c>
      <x:c r="C85" s="167" t="str">
        <x:f>"09531 1002361"</x:f>
        <x:v>09531 1002361</x:v>
      </x:c>
      <x:c r="D85" s="68" t="str">
        <x:v>NGUYEN THI HANH TRANG</x:v>
      </x:c>
      <x:c r="E85" s="68" t="str">
        <x:v>X</x:v>
      </x:c>
      <x:c r="F85" s="68" t="str">
        <x:v>25/11/2011</x:v>
      </x:c>
      <x:c r="G85" s="68" t="str">
        <x:v>Kinh</x:v>
      </x:c>
      <x:c r="H85" s="68" t="str">
        <x:v>Xa VTnh Thanh</x:v>
      </x:c>
      <x:c r="I85" s="68" t="str">
        <x:v>THCS Hung Phd</x:v>
      </x:c>
      <x:c r="J85" s="68" t="str">
        <x:v>Xa VTnh Thanh</x:v>
      </x:c>
      <x:c r="K85" s="68" t="str">
        <x:v>35.9</x:v>
      </x:c>
      <x:c r="L85" s="68" t="str">
        <x:v>40</x:v>
      </x:c>
      <x:c r="M85" s="68" t="str"/>
      <x:c r="N85" s="68" t="str"/>
      <x:c r="O85" s="68" t="str">
        <x:v>75.9</x:v>
      </x:c>
      <x:c r="P85" s="68" t="str"/>
    </x:row>
    <x:row r="86">
      <x:c r="A86" s="106" t="n">
        <x:v>3</x:v>
      </x:c>
      <x:c r="B86" s="106" t="str">
        <x:v>85</x:v>
      </x:c>
      <x:c r="C86" s="167" t="str">
        <x:f>"095211000862"</x:f>
        <x:v>095211000862</x:v>
      </x:c>
      <x:c r="D86" s="68" t="str">
        <x:v>PRAM HOANG LTNH</x:v>
      </x:c>
      <x:c r="E86" s="68" t="str"/>
      <x:c r="F86" s="68" t="str">
        <x:v>19/02/201 1</x:v>
      </x:c>
      <x:c r="G86" s="68" t="str">
        <x:v>Kinh</x:v>
      </x:c>
      <x:c r="H86" s="68" t="str">
        <x:v>Xi Phu(tc Long</x:v>
      </x:c>
      <x:c r="I86" s="68" t="str">
        <x:v>THCS Phtrdc Long</x:v>
      </x:c>
      <x:c r="J86" s="68" t="str">
        <x:v>Xa Phu6c Long</x:v>
      </x:c>
      <x:c r="K86" s="68" t="str">
        <x:v>35.8</x:v>
      </x:c>
      <x:c r="L86" s="68" t="str">
        <x:v>40</x:v>
      </x:c>
      <x:c r="M86" s="68" t="str"/>
      <x:c r="N86" s="68" t="str"/>
      <x:c r="O86" s="68" t="str">
        <x:v>75.8</x:v>
      </x:c>
      <x:c r="P86" s="68" t="str"/>
    </x:row>
    <x:row r="87">
      <x:c r="A87" s="106" t="n">
        <x:v>3</x:v>
      </x:c>
      <x:c r="B87" s="106" t="str">
        <x:v>86</x:v>
      </x:c>
      <x:c r="C87" s="167" t="str">
        <x:f>"09531 1005288"</x:f>
        <x:v>09531 1005288</x:v>
      </x:c>
      <x:c r="D87" s="68" t="str">
        <x:v>H6 H6NG MINH NGAN</x:v>
      </x:c>
      <x:c r="E87" s="68" t="str">
        <x:v>X</x:v>
      </x:c>
      <x:c r="F87" s="68" t="str">
        <x:v>16/07/201 1</x:v>
      </x:c>
      <x:c r="G87" s="68" t="str">
        <x:v>Kinh</x:v>
      </x:c>
      <x:c r="H87" s="68" t="str">
        <x:v>Xa VTnh Thanh</x:v>
      </x:c>
      <x:c r="I87" s="68" t="str">
        <x:v>THCS Hung Phd</x:v>
      </x:c>
      <x:c r="J87" s="68" t="str">
        <x:v>Xa Vinh Thanh</x:v>
      </x:c>
      <x:c r="K87" s="68" t="str">
        <x:v>35.8</x:v>
      </x:c>
      <x:c r="L87" s="68" t="str">
        <x:v>40</x:v>
      </x:c>
      <x:c r="M87" s="68" t="str"/>
      <x:c r="N87" s="68" t="str"/>
      <x:c r="O87" s="68" t="str">
        <x:v>75.8</x:v>
      </x:c>
      <x:c r="P87" s="68" t="str"/>
    </x:row>
    <x:row r="88">
      <x:c r="A88" s="106" t="n">
        <x:v>3</x:v>
      </x:c>
      <x:c r="B88" s="106" t="str">
        <x:v>87</x:v>
      </x:c>
      <x:c r="C88" s="167" t="str">
        <x:f>"0953 10000462"</x:f>
        <x:v>0953 10000462</x:v>
      </x:c>
      <x:c r="D88" s="68" t="str">
        <x:v>va H6NG MtJC</x:v>
      </x:c>
      <x:c r="E88" s="68" t="str">
        <x:v>X</x:v>
      </x:c>
      <x:c r="F88" s="68" t="str">
        <x:v>28/04/2010</x:v>
      </x:c>
      <x:c r="G88" s="68" t="str">
        <x:v>Kinh</x:v>
      </x:c>
      <x:c r="H88" s="68" t="str">
        <x:v>Xa VTnh Thanh</x:v>
      </x:c>
      <x:c r="I88" s="68" t="str">
        <x:v>THCS Hung Phd</x:v>
      </x:c>
      <x:c r="J88" s="68" t="str">
        <x:v>Xa Vinh Thanh</x:v>
      </x:c>
      <x:c r="K88" s="68" t="str">
        <x:v>35.8</x:v>
      </x:c>
      <x:c r="L88" s="68" t="str">
        <x:v>40</x:v>
      </x:c>
      <x:c r="M88" s="68" t="str"/>
      <x:c r="N88" s="68" t="str"/>
      <x:c r="O88" s="68" t="str">
        <x:v>75.8</x:v>
      </x:c>
      <x:c r="P88" s="68" t="str"/>
    </x:row>
    <x:row r="89">
      <x:c r="A89" s="106" t="n">
        <x:v>3</x:v>
      </x:c>
      <x:c r="B89" s="106" t="str">
        <x:v>88</x:v>
      </x:c>
      <x:c r="C89" s="167" t="str">
        <x:f>"095311005381"</x:f>
        <x:v>095311005381</x:v>
      </x:c>
      <x:c r="D89" s="68" t="str">
        <x:v>DUY NGUY£N TtldNG LAM</x:v>
      </x:c>
      <x:c r="E89" s="68" t="str">
        <x:v>X</x:v>
      </x:c>
      <x:c r="F89" s="68" t="str">
        <x:v>27/04/201 1</x:v>
      </x:c>
      <x:c r="G89" s="68" t="str">
        <x:v>Kinh</x:v>
      </x:c>
      <x:c r="H89" s="68" t="str">
        <x:v>Xa Phudc Long</x:v>
      </x:c>
      <x:c r="I89" s="68" t="str">
        <x:v>THCS Vuang Hau Nhan</x:v>
      </x:c>
      <x:c r="J89" s="68" t="str">
        <x:v>Xa Phudc Long</x:v>
      </x:c>
      <x:c r="K89" s="68" t="str">
        <x:v>35.8</x:v>
      </x:c>
      <x:c r="L89" s="68" t="str">
        <x:v>40</x:v>
      </x:c>
      <x:c r="M89" s="68" t="str"/>
      <x:c r="N89" s="68" t="str"/>
      <x:c r="O89" s="68" t="str">
        <x:v>75.8</x:v>
      </x:c>
      <x:c r="P89" s="68" t="str"/>
    </x:row>
    <x:row r="90">
      <x:c r="A90" s="106" t="n">
        <x:v>3</x:v>
      </x:c>
      <x:c r="B90" s="106" t="str">
        <x:v>89</x:v>
      </x:c>
      <x:c r="C90" s="167" t="str">
        <x:f>"095211005844"</x:f>
        <x:v>095211005844</x:v>
      </x:c>
      <x:c r="D90" s="68" t="str">
        <x:v>TRU'(JNGErUVNH PnUONG</x:v>
      </x:c>
      <x:c r="E90" s="68" t="str"/>
      <x:c r="F90" s="68" t="str">
        <x:v>03/02/2011</x:v>
      </x:c>
      <x:c r="G90" s="68" t="str">
        <x:v>Kinh</x:v>
      </x:c>
      <x:c r="H90" s="68" t="str">
        <x:v>Xa Vinh Phu6c</x:v>
      </x:c>
      <x:c r="I90" s="68" t="str">
        <x:v>THCS Phu6c Long</x:v>
      </x:c>
      <x:c r="J90" s="68" t="str">
        <x:v>Xa Phu6c Long</x:v>
      </x:c>
      <x:c r="K90" s="68" t="str">
        <x:v>35.7</x:v>
      </x:c>
      <x:c r="L90" s="68" t="str">
        <x:v>40</x:v>
      </x:c>
      <x:c r="M90" s="68" t="str"/>
      <x:c r="N90" s="68" t="str"/>
      <x:c r="O90" s="68" t="str">
        <x:v>75.7</x:v>
      </x:c>
      <x:c r="P90" s="68" t="str"/>
    </x:row>
    <x:row r="91">
      <x:c r="A91" s="106" t="n">
        <x:v>3</x:v>
      </x:c>
      <x:c r="B91" s="106" t="str">
        <x:v>90</x:v>
      </x:c>
      <x:c r="C91" s="167" t="str">
        <x:f>"09531 1004235"</x:f>
        <x:v>09531 1004235</x:v>
      </x:c>
      <x:c r="D91" s="68" t="str">
        <x:v>DAO KHANH NGQC</x:v>
      </x:c>
      <x:c r="E91" s="68" t="str">
        <x:v>X</x:v>
      </x:c>
      <x:c r="F91" s="68" t="str">
        <x:v>20/06/201 1</x:v>
      </x:c>
      <x:c r="G91" s="68" t="str">
        <x:v>Kinh</x:v>
      </x:c>
      <x:c r="H91" s="68" t="str">
        <x:v>Xa Phu6c Long</x:v>
      </x:c>
      <x:c r="I91" s="68" t="str">
        <x:v>THCS Phua Long</x:v>
      </x:c>
      <x:c r="J91" s="68" t="str">
        <x:v>Xa Phua Long</x:v>
      </x:c>
      <x:c r="K91" s="68" t="str">
        <x:v>35.7</x:v>
      </x:c>
      <x:c r="L91" s="68" t="str">
        <x:v>40</x:v>
      </x:c>
      <x:c r="M91" s="68" t="str"/>
      <x:c r="N91" s="68" t="str"/>
      <x:c r="O91" s="68" t="str">
        <x:v>75.7</x:v>
      </x:c>
      <x:c r="P91" s="68" t="str"/>
    </x:row>
    <x:row r="92">
      <x:c r="A92" s="106" t="n">
        <x:v>3</x:v>
      </x:c>
      <x:c r="B92" s="106" t="str">
        <x:v>91</x:v>
      </x:c>
      <x:c r="C92" s="167" t="str">
        <x:f>"095211006907"</x:f>
        <x:v>095211006907</x:v>
      </x:c>
      <x:c r="D92" s="68" t="str">
        <x:v>DUONG NHAT TUdNG</x:v>
      </x:c>
      <x:c r="E92" s="68" t="str"/>
      <x:c r="F92" s="68" t="str">
        <x:v>01/04/201 1</x:v>
      </x:c>
      <x:c r="G92" s="68" t="str">
        <x:v>Kinh</x:v>
      </x:c>
      <x:c r="H92" s="68" t="str">
        <x:v>Xa Wnh Phu6c</x:v>
      </x:c>
      <x:c r="I92" s="68" t="str">
        <x:v>THCS VTnh Pha Tay</x:v>
      </x:c>
      <x:c r="J92" s="68" t="str">
        <x:v>Xa VTnh Phu6c</x:v>
      </x:c>
      <x:c r="K92" s="68" t="str">
        <x:v>35.7</x:v>
      </x:c>
      <x:c r="L92" s="68" t="str">
        <x:v>40</x:v>
      </x:c>
      <x:c r="M92" s="68" t="str"/>
      <x:c r="N92" s="68" t="str"/>
      <x:c r="O92" s="68" t="str">
        <x:v>75.7</x:v>
      </x:c>
      <x:c r="P92" s="68" t="str"/>
    </x:row>
    <x:row r="93">
      <x:c r="A93" s="106" t="n">
        <x:v>3</x:v>
      </x:c>
      <x:c r="B93" s="106" t="str">
        <x:v>92</x:v>
      </x:c>
      <x:c r="C93" s="167" t="str">
        <x:f>"0953 1 1008380"</x:f>
        <x:v>0953 1 1008380</x:v>
      </x:c>
      <x:c r="D93" s="68" t="str">
        <x:v>H6 NGQC TRAM</x:v>
      </x:c>
      <x:c r="E93" s="68" t="str">
        <x:v>X</x:v>
      </x:c>
      <x:c r="F93" s="68" t="str">
        <x:v>22/06/201 1</x:v>
      </x:c>
      <x:c r="G93" s="68" t="str">
        <x:v>Kinh</x:v>
      </x:c>
      <x:c r="H93" s="68" t="str">
        <x:v>Xa Vinh Phudc</x:v>
      </x:c>
      <x:c r="I93" s="68" t="str">
        <x:v>THCS VTnh Pha Tay</x:v>
      </x:c>
      <x:c r="J93" s="68" t="str">
        <x:v>Xa Vinh Phudc</x:v>
      </x:c>
      <x:c r="K93" s="68" t="str">
        <x:v>35.7</x:v>
      </x:c>
      <x:c r="L93" s="68" t="str">
        <x:v>40</x:v>
      </x:c>
      <x:c r="M93" s="68" t="str"/>
      <x:c r="N93" s="68" t="str"/>
      <x:c r="O93" s="68" t="str">
        <x:v>75.7</x:v>
      </x:c>
      <x:c r="P93" s="68" t="str"/>
    </x:row>
    <x:row r="94">
      <x:c r="A94" s="106" t="n">
        <x:v>3</x:v>
      </x:c>
      <x:c r="B94" s="106" t="str">
        <x:v>93</x:v>
      </x:c>
      <x:c r="C94" s="167" t="str">
        <x:f>"09521 1008830"</x:f>
        <x:v>09521 1008830</x:v>
      </x:c>
      <x:c r="D94" s="68" t="str">
        <x:v>NGUYeN HOANG DANH</x:v>
      </x:c>
      <x:c r="E94" s="68" t="str"/>
      <x:c r="F94" s="68" t="str">
        <x:v>08/12/201 1</x:v>
      </x:c>
      <x:c r="G94" s="68" t="str">
        <x:v>Kinh</x:v>
      </x:c>
      <x:c r="H94" s="68" t="str">
        <x:v>Xa Vinh Thanh</x:v>
      </x:c>
      <x:c r="I94" s="68" t="str">
        <x:v>THCS Hung Phd</x:v>
      </x:c>
      <x:c r="J94" s="68" t="str">
        <x:v>Xa Full Thanh</x:v>
      </x:c>
      <x:c r="K94" s="68" t="str">
        <x:v>34.7</x:v>
      </x:c>
      <x:c r="L94" s="68" t="str">
        <x:v>40</x:v>
      </x:c>
      <x:c r="M94" s="68" t="str"/>
      <x:c r="N94" s="68" t="str">
        <x:v>1.0</x:v>
      </x:c>
      <x:c r="O94" s="68" t="str">
        <x:v>75.7</x:v>
      </x:c>
      <x:c r="P94" s="68" t="str"/>
    </x:row>
    <x:row r="95">
      <x:c r="A95" s="106" t="n">
        <x:v>3</x:v>
      </x:c>
      <x:c r="B95" s="106" t="str">
        <x:v>94</x:v>
      </x:c>
      <x:c r="C95" s="167" t="str">
        <x:f>"0953 1 1007043"</x:f>
        <x:v>0953 1 1007043</x:v>
      </x:c>
      <x:c r="D95" s="68" t="str">
        <x:v>DANG THI DEEM</x:v>
      </x:c>
      <x:c r="E95" s="68" t="str">
        <x:v>X</x:v>
      </x:c>
      <x:c r="F95" s="68" t="str">
        <x:v>10/06/201 1</x:v>
      </x:c>
      <x:c r="G95" s="68" t="str">
        <x:v>Kinh</x:v>
      </x:c>
      <x:c r="H95" s="68" t="str">
        <x:v>Xa VTnh Thanh</x:v>
      </x:c>
      <x:c r="I95" s="68" t="str">
        <x:v>THCS Wnh Thanh</x:v>
      </x:c>
      <x:c r="J95" s="68" t="str">
        <x:v>Xa Vinh Thanh</x:v>
      </x:c>
      <x:c r="K95" s="68" t="str">
        <x:v>35.7</x:v>
      </x:c>
      <x:c r="L95" s="68" t="str">
        <x:v>40</x:v>
      </x:c>
      <x:c r="M95" s="68" t="str"/>
      <x:c r="N95" s="68" t="str"/>
      <x:c r="O95" s="68" t="str">
        <x:v>75.7</x:v>
      </x:c>
      <x:c r="P95" s="68" t="str"/>
    </x:row>
    <x:row r="96">
      <x:c r="A96" s="106" t="n">
        <x:v>3</x:v>
      </x:c>
      <x:c r="B96" s="106" t="str">
        <x:v>95</x:v>
      </x:c>
      <x:c r="C96" s="167" t="str">
        <x:f>"0953 1 1003455"</x:f>
        <x:v>0953 1 1003455</x:v>
      </x:c>
      <x:c r="D96" s="68" t="str">
        <x:v>TH! NGQC TRUY£N</x:v>
      </x:c>
      <x:c r="E96" s="68" t="str">
        <x:v>X</x:v>
      </x:c>
      <x:c r="F96" s="68" t="str">
        <x:v>27/09/201 1</x:v>
      </x:c>
      <x:c r="G96" s="68" t="str">
        <x:v>Khnrer</x:v>
      </x:c>
      <x:c r="H96" s="68" t="str">
        <x:v>Xa H6ng Dan</x:v>
      </x:c>
      <x:c r="I96" s="68" t="str">
        <x:v>THCS Truang Vinh KV</x:v>
      </x:c>
      <x:c r="J96" s="68" t="str">
        <x:v>Xa H6ng Dan</x:v>
      </x:c>
      <x:c r="K96" s="68" t="str">
        <x:v>34.7</x:v>
      </x:c>
      <x:c r="L96" s="68" t="str">
        <x:v>40</x:v>
      </x:c>
      <x:c r="M96" s="68" t="str">
        <x:v>1.0</x:v>
      </x:c>
      <x:c r="N96" s="68" t="str"/>
      <x:c r="O96" s="68" t="str">
        <x:v>75.7</x:v>
      </x:c>
      <x:c r="P96" s="68" t="str"/>
    </x:row>
    <x:row r="97">
      <x:c r="A97" s="106" t="n">
        <x:v>3</x:v>
      </x:c>
      <x:c r="B97" s="106" t="str">
        <x:v>96</x:v>
      </x:c>
      <x:c r="C97" s="167" t="str">
        <x:f>"09531 1002146"</x:f>
        <x:v>09531 1002146</x:v>
      </x:c>
      <x:c r="D97" s="68" t="str">
        <x:v>TRAN THI MINH ANH</x:v>
      </x:c>
      <x:c r="E97" s="68" t="str">
        <x:v>X</x:v>
      </x:c>
      <x:c r="F97" s="68" t="str">
        <x:v>07/06/2011</x:v>
      </x:c>
      <x:c r="G97" s="68" t="str">
        <x:v>Kinh</x:v>
      </x:c>
      <x:c r="H97" s="68" t="str">
        <x:v>Xa Phu6c Long</x:v>
      </x:c>
      <x:c r="I97" s="68" t="str">
        <x:v>THCS Vuang Hfru Nhan</x:v>
      </x:c>
      <x:c r="J97" s="68" t="str">
        <x:v>Xa Phudc Long</x:v>
      </x:c>
      <x:c r="K97" s="68" t="str">
        <x:v>35.7</x:v>
      </x:c>
      <x:c r="L97" s="68" t="str">
        <x:v>40</x:v>
      </x:c>
      <x:c r="M97" s="68" t="str"/>
      <x:c r="N97" s="68" t="str"/>
      <x:c r="O97" s="68" t="str">
        <x:v>75.7</x:v>
      </x:c>
      <x:c r="P97" s="68" t="str"/>
    </x:row>
    <x:row r="98">
      <x:c r="A98" s="106" t="n">
        <x:v>4</x:v>
      </x:c>
      <x:c r="B98" s="106" t="str">
        <x:v>97</x:v>
      </x:c>
      <x:c r="C98" s="167" t="str">
        <x:f>"0953 1 1010033"</x:f>
        <x:v>0953 1 1010033</x:v>
      </x:c>
      <x:c r="D98" s="68" t="str">
        <x:v>LE YEN TRANG</x:v>
      </x:c>
      <x:c r="E98" s="68" t="str">
        <x:v>X</x:v>
      </x:c>
      <x:c r="F98" s="68" t="str">
        <x:v>13/12/2011</x:v>
      </x:c>
      <x:c r="G98" s="68" t="str">
        <x:v>Kinh</x:v>
      </x:c>
      <x:c r="H98" s="68" t="str">
        <x:v>XX Ninh Qudi</x:v>
      </x:c>
      <x:c r="I98" s="68" t="str">
        <x:v>THCS Vuong IIeu Nhan</x:v>
      </x:c>
      <x:c r="J98" s="68" t="str">
        <x:v>Xa Phu6c Long</x:v>
      </x:c>
      <x:c r="K98" s="68" t="str">
        <x:v>35.2</x:v>
      </x:c>
      <x:c r="L98" s="68" t="str">
        <x:v>40</x:v>
      </x:c>
      <x:c r="M98" s="68" t="str"/>
      <x:c r="N98" s="68" t="str">
        <x:v>0.5</x:v>
      </x:c>
      <x:c r="O98" s="68" t="str">
        <x:v>75.7</x:v>
      </x:c>
      <x:c r="P98" s="68" t="str"/>
    </x:row>
    <x:row r="99">
      <x:c r="A99" s="106" t="n">
        <x:v>4</x:v>
      </x:c>
      <x:c r="B99" s="106" t="str">
        <x:v>98</x:v>
      </x:c>
      <x:c r="C99" s="167" t="str">
        <x:f>"09531 1004424"</x:f>
        <x:v>09531 1004424</x:v>
      </x:c>
      <x:c r="D99" s="68" t="str">
        <x:v>NGUY£N FrUtNH THAO MY</x:v>
      </x:c>
      <x:c r="E99" s="68" t="str">
        <x:v>X</x:v>
      </x:c>
      <x:c r="F99" s="68" t="str">
        <x:v>06/08/201 1</x:v>
      </x:c>
      <x:c r="G99" s="68" t="str">
        <x:v>Kinh</x:v>
      </x:c>
      <x:c r="H99" s="68" t="str">
        <x:v>Xa Phu a Long</x:v>
      </x:c>
      <x:c r="I99" s="68" t="str">
        <x:v>THCS Phudc Long</x:v>
      </x:c>
      <x:c r="J99" s="68" t="str">
        <x:v>Xa Phudc Long</x:v>
      </x:c>
      <x:c r="K99" s="68" t="str">
        <x:v>35.6</x:v>
      </x:c>
      <x:c r="L99" s="68" t="str">
        <x:v>40</x:v>
      </x:c>
      <x:c r="M99" s="68" t="str"/>
      <x:c r="N99" s="68" t="str"/>
      <x:c r="O99" s="68" t="str">
        <x:v>75.6</x:v>
      </x:c>
      <x:c r="P99" s="68" t="str"/>
    </x:row>
    <x:row r="100">
      <x:c r="A100" s="106" t="n">
        <x:v>4</x:v>
      </x:c>
      <x:c r="B100" s="106" t="str">
        <x:v>99</x:v>
      </x:c>
      <x:c r="C100" s="167" t="str">
        <x:f>"079209013664"</x:f>
        <x:v>079209013664</x:v>
      </x:c>
      <x:c r="D100" s="68" t="str">
        <x:v>NGUYEN THANH TAI</x:v>
      </x:c>
      <x:c r="E100" s="68" t="str"/>
      <x:c r="F100" s="68" t="str">
        <x:v>24/1 1/2009</x:v>
      </x:c>
      <x:c r="G100" s="68" t="str">
        <x:v>Kinh</x:v>
      </x:c>
      <x:c r="H100" s="68" t="str">
        <x:v>Xi Phu6c Long</x:v>
      </x:c>
      <x:c r="I100" s="68" t="str">
        <x:v>THCS Phudc Long</x:v>
      </x:c>
      <x:c r="J100" s="68" t="str">
        <x:v>Xa Phudc Long</x:v>
      </x:c>
      <x:c r="K100" s="68" t="str">
        <x:v>35.6</x:v>
      </x:c>
      <x:c r="L100" s="68" t="str">
        <x:v>40</x:v>
      </x:c>
      <x:c r="M100" s="68" t="str"/>
      <x:c r="N100" s="68" t="str"/>
      <x:c r="O100" s="68" t="str">
        <x:v>75.6</x:v>
      </x:c>
      <x:c r="P100" s="68" t="str"/>
    </x:row>
    <x:row r="101">
      <x:c r="A101" s="106" t="n">
        <x:v>4</x:v>
      </x:c>
      <x:c r="B101" s="106" t="str">
        <x:v>100</x:v>
      </x:c>
      <x:c r="C101" s="167" t="str">
        <x:f>"09531 1008906"</x:f>
        <x:v>09531 1008906</x:v>
      </x:c>
      <x:c r="D101" s="68" t="str">
        <x:v>PRAM BiCH TRAM</x:v>
      </x:c>
      <x:c r="E101" s="68" t="str">
        <x:v>X</x:v>
      </x:c>
      <x:c r="F101" s="68" t="str">
        <x:v>14/01/201 1</x:v>
      </x:c>
      <x:c r="G101" s="68" t="str">
        <x:v>Kinh</x:v>
      </x:c>
      <x:c r="H101" s="68" t="str">
        <x:v>Xa Wmh Phudc</x:v>
      </x:c>
      <x:c r="I101" s="68" t="str">
        <x:v>THCS Vinh Pha Tay</x:v>
      </x:c>
      <x:c r="J101" s="68" t="str">
        <x:v>Xa VTnh Phu6c</x:v>
      </x:c>
      <x:c r="K101" s="68" t="str">
        <x:v>35.6</x:v>
      </x:c>
      <x:c r="L101" s="68" t="str">
        <x:v>40</x:v>
      </x:c>
      <x:c r="M101" s="68" t="str"/>
      <x:c r="N101" s="68" t="str"/>
      <x:c r="O101" s="68" t="str">
        <x:v>75.6</x:v>
      </x:c>
      <x:c r="P101" s="68" t="str"/>
    </x:row>
    <x:row r="102">
      <x:c r="A102" s="106" t="n">
        <x:v>4</x:v>
      </x:c>
      <x:c r="B102" s="106" t="str">
        <x:v>101</x:v>
      </x:c>
      <x:c r="C102" s="167" t="str">
        <x:f>"095211005812"</x:f>
        <x:v>095211005812</x:v>
      </x:c>
      <x:c r="D102" s="68" t="str">
        <x:v>Li HOANG LU'ONG</x:v>
      </x:c>
      <x:c r="E102" s="68" t="str"/>
      <x:c r="F102" s="68" t="str">
        <x:v>28/06/2011</x:v>
      </x:c>
      <x:c r="G102" s="68" t="str">
        <x:v>Kinh</x:v>
      </x:c>
      <x:c r="H102" s="68" t="str">
        <x:v>Xa H6ng Dan</x:v>
      </x:c>
      <x:c r="I102" s="68" t="str">
        <x:v>THCS Tnrang Wnh KV</x:v>
      </x:c>
      <x:c r="J102" s="68" t="str">
        <x:v>Xa H6ng Dan</x:v>
      </x:c>
      <x:c r="K102" s="68" t="str">
        <x:v>35.6</x:v>
      </x:c>
      <x:c r="L102" s="68" t="str">
        <x:v>40</x:v>
      </x:c>
      <x:c r="M102" s="68" t="str"/>
      <x:c r="N102" s="68" t="str"/>
      <x:c r="O102" s="68" t="str">
        <x:v>75.6</x:v>
      </x:c>
      <x:c r="P102" s="68" t="str"/>
    </x:row>
    <x:row r="103">
      <x:c r="A103" s="106" t="n">
        <x:v>4</x:v>
      </x:c>
      <x:c r="B103" s="106" t="str">
        <x:v>102</x:v>
      </x:c>
      <x:c r="C103" s="167" t="str">
        <x:f>"095211008507"</x:f>
        <x:v>095211008507</x:v>
      </x:c>
      <x:c r="D103" s="68" t="str">
        <x:v>TRAN PHU6C TUCJNG</x:v>
      </x:c>
      <x:c r="E103" s="68" t="str"/>
      <x:c r="F103" s="68" t="str">
        <x:v>05/09/2011</x:v>
      </x:c>
      <x:c r="G103" s="68" t="str">
        <x:v>Kinh</x:v>
      </x:c>
      <x:c r="H103" s="68" t="str">
        <x:v>Xa Phu6c Long</x:v>
      </x:c>
      <x:c r="I103" s="68" t="str">
        <x:v>THCS Phu a Long</x:v>
      </x:c>
      <x:c r="J103" s="68" t="str">
        <x:v>Xa Phudc Long</x:v>
      </x:c>
      <x:c r="K103" s="68" t="str">
        <x:v>35.5</x:v>
      </x:c>
      <x:c r="L103" s="68" t="str">
        <x:v>40</x:v>
      </x:c>
      <x:c r="M103" s="68" t="str"/>
      <x:c r="N103" s="68" t="str"/>
      <x:c r="O103" s="68" t="str">
        <x:v>75,5</x:v>
      </x:c>
      <x:c r="P103" s="68" t="str"/>
    </x:row>
    <x:row r="104">
      <x:c r="A104" s="106" t="n">
        <x:v>4</x:v>
      </x:c>
      <x:c r="B104" s="106" t="str">
        <x:v>103</x:v>
      </x:c>
      <x:c r="C104" s="167" t="str">
        <x:f>"0953 11001130"</x:f>
        <x:v>0953 11001130</x:v>
      </x:c>
      <x:c r="D104" s="68" t="str">
        <x:v>NGUY£N NGCC QUt</x:v>
      </x:c>
      <x:c r="E104" s="68" t="str">
        <x:v>X</x:v>
      </x:c>
      <x:c r="F104" s="68" t="str">
        <x:v>23/1 1/2011</x:v>
      </x:c>
      <x:c r="G104" s="68" t="str">
        <x:v>Kinh</x:v>
      </x:c>
      <x:c r="H104" s="68" t="str">
        <x:v>Xa VTnh Phu6c</x:v>
      </x:c>
      <x:c r="I104" s="68" t="str">
        <x:v>THCS Vinh Pha Tay</x:v>
      </x:c>
      <x:c r="J104" s="68" t="str">
        <x:v>Xa VTnh Phu6c</x:v>
      </x:c>
      <x:c r="K104" s="68" t="str">
        <x:v>35.5</x:v>
      </x:c>
      <x:c r="L104" s="68" t="str">
        <x:v>40</x:v>
      </x:c>
      <x:c r="M104" s="68" t="str"/>
      <x:c r="N104" s="68" t="str"/>
      <x:c r="O104" s="68" t="str">
        <x:v>75.5</x:v>
      </x:c>
      <x:c r="P104" s="68" t="str"/>
    </x:row>
    <x:row r="105">
      <x:c r="A105" s="106" t="n">
        <x:v>4</x:v>
      </x:c>
      <x:c r="B105" s="106" t="str">
        <x:v>104</x:v>
      </x:c>
      <x:c r="C105" s="167" t="str">
        <x:f>"095211005296"</x:f>
        <x:v>095211005296</x:v>
      </x:c>
      <x:c r="D105" s="68" t="str">
        <x:v>NGUYEN DANG KH61</x:v>
      </x:c>
      <x:c r="E105" s="68" t="str"/>
      <x:c r="F105" s="68" t="str">
        <x:v>11/12/2011</x:v>
      </x:c>
      <x:c r="G105" s="68" t="str">
        <x:v>Kinh</x:v>
      </x:c>
      <x:c r="H105" s="68" t="str">
        <x:v>Xa Phu6c Long</x:v>
      </x:c>
      <x:c r="I105" s="68" t="str">
        <x:v>THCS Phu6c Long</x:v>
      </x:c>
      <x:c r="J105" s="68" t="str">
        <x:v>Xa Phudc Long</x:v>
      </x:c>
      <x:c r="K105" s="68" t="str">
        <x:v>35.4</x:v>
      </x:c>
      <x:c r="L105" s="68" t="str">
        <x:v>40</x:v>
      </x:c>
      <x:c r="M105" s="68" t="str"/>
      <x:c r="N105" s="68" t="str"/>
      <x:c r="O105" s="68" t="str">
        <x:v>75,4</x:v>
      </x:c>
      <x:c r="P105" s="68" t="str"/>
    </x:row>
    <x:row r="106">
      <x:c r="A106" s="106" t="n">
        <x:v>4</x:v>
      </x:c>
      <x:c r="B106" s="106" t="str">
        <x:v>105</x:v>
      </x:c>
      <x:c r="C106" s="167" t="str">
        <x:f>"0953 1 1001208"</x:f>
        <x:v>0953 1 1001208</x:v>
      </x:c>
      <x:c r="D106" s="68" t="str">
        <x:v>NGO TO NGHI</x:v>
      </x:c>
      <x:c r="E106" s="68" t="str">
        <x:v>X</x:v>
      </x:c>
      <x:c r="F106" s="68" t="str">
        <x:v>30/09/201 1</x:v>
      </x:c>
      <x:c r="G106" s="68" t="str">
        <x:v>Kinh</x:v>
      </x:c>
      <x:c r="H106" s="68" t="str">
        <x:v>Xa Phu6c Long</x:v>
      </x:c>
      <x:c r="I106" s="68" t="str">
        <x:v>THCS Phu a Long</x:v>
      </x:c>
      <x:c r="J106" s="68" t="str">
        <x:v>Xa Phu6c Long</x:v>
      </x:c>
      <x:c r="K106" s="68" t="str">
        <x:v>35,4</x:v>
      </x:c>
      <x:c r="L106" s="68" t="str">
        <x:v>40</x:v>
      </x:c>
      <x:c r="M106" s="68" t="str"/>
      <x:c r="N106" s="68" t="str"/>
      <x:c r="O106" s="68" t="str">
        <x:v>75.4</x:v>
      </x:c>
      <x:c r="P106" s="68" t="str"/>
    </x:row>
    <x:row r="107">
      <x:c r="A107" s="106" t="n">
        <x:v>4</x:v>
      </x:c>
      <x:c r="B107" s="106" t="str">
        <x:v>106</x:v>
      </x:c>
      <x:c r="C107" s="167" t="str">
        <x:f>"09521 1007717"</x:f>
        <x:v>09521 1007717</x:v>
      </x:c>
      <x:c r="D107" s="68" t="str">
        <x:v>TRAN NHAT HAO</x:v>
      </x:c>
      <x:c r="E107" s="68" t="str"/>
      <x:c r="F107" s="68" t="str">
        <x:v>02/02/2011</x:v>
      </x:c>
      <x:c r="G107" s="68" t="str">
        <x:v>Kinh</x:v>
      </x:c>
      <x:c r="H107" s="68" t="str">
        <x:v>Xa VTnh Thanh</x:v>
      </x:c>
      <x:c r="I107" s="68" t="str">
        <x:v>THCS Hung Phd</x:v>
      </x:c>
      <x:c r="J107" s="68" t="str">
        <x:v>Xa Vrnh Thanh</x:v>
      </x:c>
      <x:c r="K107" s="68" t="str">
        <x:v>35.4</x:v>
      </x:c>
      <x:c r="L107" s="68" t="str">
        <x:v>40</x:v>
      </x:c>
      <x:c r="M107" s="68" t="str"/>
      <x:c r="N107" s="68" t="str"/>
      <x:c r="O107" s="68" t="str">
        <x:v>75.4</x:v>
      </x:c>
      <x:c r="P107" s="68" t="str"/>
    </x:row>
    <x:row r="108">
      <x:c r="A108" s="106" t="n">
        <x:v>4</x:v>
      </x:c>
      <x:c r="B108" s="106" t="str">
        <x:v>107</x:v>
      </x:c>
      <x:c r="C108" s="167" t="str">
        <x:f>"095211001466"</x:f>
        <x:v>095211001466</x:v>
      </x:c>
      <x:c r="D108" s="68" t="str">
        <x:v>PHAM TAN QUi</x:v>
      </x:c>
      <x:c r="E108" s="68" t="str"/>
      <x:c r="F108" s="68" t="str">
        <x:v>25/05/201 1</x:v>
      </x:c>
      <x:c r="G108" s="68" t="str">
        <x:v>Kinh</x:v>
      </x:c>
      <x:c r="H108" s="68" t="str">
        <x:v>Xa Wnh Thanh</x:v>
      </x:c>
      <x:c r="I108" s="68" t="str">
        <x:v>THCS Hung Phd</x:v>
      </x:c>
      <x:c r="J108" s="68" t="str">
        <x:v>Xa Vinh Thanh</x:v>
      </x:c>
      <x:c r="K108" s="68" t="str">
        <x:v>35.4</x:v>
      </x:c>
      <x:c r="L108" s="68" t="str">
        <x:v>40</x:v>
      </x:c>
      <x:c r="M108" s="68" t="str"/>
      <x:c r="N108" s="68" t="str"/>
      <x:c r="O108" s="68" t="str">
        <x:v>75.4</x:v>
      </x:c>
      <x:c r="P108" s="68" t="str"/>
    </x:row>
    <x:row r="109">
      <x:c r="A109" s="106" t="n">
        <x:v>4</x:v>
      </x:c>
      <x:c r="B109" s="106" t="str">
        <x:v>108</x:v>
      </x:c>
      <x:c r="C109" s="167" t="str">
        <x:f>"095211011076"</x:f>
        <x:v>095211011076</x:v>
      </x:c>
      <x:c r="D109" s="68" t="str">
        <x:v>TRUONG NHAT TAN</x:v>
      </x:c>
      <x:c r="E109" s="68" t="str"/>
      <x:c r="F109" s="68" t="str">
        <x:v>06/05/2011</x:v>
      </x:c>
      <x:c r="G109" s="68" t="str">
        <x:v>Kinh</x:v>
      </x:c>
      <x:c r="H109" s="68" t="str">
        <x:v>Xa VTnh Phu6c</x:v>
      </x:c>
      <x:c r="I109" s="68" t="str">
        <x:v>THCS VTnh Pha Tay</x:v>
      </x:c>
      <x:c r="J109" s="68" t="str">
        <x:v>Xa VTnh Phu6c</x:v>
      </x:c>
      <x:c r="K109" s="68" t="str">
        <x:v>35.3</x:v>
      </x:c>
      <x:c r="L109" s="68" t="str">
        <x:v>40</x:v>
      </x:c>
      <x:c r="M109" s="68" t="str"/>
      <x:c r="N109" s="68" t="str"/>
      <x:c r="O109" s="68" t="str">
        <x:v>75.3</x:v>
      </x:c>
      <x:c r="P109" s="68" t="str"/>
    </x:row>
    <x:row r="110">
      <x:c r="A110" s="106" t="n">
        <x:v>4</x:v>
      </x:c>
      <x:c r="B110" s="106" t="str">
        <x:v>109</x:v>
      </x:c>
      <x:c r="C110" s="167" t="str">
        <x:f>"09521 1003094"</x:f>
        <x:v>09521 1003094</x:v>
      </x:c>
      <x:c r="D110" s="68" t="str">
        <x:v>NGUY£N THANH NHAN</x:v>
      </x:c>
      <x:c r="E110" s="68" t="str"/>
      <x:c r="F110" s="68" t="str">
        <x:v>09/02/201 1</x:v>
      </x:c>
      <x:c r="G110" s="68" t="str">
        <x:v>Kinh</x:v>
      </x:c>
      <x:c r="H110" s="68" t="str">
        <x:v>Xa VTnh Thanh</x:v>
      </x:c>
      <x:c r="I110" s="68" t="str">
        <x:v>THCS Hung Phd</x:v>
      </x:c>
      <x:c r="J110" s="68" t="str">
        <x:v>Xa Vinh Thanh</x:v>
      </x:c>
      <x:c r="K110" s="68" t="str">
        <x:v>35.3</x:v>
      </x:c>
      <x:c r="L110" s="68" t="str">
        <x:v>40</x:v>
      </x:c>
      <x:c r="M110" s="68" t="str"/>
      <x:c r="N110" s="68" t="str"/>
      <x:c r="O110" s="68" t="str">
        <x:v>75.3</x:v>
      </x:c>
      <x:c r="P110" s="68" t="str"/>
    </x:row>
    <x:row r="111">
      <x:c r="A111" s="106" t="n">
        <x:v>4</x:v>
      </x:c>
      <x:c r="B111" s="106" t="str">
        <x:v>110</x:v>
      </x:c>
      <x:c r="C111" s="167" t="str">
        <x:f>"0953 1 1005710"</x:f>
        <x:v>0953 1 1005710</x:v>
      </x:c>
      <x:c r="D111" s="68" t="str">
        <x:v>DU'ONG THI cAT</x:v>
      </x:c>
      <x:c r="E111" s="68" t="str">
        <x:v>X</x:v>
      </x:c>
      <x:c r="F111" s="68" t="str">
        <x:v>03/07/201 1</x:v>
      </x:c>
      <x:c r="G111" s="68" t="str">
        <x:v>Kinh</x:v>
      </x:c>
      <x:c r="H111" s="68" t="str">
        <x:v>Xa VTnh Thanh</x:v>
      </x:c>
      <x:c r="I111" s="68" t="str">
        <x:v>THCS Hung Pha</x:v>
      </x:c>
      <x:c r="J111" s="68" t="str">
        <x:v>Xa Vmh Thanh</x:v>
      </x:c>
      <x:c r="K111" s="68" t="str">
        <x:v>35.3</x:v>
      </x:c>
      <x:c r="L111" s="68" t="str">
        <x:v>40</x:v>
      </x:c>
      <x:c r="M111" s="68" t="str"/>
      <x:c r="N111" s="68" t="str"/>
      <x:c r="O111" s="68" t="str">
        <x:v>75.3</x:v>
      </x:c>
      <x:c r="P111" s="68" t="str"/>
    </x:row>
    <x:row r="112">
      <x:c r="A112" s="106" t="n">
        <x:v>4</x:v>
      </x:c>
      <x:c r="B112" s="106" t="str">
        <x:v>111</x:v>
      </x:c>
      <x:c r="C112" s="167" t="str">
        <x:f>"095309003780"</x:f>
        <x:v>095309003780</x:v>
      </x:c>
      <x:c r="D112" s="68" t="str">
        <x:v>MAI THI THU THAO</x:v>
      </x:c>
      <x:c r="E112" s="68" t="str">
        <x:v>X</x:v>
      </x:c>
      <x:c r="F112" s="68" t="str">
        <x:v>27/10/2009</x:v>
      </x:c>
      <x:c r="G112" s="68" t="str">
        <x:v>Kinh</x:v>
      </x:c>
      <x:c r="H112" s="68" t="str">
        <x:v>Xa VTnh Thanh</x:v>
      </x:c>
      <x:c r="I112" s="68" t="str">
        <x:v>THCS Hung Phd</x:v>
      </x:c>
      <x:c r="J112" s="68" t="str">
        <x:v>Xa VTnh Thanh</x:v>
      </x:c>
      <x:c r="K112" s="68" t="str">
        <x:v>35.3</x:v>
      </x:c>
      <x:c r="L112" s="68" t="str">
        <x:v>40</x:v>
      </x:c>
      <x:c r="M112" s="68" t="str"/>
      <x:c r="N112" s="68" t="str"/>
      <x:c r="O112" s="68" t="str">
        <x:v>75.3</x:v>
      </x:c>
      <x:c r="P112" s="68" t="str"/>
    </x:row>
    <x:row r="113">
      <x:c r="A113" s="106" t="n">
        <x:v>4</x:v>
      </x:c>
      <x:c r="B113" s="106" t="str">
        <x:v>112</x:v>
      </x:c>
      <x:c r="C113" s="167" t="str">
        <x:f>"0953 1 1001074"</x:f>
        <x:v>0953 1 1001074</x:v>
      </x:c>
      <x:c r="D113" s="68" t="str">
        <x:v>L£ Btn TRLEU vv</x:v>
      </x:c>
      <x:c r="E113" s="68" t="str">
        <x:v>X</x:v>
      </x:c>
      <x:c r="F113" s="68" t="str">
        <x:v>21/05/20 1 1</x:v>
      </x:c>
      <x:c r="G113" s="68" t="str">
        <x:v>Kinh</x:v>
      </x:c>
      <x:c r="H113" s="68" t="str">
        <x:v>Xa Phu6c Long</x:v>
      </x:c>
      <x:c r="I113" s="68" t="str">
        <x:v>THCS Phu6c Long</x:v>
      </x:c>
      <x:c r="J113" s="68" t="str">
        <x:v>Xa Phu6c Long</x:v>
      </x:c>
      <x:c r="K113" s="68" t="str">
        <x:v>35.2</x:v>
      </x:c>
      <x:c r="L113" s="68" t="str">
        <x:v>40</x:v>
      </x:c>
      <x:c r="M113" s="68" t="str"/>
      <x:c r="N113" s="68" t="str"/>
      <x:c r="O113" s="68" t="str">
        <x:v>75.2</x:v>
      </x:c>
      <x:c r="P113" s="68" t="str"/>
    </x:row>
    <x:row r="114">
      <x:c r="A114" s="106" t="n">
        <x:v>4</x:v>
      </x:c>
      <x:c r="B114" s="106" t="str">
        <x:v>113</x:v>
      </x:c>
      <x:c r="C114" s="167" t="str">
        <x:f>"0953 1 1002996"</x:f>
        <x:v>0953 1 1002996</x:v>
      </x:c>
      <x:c r="D114" s="68" t="str">
        <x:v>NGUY£N THI NHU' V</x:v>
      </x:c>
      <x:c r="E114" s="68" t="str">
        <x:v>X</x:v>
      </x:c>
      <x:c r="F114" s="68" t="str">
        <x:v>06/01/201 1</x:v>
      </x:c>
      <x:c r="G114" s="68" t="str">
        <x:v>Kinh</x:v>
      </x:c>
      <x:c r="H114" s="68" t="str">
        <x:v>Xa Phu6c Long</x:v>
      </x:c>
      <x:c r="I114" s="68" t="str">
        <x:v>THCS Hung Phd</x:v>
      </x:c>
      <x:c r="J114" s="68" t="str">
        <x:v>Xa VTnh Thanh</x:v>
      </x:c>
      <x:c r="K114" s="68" t="str">
        <x:v>35.2</x:v>
      </x:c>
      <x:c r="L114" s="68" t="str">
        <x:v>40</x:v>
      </x:c>
      <x:c r="M114" s="68" t="str">
        <x:v>1</x:v>
      </x:c>
      <x:c r="N114" s="68" t="str">
        <x:v>1 1</x:v>
      </x:c>
      <x:c r="O114" s="68" t="str">
        <x:v>75.2</x:v>
      </x:c>
      <x:c r="P114" s="68" t="str"/>
    </x:row>
    <x:row r="115">
      <x:c r="A115" s="106" t="n">
        <x:v>4</x:v>
      </x:c>
      <x:c r="B115" s="106" t="str">
        <x:v>114</x:v>
      </x:c>
      <x:c r="C115" s="167" t="str">
        <x:f>"0953 1 1007239"</x:f>
        <x:v>0953 1 1007239</x:v>
      </x:c>
      <x:c r="D115" s="68" t="str">
        <x:v>TRAN THI KTM NGAN</x:v>
      </x:c>
      <x:c r="E115" s="68" t="str">
        <x:v>X</x:v>
      </x:c>
      <x:c r="F115" s="68" t="str">
        <x:v>03/1 1/2011</x:v>
      </x:c>
      <x:c r="G115" s="68" t="str">
        <x:v>Kinh</x:v>
      </x:c>
      <x:c r="H115" s="68" t="str">
        <x:v>Xa VTnh Thanh</x:v>
      </x:c>
      <x:c r="I115" s="68" t="str">
        <x:v>THCS Hung Pha</x:v>
      </x:c>
      <x:c r="J115" s="68" t="str">
        <x:v>Xa VTnh Thanh</x:v>
      </x:c>
      <x:c r="K115" s="68" t="str">
        <x:v>35.2</x:v>
      </x:c>
      <x:c r="L115" s="68" t="str">
        <x:v>40</x:v>
      </x:c>
      <x:c r="M115" s="68" t="str">
        <x:v>El=</x:v>
      </x:c>
      <x:c r="N115" s="68" t="str"/>
      <x:c r="O115" s="68" t="str">
        <x:v>75.2</x:v>
      </x:c>
      <x:c r="P115" s="68" t="str"/>
    </x:row>
    <x:row r="116">
      <x:c r="A116" s="106" t="n">
        <x:v>4</x:v>
      </x:c>
      <x:c r="B116" s="106" t="str">
        <x:v>115</x:v>
      </x:c>
      <x:c r="C116" s="167" t="str">
        <x:f>"0953 1 1003333"</x:f>
        <x:v>0953 1 1003333</x:v>
      </x:c>
      <x:c r="D116" s="68" t="str">
        <x:v>SON TEI s6c KHA</x:v>
      </x:c>
      <x:c r="E116" s="68" t="str">
        <x:v>X</x:v>
      </x:c>
      <x:c r="F116" s="68" t="str">
        <x:v>14/06/201 1</x:v>
      </x:c>
      <x:c r="G116" s="68" t="str">
        <x:v>Khmer</x:v>
      </x:c>
      <x:c r="H116" s="68" t="str">
        <x:v>Xa Vinh Phudc</x:v>
      </x:c>
      <x:c r="I116" s="68" t="str">
        <x:v>THCS VTnh Thanh</x:v>
      </x:c>
      <x:c r="J116" s="68" t="str">
        <x:v>Xa Vinh Thanh</x:v>
      </x:c>
      <x:c r="K116" s="68" t="str">
        <x:v>35.2</x:v>
      </x:c>
      <x:c r="L116" s="68" t="str">
        <x:v>39</x:v>
      </x:c>
      <x:c r="M116" s="68" t="str">
        <x:v>1 1.o I</x:v>
      </x:c>
      <x:c r="N116" s="68" t="str">
        <x:v>I</x:v>
      </x:c>
      <x:c r="O116" s="68" t="str">
        <x:v>75.2</x:v>
      </x:c>
      <x:c r="P116" s="68" t="str"/>
    </x:row>
    <x:row r="117">
      <x:c r="A117" s="106" t="n">
        <x:v>4</x:v>
      </x:c>
      <x:c r="B117" s="106" t="str">
        <x:v>116</x:v>
      </x:c>
      <x:c r="C117" s="167" t="str">
        <x:f>"096211001551"</x:f>
        <x:v>096211001551</x:v>
      </x:c>
      <x:c r="D117" s="68" t="str">
        <x:v>Btrl HOANG DaN</x:v>
      </x:c>
      <x:c r="E117" s="68" t="str"/>
      <x:c r="F117" s="68" t="str">
        <x:v>31/12/2011</x:v>
      </x:c>
      <x:c r="G117" s="68" t="str">
        <x:v>Kinh</x:v>
      </x:c>
      <x:c r="H117" s="68" t="str">
        <x:v>Xa VTnh Thanh</x:v>
      </x:c>
      <x:c r="I117" s="68" t="str">
        <x:v>THCS VTnh Thanh</x:v>
      </x:c>
      <x:c r="J117" s="68" t="str">
        <x:v>Xa VTnh Thanh</x:v>
      </x:c>
      <x:c r="K117" s="68" t="str">
        <x:v>35.2</x:v>
      </x:c>
      <x:c r="L117" s="68" t="str">
        <x:v>40</x:v>
      </x:c>
      <x:c r="M117" s="68" t="str"/>
      <x:c r="N117" s="68" t="str"/>
      <x:c r="O117" s="68" t="str">
        <x:v>' 75.2</x:v>
      </x:c>
      <x:c r="P117" s="68" t="str"/>
    </x:row>
    <x:row r="118">
      <x:c r="A118" s="106" t="n">
        <x:v>4</x:v>
      </x:c>
      <x:c r="B118" s="106" t="str">
        <x:v>117</x:v>
      </x:c>
      <x:c r="C118" s="167" t="str">
        <x:f>"09531 1000454"</x:f>
        <x:v>09531 1000454</x:v>
      </x:c>
      <x:c r="D118" s="68" t="str">
        <x:v>vO FIU%IH GIA HAN</x:v>
      </x:c>
      <x:c r="E118" s="68" t="str">
        <x:v>X</x:v>
      </x:c>
      <x:c r="F118" s="68" t="str">
        <x:v>10/08/201 1</x:v>
      </x:c>
      <x:c r="G118" s="68" t="str">
        <x:v>Kinh</x:v>
      </x:c>
      <x:c r="H118" s="68" t="str">
        <x:v>Xa Vinh Phu6c</x:v>
      </x:c>
      <x:c r="I118" s="68" t="str">
        <x:v>THCS Phudc Long</x:v>
      </x:c>
      <x:c r="J118" s="68" t="str">
        <x:v>Xa Phu6c Long</x:v>
      </x:c>
      <x:c r="K118" s="68" t="str">
        <x:v>1 35.1</x:v>
      </x:c>
      <x:c r="L118" s="68" t="str">
        <x:v>1 40</x:v>
      </x:c>
      <x:c r="M118" s="68" t="str">
        <x:v>[[</x:v>
      </x:c>
      <x:c r="N118" s="68" t="str"/>
      <x:c r="O118" s="68" t="str">
        <x:v>75.1</x:v>
      </x:c>
      <x:c r="P118" s="68" t="str"/>
    </x:row>
    <x:row r="119">
      <x:c r="A119" s="106" t="n">
        <x:v>4</x:v>
      </x:c>
      <x:c r="B119" s="106" t="str">
        <x:v>118</x:v>
      </x:c>
      <x:c r="C119" s="167" t="str">
        <x:f>"095211010074"</x:f>
        <x:v>095211010074</x:v>
      </x:c>
      <x:c r="D119" s="68" t="str">
        <x:v>TRAN PHAT DAT</x:v>
      </x:c>
      <x:c r="E119" s="68" t="str"/>
      <x:c r="F119" s="68" t="str">
        <x:v>05/03/2011</x:v>
      </x:c>
      <x:c r="G119" s="68" t="str">
        <x:v>Kinh</x:v>
      </x:c>
      <x:c r="H119" s="68" t="str">
        <x:v>Xa Wnh Thanh</x:v>
      </x:c>
      <x:c r="I119" s="68" t="str">
        <x:v>THCS Hung Phi</x:v>
      </x:c>
      <x:c r="J119" s="68" t="str">
        <x:v>Xa Vmh Thanh</x:v>
      </x:c>
      <x:c r="K119" s="68" t="str">
        <x:v>35.1</x:v>
      </x:c>
      <x:c r="L119" s="68" t="str">
        <x:v>40</x:v>
      </x:c>
      <x:c r="M119" s="68" t="str"/>
      <x:c r="N119" s="68" t="str"/>
      <x:c r="O119" s="68" t="str">
        <x:v>75.1</x:v>
      </x:c>
      <x:c r="P119" s="68" t="str"/>
    </x:row>
    <x:row r="120">
      <x:c r="A120" s="106" t="n">
        <x:v>4</x:v>
      </x:c>
      <x:c r="B120" s="106" t="str">
        <x:v>119</x:v>
      </x:c>
      <x:c r="C120" s="167" t="str">
        <x:f>"09521 1007234"</x:f>
        <x:v>09521 1007234</x:v>
      </x:c>
      <x:c r="D120" s="68" t="str">
        <x:v>KIM HOANG TRQNG NUAN</x:v>
      </x:c>
      <x:c r="E120" s="68" t="str"/>
      <x:c r="F120" s="68" t="str">
        <x:v>27/09/201 1</x:v>
      </x:c>
      <x:c r="G120" s="68" t="str">
        <x:v>Kinh</x:v>
      </x:c>
      <x:c r="H120" s="68" t="str">
        <x:v>Xa VTnh Tbanh</x:v>
      </x:c>
      <x:c r="I120" s="68" t="str">
        <x:v>THCS Hung Phd</x:v>
      </x:c>
      <x:c r="J120" s="68" t="str">
        <x:v>Xa Vinh Thanh</x:v>
      </x:c>
      <x:c r="K120" s="68" t="str">
        <x:v>35.1</x:v>
      </x:c>
      <x:c r="L120" s="68" t="str">
        <x:v>40</x:v>
      </x:c>
      <x:c r="M120" s="68" t="str"/>
      <x:c r="N120" s="68" t="str"/>
      <x:c r="O120" s="68" t="str">
        <x:v>75.1</x:v>
      </x:c>
      <x:c r="P120" s="68" t="str"/>
    </x:row>
    <x:row r="121">
      <x:c r="A121" s="106" t="n">
        <x:v>4</x:v>
      </x:c>
      <x:c r="B121" s="106" t="str">
        <x:v>120</x:v>
      </x:c>
      <x:c r="C121" s="167" t="str">
        <x:f>"095211009057"</x:f>
        <x:v>095211009057</x:v>
      </x:c>
      <x:c r="D121" s="68" t="str">
        <x:v>DUY GIA KHIBM</x:v>
      </x:c>
      <x:c r="E121" s="68" t="str"/>
      <x:c r="F121" s="68" t="str">
        <x:v>07/07/201 1</x:v>
      </x:c>
      <x:c r="G121" s="68" t="str">
        <x:v>Kinh</x:v>
      </x:c>
      <x:c r="H121" s="68" t="str">
        <x:v>Xa Phu6c Long</x:v>
      </x:c>
      <x:c r="I121" s="68" t="str">
        <x:v>THCS Vuang Htm Nhan</x:v>
      </x:c>
      <x:c r="J121" s="68" t="str">
        <x:v>Xa Phudc Long</x:v>
      </x:c>
      <x:c r="K121" s="68" t="str">
        <x:v>35.1</x:v>
      </x:c>
      <x:c r="L121" s="68" t="str">
        <x:v>1 40</x:v>
      </x:c>
      <x:c r="M121" s="68" t="str">
        <x:v>1</x:v>
      </x:c>
      <x:c r="N121" s="68" t="str">
        <x:v>1 1</x:v>
      </x:c>
      <x:c r="O121" s="68" t="str">
        <x:v>75.1</x:v>
      </x:c>
      <x:c r="P121" s="68" t="str"/>
    </x:row>
    <x:row r="122">
      <x:c r="A122" s="106" t="n">
        <x:v>4</x:v>
      </x:c>
      <x:c r="B122" s="106" t="str">
        <x:v>121</x:v>
      </x:c>
      <x:c r="C122" s="167" t="str">
        <x:f>"09531 1001107"</x:f>
        <x:v>09531 1001107</x:v>
      </x:c>
      <x:c r="D122" s="68" t="str">
        <x:v>L£ KHA AI</x:v>
      </x:c>
      <x:c r="E122" s="68" t="str">
        <x:v>X</x:v>
      </x:c>
      <x:c r="F122" s="68" t="str">
        <x:v>07/07/201 1</x:v>
      </x:c>
      <x:c r="G122" s="68" t="str">
        <x:v>Kinh</x:v>
      </x:c>
      <x:c r="H122" s="68" t="str">
        <x:v>Xa Phu6c Long</x:v>
      </x:c>
      <x:c r="I122" s="68" t="str">
        <x:v>THCS Phu6c Long</x:v>
      </x:c>
      <x:c r="J122" s="68" t="str">
        <x:v>Xa Phua Long</x:v>
      </x:c>
      <x:c r="K122" s="68" t="str">
        <x:v>35.0</x:v>
      </x:c>
      <x:c r="L122" s="68" t="str">
        <x:v>1 40</x:v>
      </x:c>
      <x:c r="M122" s="68" t="str">
        <x:v>1 1</x:v>
      </x:c>
      <x:c r="N122" s="68" t="str"/>
      <x:c r="O122" s="68" t="str">
        <x:v>75.0</x:v>
      </x:c>
      <x:c r="P122" s="68" t="str"/>
    </x:row>
    <x:row r="123">
      <x:c r="A123" s="106" t="n">
        <x:v>4</x:v>
      </x:c>
      <x:c r="B123" s="106" t="str">
        <x:v>122</x:v>
      </x:c>
      <x:c r="C123" s="167" t="str">
        <x:f>"09531 1002378"</x:f>
        <x:v>09531 1002378</x:v>
      </x:c>
      <x:c r="D123" s="68" t="str">
        <x:v>LE THI NGQC BiCH</x:v>
      </x:c>
      <x:c r="E123" s="68" t="str">
        <x:v>X</x:v>
      </x:c>
      <x:c r="F123" s="68" t="str">
        <x:v>09/04/2011</x:v>
      </x:c>
      <x:c r="G123" s="68" t="str">
        <x:v>Kinh</x:v>
      </x:c>
      <x:c r="H123" s="68" t="str">
        <x:v>Xa VTnh Thanh</x:v>
      </x:c>
      <x:c r="I123" s="68" t="str">
        <x:v>THCS Hung Phd</x:v>
      </x:c>
      <x:c r="J123" s="68" t="str">
        <x:v>Xa Vrnh Thanh</x:v>
      </x:c>
      <x:c r="K123" s="68" t="str">
        <x:v>35.5</x:v>
      </x:c>
      <x:c r="L123" s="68" t="str">
        <x:v>39</x:v>
      </x:c>
      <x:c r="M123" s="68" t="str"/>
      <x:c r="N123" s="68" t="str">
        <x:v>0.5</x:v>
      </x:c>
      <x:c r="O123" s="68" t="str">
        <x:v>75.0</x:v>
      </x:c>
      <x:c r="P123" s="68" t="str"/>
    </x:row>
    <x:row r="124">
      <x:c r="A124" s="106" t="n">
        <x:v>4</x:v>
      </x:c>
      <x:c r="B124" s="106" t="str">
        <x:v>123</x:v>
      </x:c>
      <x:c r="C124" s="167" t="str">
        <x:f>"095206008755"</x:f>
        <x:v>095206008755</x:v>
      </x:c>
      <x:c r="D124" s="68" t="str">
        <x:v>NGUy£N VIBT TRtJdNG</x:v>
      </x:c>
      <x:c r="E124" s="68" t="str"/>
      <x:c r="F124" s="68" t="str">
        <x:v>09/12/2006</x:v>
      </x:c>
      <x:c r="G124" s="68" t="str">
        <x:v>Kinh</x:v>
      </x:c>
      <x:c r="H124" s="68" t="str">
        <x:v>Xa VTnh Thanh</x:v>
      </x:c>
      <x:c r="I124" s="68" t="str">
        <x:v>THCS Hung Phd</x:v>
      </x:c>
      <x:c r="J124" s="68" t="str">
        <x:v>Xa VTnh Thanh I 1</x:v>
      </x:c>
      <x:c r="K124" s="68" t="str">
        <x:v>35.0 1</x:v>
      </x:c>
      <x:c r="L124" s="68" t="str">
        <x:v>40 40</x:v>
      </x:c>
      <x:c r="M124" s="68" t="str">
        <x:v>1 1</x:v>
      </x:c>
      <x:c r="N124" s="68" t="str"/>
      <x:c r="O124" s="68" t="str">
        <x:v>75.0</x:v>
      </x:c>
      <x:c r="P124" s="68" t="str"/>
    </x:row>
    <x:row r="125">
      <x:c r="A125" s="106" t="n">
        <x:v>4</x:v>
      </x:c>
      <x:c r="B125" s="106" t="str">
        <x:v>124</x:v>
      </x:c>
      <x:c r="C125" s="167" t="str">
        <x:f>"095211004011"</x:f>
        <x:v>095211004011</x:v>
      </x:c>
      <x:c r="D125" s="68" t="str">
        <x:v>TRAN HOAI NAM</x:v>
      </x:c>
      <x:c r="E125" s="68" t="str"/>
      <x:c r="F125" s="68" t="str">
        <x:v>24/06/2011</x:v>
      </x:c>
      <x:c r="G125" s="68" t="str">
        <x:v>Kinh</x:v>
      </x:c>
      <x:c r="H125" s="68" t="str">
        <x:v>Xa Phu6c Long</x:v>
      </x:c>
      <x:c r="I125" s="68" t="str">
        <x:v>THCS Vuang Html Nhan</x:v>
      </x:c>
      <x:c r="J125" s="68" t="str">
        <x:v>Xa Phu6c Long</x:v>
      </x:c>
      <x:c r="K125" s="68" t="str">
        <x:v>34.0</x:v>
      </x:c>
      <x:c r="L125" s="68" t="str">
        <x:v>40</x:v>
      </x:c>
      <x:c r="M125" s="68" t="str"/>
      <x:c r="N125" s="68" t="str">
        <x:v>1.0</x:v>
      </x:c>
      <x:c r="O125" s="68" t="str">
        <x:v>75.0</x:v>
      </x:c>
      <x:c r="P125" s="68" t="str"/>
    </x:row>
    <x:row r="126">
      <x:c r="A126" s="106" t="n">
        <x:v>4</x:v>
      </x:c>
      <x:c r="B126" s="106" t="str">
        <x:v>125</x:v>
      </x:c>
      <x:c r="C126" s="167" t="str">
        <x:f>"0953 1 1005382"</x:f>
        <x:v>0953 1 1005382</x:v>
      </x:c>
      <x:c r="D126" s="68" t="str">
        <x:v>LE MWH THU</x:v>
      </x:c>
      <x:c r="E126" s="68" t="str">
        <x:v>X</x:v>
      </x:c>
      <x:c r="F126" s="68" t="str">
        <x:v>28/04/201 1</x:v>
      </x:c>
      <x:c r="G126" s="68" t="str">
        <x:v>Kinh</x:v>
      </x:c>
      <x:c r="H126" s="68" t="str">
        <x:v>Xa Ninh Qua</x:v>
      </x:c>
      <x:c r="I126" s="68" t="str">
        <x:v>THCS Phu a Long</x:v>
      </x:c>
      <x:c r="J126" s="68" t="str">
        <x:v>Xa Phu6c Long</x:v>
      </x:c>
      <x:c r="K126" s="68" t="str">
        <x:v>34.9</x:v>
      </x:c>
      <x:c r="L126" s="68" t="str">
        <x:v>40</x:v>
      </x:c>
      <x:c r="M126" s="68" t="str"/>
      <x:c r="N126" s="68" t="str"/>
      <x:c r="O126" s="68" t="str">
        <x:v>74.9</x:v>
      </x:c>
      <x:c r="P126" s="68" t="str"/>
    </x:row>
    <x:row r="127">
      <x:c r="A127" s="106" t="n">
        <x:v>4</x:v>
      </x:c>
      <x:c r="B127" s="106" t="str">
        <x:v>126</x:v>
      </x:c>
      <x:c r="C127" s="167" t="str">
        <x:f>"09521 1002748"</x:f>
        <x:v>09521 1002748</x:v>
      </x:c>
      <x:c r="D127" s="68" t="str">
        <x:v>TRAN GLA HUY</x:v>
      </x:c>
      <x:c r="E127" s="68" t="str"/>
      <x:c r="F127" s="68" t="str">
        <x:v>04/08/2011</x:v>
      </x:c>
      <x:c r="G127" s="68" t="str">
        <x:v>Kinh</x:v>
      </x:c>
      <x:c r="H127" s="68" t="str">
        <x:v>Xa VTnh Thanh</x:v>
      </x:c>
      <x:c r="I127" s="68" t="str">
        <x:v>THCS Hung Phi</x:v>
      </x:c>
      <x:c r="J127" s="68" t="str">
        <x:v>Xa Vrnh Thanh 1</x:v>
      </x:c>
      <x:c r="K127" s="68" t="str">
        <x:v>34.9 1</x:v>
      </x:c>
      <x:c r="L127" s="68" t="str">
        <x:v>40 40</x:v>
      </x:c>
      <x:c r="M127" s="68" t="str">
        <x:v>1 1</x:v>
      </x:c>
      <x:c r="N127" s="68" t="str"/>
      <x:c r="O127" s="68" t="str">
        <x:v>74.9</x:v>
      </x:c>
      <x:c r="P127" s="68" t="str"/>
    </x:row>
    <x:row r="128">
      <x:c r="A128" s="106" t="n">
        <x:v>4</x:v>
      </x:c>
      <x:c r="B128" s="106" t="str">
        <x:v>127</x:v>
      </x:c>
      <x:c r="C128" s="167" t="str">
        <x:f>"0953 1 1003 101"</x:f>
        <x:v>0953 1 1003 101</x:v>
      </x:c>
      <x:c r="D128" s="68" t="str">
        <x:v>MAI THI NHa Y</x:v>
      </x:c>
      <x:c r="E128" s="68" t="str">
        <x:v>X</x:v>
      </x:c>
      <x:c r="F128" s="68" t="str">
        <x:v>05/03/201 1</x:v>
      </x:c>
      <x:c r="G128" s="68" t="str">
        <x:v>Kinh</x:v>
      </x:c>
      <x:c r="H128" s="68" t="str">
        <x:v>Xa Vlnh Thanh</x:v>
      </x:c>
      <x:c r="I128" s="68" t="str">
        <x:v>THCS Hung Phi</x:v>
      </x:c>
      <x:c r="J128" s="68" t="str">
        <x:v>Xa Vinh Thanh</x:v>
      </x:c>
      <x:c r="K128" s="68" t="str">
        <x:v>1 34.9</x:v>
      </x:c>
      <x:c r="L128" s="68" t="str">
        <x:v>1 40 40</x:v>
      </x:c>
      <x:c r="M128" s="68" t="str">
        <x:v>1 1</x:v>
      </x:c>
      <x:c r="N128" s="68" t="str"/>
      <x:c r="O128" s="68" t="str">
        <x:v>74.9</x:v>
      </x:c>
      <x:c r="P128" s="68" t="str"/>
    </x:row>
    <x:row r="129">
      <x:c r="A129" s="106" t="n">
        <x:v>4</x:v>
      </x:c>
      <x:c r="B129" s="106" t="str">
        <x:v>128</x:v>
      </x:c>
      <x:c r="C129" s="167" t="str">
        <x:f>"0953 1 1008821"</x:f>
        <x:v>0953 1 1008821</x:v>
      </x:c>
      <x:c r="D129" s="68" t="str">
        <x:v>PHAM KM LANH</x:v>
      </x:c>
      <x:c r="E129" s="68" t="str">
        <x:v>X</x:v>
      </x:c>
      <x:c r="F129" s="68" t="str">
        <x:v>23/09/201 1</x:v>
      </x:c>
      <x:c r="G129" s="68" t="str">
        <x:v>Kinh</x:v>
      </x:c>
      <x:c r="H129" s="68" t="str">
        <x:v>Xa Phu6c Long</x:v>
      </x:c>
      <x:c r="I129" s="68" t="str">
        <x:v>THCS PhMc Long</x:v>
      </x:c>
      <x:c r="J129" s="68" t="str">
        <x:v>Xa Phudc Long</x:v>
      </x:c>
      <x:c r="K129" s="68" t="str">
        <x:v>34.8 1</x:v>
      </x:c>
      <x:c r="L129" s="68" t="str">
        <x:v>40</x:v>
      </x:c>
      <x:c r="M129" s="68" t="str">
        <x:v>1 1</x:v>
      </x:c>
      <x:c r="N129" s="68" t="str">
        <x:v>1</x:v>
      </x:c>
      <x:c r="O129" s="68" t="str">
        <x:v>74.8 74.8</x:v>
      </x:c>
      <x:c r="P129" s="68" t="str"/>
    </x:row>
    <x:row r="130">
      <x:c r="A130" s="106" t="n">
        <x:v>4</x:v>
      </x:c>
      <x:c r="B130" s="106" t="str">
        <x:v>129</x:v>
      </x:c>
      <x:c r="C130" s="167" t="str">
        <x:f>"0953 1 1007 159"</x:f>
        <x:v>0953 1 1007 159</x:v>
      </x:c>
      <x:c r="D130" s="68" t="str">
        <x:v>NG6 THI KIM NGAN</x:v>
      </x:c>
      <x:c r="E130" s="68" t="str">
        <x:v>X</x:v>
      </x:c>
      <x:c r="F130" s="68" t="str">
        <x:v>12/05/2011</x:v>
      </x:c>
      <x:c r="G130" s="68" t="str">
        <x:v>Kinh</x:v>
      </x:c>
      <x:c r="H130" s="68" t="str">
        <x:v>Xa Vmh Thanh</x:v>
      </x:c>
      <x:c r="I130" s="68" t="str">
        <x:v>THCS Hung Phd</x:v>
      </x:c>
      <x:c r="J130" s="68" t="str">
        <x:v>Xa Vmh Thanh</x:v>
      </x:c>
      <x:c r="K130" s="68" t="str">
        <x:v>34.8</x:v>
      </x:c>
      <x:c r="L130" s="68" t="str">
        <x:v>40</x:v>
      </x:c>
      <x:c r="M130" s="68" t="str">
        <x:v>1</x:v>
      </x:c>
      <x:c r="N130" s="68" t="str">
        <x:v>1 1</x:v>
      </x:c>
      <x:c r="O130" s="68" t="str">
        <x:v>74.8</x:v>
      </x:c>
      <x:c r="P130" s="68" t="str"/>
    </x:row>
    <x:row r="131">
      <x:c r="A131" s="106" t="n">
        <x:v>4</x:v>
      </x:c>
      <x:c r="B131" s="106" t="str">
        <x:v>130</x:v>
      </x:c>
      <x:c r="C131" s="167" t="str">
        <x:f>"0953 1 1009608"</x:f>
        <x:v>0953 1 1009608</x:v>
      </x:c>
      <x:c r="D131" s="68" t="str">
        <x:v>NG6 NHA THY</x:v>
      </x:c>
      <x:c r="E131" s="68" t="str">
        <x:v>X</x:v>
      </x:c>
      <x:c r="F131" s="68" t="str">
        <x:v>28/02/201 1</x:v>
      </x:c>
      <x:c r="G131" s="68" t="str">
        <x:v>Kinh</x:v>
      </x:c>
      <x:c r="H131" s="68" t="str">
        <x:v>Xa Phu6c Long</x:v>
      </x:c>
      <x:c r="I131" s="68" t="str">
        <x:v>THCS Phudc Long</x:v>
      </x:c>
      <x:c r="J131" s="68" t="str">
        <x:v>Xa Phu6c Long</x:v>
      </x:c>
      <x:c r="K131" s="68" t="str">
        <x:v>34.7</x:v>
      </x:c>
      <x:c r="L131" s="68" t="str">
        <x:v>40</x:v>
      </x:c>
      <x:c r="M131" s="68" t="str"/>
      <x:c r="N131" s="68" t="str"/>
      <x:c r="O131" s="68" t="str">
        <x:v>74.7</x:v>
      </x:c>
      <x:c r="P131" s="68" t="str"/>
    </x:row>
    <x:row r="132">
      <x:c r="A132" s="106" t="n">
        <x:v>5</x:v>
      </x:c>
      <x:c r="B132" s="106" t="str">
        <x:v>131</x:v>
      </x:c>
      <x:c r="C132" s="167" t="str">
        <x:f>"095211009560"</x:f>
        <x:v>095211009560</x:v>
      </x:c>
      <x:c r="D132" s="68" t="str">
        <x:v>HUtNH GIA BAO</x:v>
      </x:c>
      <x:c r="E132" s="68" t="str"/>
      <x:c r="F132" s="68" t="str">
        <x:v>03/03/2011</x:v>
      </x:c>
      <x:c r="G132" s="68" t="str">
        <x:v>Kinh</x:v>
      </x:c>
      <x:c r="H132" s="68" t="str">
        <x:v>Xa Phudc Long</x:v>
      </x:c>
      <x:c r="I132" s="68" t="str">
        <x:v>THCS Hung Phd</x:v>
      </x:c>
      <x:c r="J132" s="68" t="str">
        <x:v>Xa VTnh Thanh</x:v>
      </x:c>
      <x:c r="K132" s="68" t="str">
        <x:v>34.7</x:v>
      </x:c>
      <x:c r="L132" s="68" t="str">
        <x:v>40</x:v>
      </x:c>
      <x:c r="M132" s="68" t="str"/>
      <x:c r="N132" s="68" t="str"/>
      <x:c r="O132" s="68" t="str">
        <x:v>74.7</x:v>
      </x:c>
      <x:c r="P132" s="68" t="str"/>
    </x:row>
    <x:row r="133">
      <x:c r="A133" s="106" t="n">
        <x:v>5</x:v>
      </x:c>
      <x:c r="B133" s="106" t="str">
        <x:v>132</x:v>
      </x:c>
      <x:c r="C133" s="167" t="str">
        <x:f>"0953 1 1009299"</x:f>
        <x:v>0953 1 1009299</x:v>
      </x:c>
      <x:c r="D133" s="68" t="str">
        <x:v>NGUY£N H6NG GAM</x:v>
      </x:c>
      <x:c r="E133" s="68" t="str">
        <x:v>X</x:v>
      </x:c>
      <x:c r="F133" s="68" t="str">
        <x:v>10/09/2011</x:v>
      </x:c>
      <x:c r="G133" s="68" t="str">
        <x:v>Kinh</x:v>
      </x:c>
      <x:c r="H133" s="68" t="str">
        <x:v>XaH6nm;</x:v>
      </x:c>
      <x:c r="I133" s="68" t="str">
        <x:v>THCS Tnrang Wnh KV</x:v>
      </x:c>
      <x:c r="J133" s="68" t="str">
        <x:v>Xa H6ng Dan</x:v>
      </x:c>
      <x:c r="K133" s="68" t="str">
        <x:v>34.7</x:v>
      </x:c>
      <x:c r="L133" s="68" t="str">
        <x:v>40</x:v>
      </x:c>
      <x:c r="M133" s="68" t="str"/>
      <x:c r="N133" s="68" t="str"/>
      <x:c r="O133" s="68" t="str">
        <x:v>74.7</x:v>
      </x:c>
      <x:c r="P133" s="68" t="str"/>
    </x:row>
    <x:row r="134">
      <x:c r="A134" s="106" t="n">
        <x:v>5</x:v>
      </x:c>
      <x:c r="B134" s="106" t="str">
        <x:v>133</x:v>
      </x:c>
      <x:c r="C134" s="167" t="str">
        <x:f>"0953 1 1007873"</x:f>
        <x:v>0953 1 1007873</x:v>
      </x:c>
      <x:c r="D134" s="68" t="str">
        <x:v>Bal NGQC HANH</x:v>
      </x:c>
      <x:c r="E134" s="68" t="str">
        <x:v>X</x:v>
      </x:c>
      <x:c r="F134" s="68" t="str">
        <x:v>06/11/2011</x:v>
      </x:c>
      <x:c r="G134" s="68" t="str">
        <x:v>Kinh</x:v>
      </x:c>
      <x:c r="H134" s="68" t="str">
        <x:v>Xa Phu6c Long</x:v>
      </x:c>
      <x:c r="I134" s="68" t="str">
        <x:v>THCS Vuobg Hau Nhon</x:v>
      </x:c>
      <x:c r="J134" s="68" t="str">
        <x:v>Xa Phu6c Long</x:v>
      </x:c>
      <x:c r="K134" s="68" t="str">
        <x:v>34.7</x:v>
      </x:c>
      <x:c r="L134" s="68" t="str">
        <x:v>40</x:v>
      </x:c>
      <x:c r="M134" s="68" t="str"/>
      <x:c r="N134" s="68" t="str"/>
      <x:c r="O134" s="68" t="str">
        <x:v>74.7</x:v>
      </x:c>
      <x:c r="P134" s="68" t="str"/>
    </x:row>
    <x:row r="135">
      <x:c r="A135" s="106" t="n">
        <x:v>5</x:v>
      </x:c>
      <x:c r="B135" s="106" t="str">
        <x:v>134</x:v>
      </x:c>
      <x:c r="C135" s="167" t="str">
        <x:f>"0953 1 1003664"</x:f>
        <x:v>0953 1 1003664</x:v>
      </x:c>
      <x:c r="D135" s="68" t="str">
        <x:v>NGUYBN PHUONG V</x:v>
      </x:c>
      <x:c r="E135" s="68" t="str">
        <x:v>X</x:v>
      </x:c>
      <x:c r="F135" s="68" t="str">
        <x:v>26/04/2011</x:v>
      </x:c>
      <x:c r="G135" s="68" t="str">
        <x:v>Kinh</x:v>
      </x:c>
      <x:c r="H135" s="68" t="str">
        <x:v>Xa Phu6c Long</x:v>
      </x:c>
      <x:c r="I135" s="68" t="str">
        <x:v>THCS Phu6c Long</x:v>
      </x:c>
      <x:c r="J135" s="68" t="str">
        <x:v>Xa Phu6c Long</x:v>
      </x:c>
      <x:c r="K135" s="68" t="str">
        <x:v>35.7</x:v>
      </x:c>
      <x:c r="L135" s="68" t="str">
        <x:v>39</x:v>
      </x:c>
      <x:c r="M135" s="68" t="str"/>
      <x:c r="N135" s="68" t="str"/>
      <x:c r="O135" s="68" t="str">
        <x:v>74.7</x:v>
      </x:c>
      <x:c r="P135" s="68" t="str"/>
    </x:row>
    <x:row r="136">
      <x:c r="A136" s="106" t="n">
        <x:v>5</x:v>
      </x:c>
      <x:c r="B136" s="106" t="str">
        <x:v>135</x:v>
      </x:c>
      <x:c r="C136" s="167" t="str">
        <x:f>"0953 1 1001892"</x:f>
        <x:v>0953 1 1001892</x:v>
      </x:c>
      <x:c r="D136" s="68" t="str">
        <x:v>NGUYeN DINH NHA MY</x:v>
      </x:c>
      <x:c r="E136" s="68" t="str">
        <x:v>X</x:v>
      </x:c>
      <x:c r="F136" s="68" t="str">
        <x:v>30/1 1/2011</x:v>
      </x:c>
      <x:c r="G136" s="68" t="str">
        <x:v>Kinh</x:v>
      </x:c>
      <x:c r="H136" s="68" t="str">
        <x:v>Xa Phu6c Long</x:v>
      </x:c>
      <x:c r="I136" s="68" t="str">
        <x:v>THCS Phu a Long</x:v>
      </x:c>
      <x:c r="J136" s="68" t="str">
        <x:v>Xa Phu6c Long</x:v>
      </x:c>
      <x:c r="K136" s="68" t="str">
        <x:v>34.6</x:v>
      </x:c>
      <x:c r="L136" s="68" t="str">
        <x:v>40</x:v>
      </x:c>
      <x:c r="M136" s="68" t="str"/>
      <x:c r="N136" s="68" t="str"/>
      <x:c r="O136" s="68" t="str">
        <x:v>74.6</x:v>
      </x:c>
      <x:c r="P136" s="68" t="str"/>
    </x:row>
    <x:row r="137">
      <x:c r="A137" s="106" t="n">
        <x:v>5</x:v>
      </x:c>
      <x:c r="B137" s="106" t="str">
        <x:v>136</x:v>
      </x:c>
      <x:c r="C137" s="167" t="str">
        <x:f>"0953 1 1005484"</x:f>
        <x:v>0953 1 1005484</x:v>
      </x:c>
      <x:c r="D137" s="68" t="str">
        <x:v>NGUY£N THI DaM TRANG</x:v>
      </x:c>
      <x:c r="E137" s="68" t="str">
        <x:v>X</x:v>
      </x:c>
      <x:c r="F137" s="68" t="str">
        <x:v>12/09/201 1</x:v>
      </x:c>
      <x:c r="G137" s="68" t="str">
        <x:v>Kinh</x:v>
      </x:c>
      <x:c r="H137" s="68" t="str">
        <x:v>Xa Phu6c Long</x:v>
      </x:c>
      <x:c r="I137" s="68" t="str">
        <x:v>THCS Phu a Long</x:v>
      </x:c>
      <x:c r="J137" s="68" t="str">
        <x:v>Xa Phu6c Long</x:v>
      </x:c>
      <x:c r="K137" s="68" t="str">
        <x:v>34.6</x:v>
      </x:c>
      <x:c r="L137" s="68" t="str">
        <x:v>40</x:v>
      </x:c>
      <x:c r="M137" s="68" t="str"/>
      <x:c r="N137" s="68" t="str"/>
      <x:c r="O137" s="68" t="str">
        <x:v>74.6</x:v>
      </x:c>
      <x:c r="P137" s="68" t="str"/>
    </x:row>
    <x:row r="138">
      <x:c r="A138" s="106" t="n">
        <x:v>5</x:v>
      </x:c>
      <x:c r="B138" s="106" t="str">
        <x:v>137</x:v>
      </x:c>
      <x:c r="C138" s="167" t="str">
        <x:f>"095311009947"</x:f>
        <x:v>095311009947</x:v>
      </x:c>
      <x:c r="D138" s="68" t="str">
        <x:v>TRAN GLA HAN</x:v>
      </x:c>
      <x:c r="E138" s="68" t="str">
        <x:v>X</x:v>
      </x:c>
      <x:c r="F138" s="68" t="str">
        <x:v>04/04/201 1</x:v>
      </x:c>
      <x:c r="G138" s="68" t="str">
        <x:v>Kinh</x:v>
      </x:c>
      <x:c r="H138" s="68" t="str">
        <x:v>Xa VTnh Phu a</x:v>
      </x:c>
      <x:c r="I138" s="68" t="str">
        <x:v>THCS Vinh Pha Tay</x:v>
      </x:c>
      <x:c r="J138" s="68" t="str">
        <x:v>Xg Vinh phudc</x:v>
      </x:c>
      <x:c r="K138" s="68" t="str">
        <x:v>34.6</x:v>
      </x:c>
      <x:c r="L138" s="68" t="str">
        <x:v>40</x:v>
      </x:c>
      <x:c r="M138" s="68" t="str"/>
      <x:c r="N138" s="68" t="str"/>
      <x:c r="O138" s="68" t="str">
        <x:v>74.6</x:v>
      </x:c>
      <x:c r="P138" s="68" t="str"/>
    </x:row>
    <x:row r="139">
      <x:c r="A139" s="106" t="n">
        <x:v>5</x:v>
      </x:c>
      <x:c r="B139" s="106" t="str">
        <x:v>138</x:v>
      </x:c>
      <x:c r="C139" s="167" t="str">
        <x:f>"0953 1 1009279"</x:f>
        <x:v>0953 1 1009279</x:v>
      </x:c>
      <x:c r="D139" s="68" t="str">
        <x:v>TRAN HUtNH TRaC THUY</x:v>
      </x:c>
      <x:c r="E139" s="68" t="str">
        <x:v>X</x:v>
      </x:c>
      <x:c r="F139" s="68" t="str">
        <x:v>31/08/2011</x:v>
      </x:c>
      <x:c r="G139" s="68" t="str">
        <x:v>Kinh</x:v>
      </x:c>
      <x:c r="H139" s="68" t="str">
        <x:v>Xa Phu6c Long</x:v>
      </x:c>
      <x:c r="I139" s="68" t="str">
        <x:v>THCS Phudc Long</x:v>
      </x:c>
      <x:c r="J139" s="68" t="str">
        <x:v>Xa Phu6c Long</x:v>
      </x:c>
      <x:c r="K139" s="68" t="str">
        <x:v>34.5</x:v>
      </x:c>
      <x:c r="L139" s="68" t="str">
        <x:v>40</x:v>
      </x:c>
      <x:c r="M139" s="68" t="str"/>
      <x:c r="N139" s="68" t="str"/>
      <x:c r="O139" s="68" t="str">
        <x:v>74.5</x:v>
      </x:c>
      <x:c r="P139" s="68" t="str"/>
    </x:row>
    <x:row r="140">
      <x:c r="A140" s="106" t="n">
        <x:v>5</x:v>
      </x:c>
      <x:c r="B140" s="106" t="str">
        <x:v>139</x:v>
      </x:c>
      <x:c r="C140" s="167" t="str">
        <x:f>"0953 1 1000457"</x:f>
        <x:v>0953 1 1000457</x:v>
      </x:c>
      <x:c r="D140" s="68" t="str">
        <x:v>NGUYeN NGQC MAI</x:v>
      </x:c>
      <x:c r="E140" s="68" t="str">
        <x:v>X</x:v>
      </x:c>
      <x:c r="F140" s="68" t="str">
        <x:v>27/1 1/2011</x:v>
      </x:c>
      <x:c r="G140" s="68" t="str">
        <x:v>Kinh</x:v>
      </x:c>
      <x:c r="H140" s="68" t="str">
        <x:v>Xa Phu a Long</x:v>
      </x:c>
      <x:c r="I140" s="68" t="str">
        <x:v>THCS Phudc Long</x:v>
      </x:c>
      <x:c r="J140" s="68" t="str">
        <x:v>Xa Phu6c Long</x:v>
      </x:c>
      <x:c r="K140" s="68" t="str">
        <x:v>34.5</x:v>
      </x:c>
      <x:c r="L140" s="68" t="str">
        <x:v>40</x:v>
      </x:c>
      <x:c r="M140" s="68" t="str"/>
      <x:c r="N140" s="68" t="str"/>
      <x:c r="O140" s="68" t="str">
        <x:v>74.5</x:v>
      </x:c>
      <x:c r="P140" s="68" t="str"/>
    </x:row>
    <x:row r="141">
      <x:c r="A141" s="106" t="n">
        <x:v>5</x:v>
      </x:c>
      <x:c r="B141" s="106" t="str">
        <x:v>140</x:v>
      </x:c>
      <x:c r="C141" s="167" t="str">
        <x:f>"0953 1 1000935"</x:f>
        <x:v>0953 1 1000935</x:v>
      </x:c>
      <x:c r="D141" s="68" t="str">
        <x:v>TRANG nUtNH NHU V</x:v>
      </x:c>
      <x:c r="E141" s="68" t="str">
        <x:v>X</x:v>
      </x:c>
      <x:c r="F141" s="68" t="str">
        <x:v>10/09/201 1</x:v>
      </x:c>
      <x:c r="G141" s="68" t="str">
        <x:v>Kinh</x:v>
      </x:c>
      <x:c r="H141" s="68" t="str">
        <x:v>Xa Phudc Long</x:v>
      </x:c>
      <x:c r="I141" s="68" t="str">
        <x:v>THCS Phudc Long</x:v>
      </x:c>
      <x:c r="J141" s="68" t="str">
        <x:v>Xa Phu6c Long</x:v>
      </x:c>
      <x:c r="K141" s="68" t="str">
        <x:v>34.5</x:v>
      </x:c>
      <x:c r="L141" s="68" t="str">
        <x:v>40</x:v>
      </x:c>
      <x:c r="M141" s="68" t="str"/>
      <x:c r="N141" s="68" t="str"/>
      <x:c r="O141" s="68" t="str">
        <x:v>74.5</x:v>
      </x:c>
      <x:c r="P141" s="68" t="str"/>
    </x:row>
    <x:row r="142">
      <x:c r="A142" s="106" t="n">
        <x:v>5</x:v>
      </x:c>
      <x:c r="B142" s="106" t="str">
        <x:v>141</x:v>
      </x:c>
      <x:c r="C142" s="167" t="str">
        <x:f>"0953 1 1005787"</x:f>
        <x:v>0953 1 1005787</x:v>
      </x:c>
      <x:c r="D142" s="68" t="str">
        <x:v>LE THI KIM NGAN</x:v>
      </x:c>
      <x:c r="E142" s="68" t="str">
        <x:v>X</x:v>
      </x:c>
      <x:c r="F142" s="68" t="str">
        <x:v>03/10/201 1</x:v>
      </x:c>
      <x:c r="G142" s="68" t="str">
        <x:v>Kinh</x:v>
      </x:c>
      <x:c r="H142" s="68" t="str">
        <x:v>Xa Phudc Long</x:v>
      </x:c>
      <x:c r="I142" s="68" t="str">
        <x:v>THCS PhMc Long</x:v>
      </x:c>
      <x:c r="J142" s="68" t="str">
        <x:v>Xa Phu6c Long</x:v>
      </x:c>
      <x:c r="K142" s="68" t="str">
        <x:v>34.5</x:v>
      </x:c>
      <x:c r="L142" s="68" t="str">
        <x:v>40</x:v>
      </x:c>
      <x:c r="M142" s="68" t="str"/>
      <x:c r="N142" s="68" t="str"/>
      <x:c r="O142" s="68" t="str">
        <x:v>74.5</x:v>
      </x:c>
      <x:c r="P142" s="68" t="str"/>
    </x:row>
    <x:row r="143">
      <x:c r="A143" s="106" t="n">
        <x:v>5</x:v>
      </x:c>
      <x:c r="B143" s="106" t="str">
        <x:v>142</x:v>
      </x:c>
      <x:c r="C143" s="167" t="str">
        <x:f>"095211000484"</x:f>
        <x:v>095211000484</x:v>
      </x:c>
      <x:c r="D143" s="68" t="str">
        <x:v>Li HAI LONG</x:v>
      </x:c>
      <x:c r="E143" s="68" t="str"/>
      <x:c r="F143" s="68" t="str">
        <x:v>12/04/201 1</x:v>
      </x:c>
      <x:c r="G143" s="68" t="str">
        <x:v>Kinh</x:v>
      </x:c>
      <x:c r="H143" s="68" t="str">
        <x:v>Xa VTnh Thanh</x:v>
      </x:c>
      <x:c r="I143" s="68" t="str">
        <x:v>THCS Hung Phi</x:v>
      </x:c>
      <x:c r="J143" s="68" t="str">
        <x:v>Xa Vinh Thanh</x:v>
      </x:c>
      <x:c r="K143" s="68" t="str">
        <x:v>34.5</x:v>
      </x:c>
      <x:c r="L143" s="68" t="str">
        <x:v>40</x:v>
      </x:c>
      <x:c r="M143" s="68" t="str"/>
      <x:c r="N143" s="68" t="str"/>
      <x:c r="O143" s="68" t="str">
        <x:v>74.5</x:v>
      </x:c>
      <x:c r="P143" s="68" t="str"/>
    </x:row>
    <x:row r="144">
      <x:c r="A144" s="106" t="n">
        <x:v>5</x:v>
      </x:c>
      <x:c r="B144" s="106" t="str">
        <x:v>143</x:v>
      </x:c>
      <x:c r="C144" s="167" t="str">
        <x:f>"095311005976"</x:f>
        <x:v>095311005976</x:v>
      </x:c>
      <x:c r="D144" s="68" t="str">
        <x:v>Hd PHUONG THI</x:v>
      </x:c>
      <x:c r="E144" s="68" t="str">
        <x:v>X</x:v>
      </x:c>
      <x:c r="F144" s="68" t="str">
        <x:v>29/08/2011</x:v>
      </x:c>
      <x:c r="G144" s="68" t="str">
        <x:v>Kinh</x:v>
      </x:c>
      <x:c r="H144" s="68" t="str">
        <x:v>Xa Phu6c Long</x:v>
      </x:c>
      <x:c r="I144" s="68" t="str">
        <x:v>THCS Phudc Long</x:v>
      </x:c>
      <x:c r="J144" s="68" t="str">
        <x:v>Xa Phudc Long</x:v>
      </x:c>
      <x:c r="K144" s="68" t="str">
        <x:v>34.4</x:v>
      </x:c>
      <x:c r="L144" s="68" t="str">
        <x:v>40</x:v>
      </x:c>
      <x:c r="M144" s="68" t="str"/>
      <x:c r="N144" s="68" t="str"/>
      <x:c r="O144" s="68" t="str">
        <x:v>74.4</x:v>
      </x:c>
      <x:c r="P144" s="68" t="str"/>
    </x:row>
    <x:row r="145">
      <x:c r="A145" s="106" t="n">
        <x:v>5</x:v>
      </x:c>
      <x:c r="B145" s="106" t="str">
        <x:v>144</x:v>
      </x:c>
      <x:c r="C145" s="167" t="str">
        <x:f>"095211009506"</x:f>
        <x:v>095211009506</x:v>
      </x:c>
      <x:c r="D145" s="68" t="str">
        <x:v>T6 CHi HUNG</x:v>
      </x:c>
      <x:c r="E145" s="68" t="str"/>
      <x:c r="F145" s="68" t="str">
        <x:v>11/01/2011</x:v>
      </x:c>
      <x:c r="G145" s="68" t="str">
        <x:v>Kinh</x:v>
      </x:c>
      <x:c r="H145" s="68" t="str">
        <x:v>Xa Phu M Long</x:v>
      </x:c>
      <x:c r="I145" s="68" t="str">
        <x:v>THCS Phu6c Long</x:v>
      </x:c>
      <x:c r="J145" s="68" t="str">
        <x:v>Xa Phu6c Long</x:v>
      </x:c>
      <x:c r="K145" s="68" t="str">
        <x:v>34.4</x:v>
      </x:c>
      <x:c r="L145" s="68" t="str">
        <x:v>40</x:v>
      </x:c>
      <x:c r="M145" s="68" t="str"/>
      <x:c r="N145" s="68" t="str"/>
      <x:c r="O145" s="68" t="str">
        <x:v>74.4</x:v>
      </x:c>
      <x:c r="P145" s="68" t="str"/>
    </x:row>
    <x:row r="146">
      <x:c r="A146" s="106" t="n">
        <x:v>5</x:v>
      </x:c>
      <x:c r="B146" s="106" t="str">
        <x:v>145</x:v>
      </x:c>
      <x:c r="C146" s="167" t="str">
        <x:f>"095311008701"</x:f>
        <x:v>095311008701</x:v>
      </x:c>
      <x:c r="D146" s="68" t="str">
        <x:v>NGUY£N vAN ANH</x:v>
      </x:c>
      <x:c r="E146" s="68" t="str">
        <x:v>X</x:v>
      </x:c>
      <x:c r="F146" s="68" t="str">
        <x:v>24/10/2011</x:v>
      </x:c>
      <x:c r="G146" s="68" t="str">
        <x:v>Khmer</x:v>
      </x:c>
      <x:c r="H146" s="68" t="str">
        <x:v>Xa Phu6c Long</x:v>
      </x:c>
      <x:c r="I146" s="68" t="str">
        <x:v>THCS Phu6c Long</x:v>
      </x:c>
      <x:c r="J146" s="68" t="str">
        <x:v>Xa Phu6c Long</x:v>
      </x:c>
      <x:c r="K146" s="68" t="str">
        <x:v>34.4</x:v>
      </x:c>
      <x:c r="L146" s="68" t="str">
        <x:v>39</x:v>
      </x:c>
      <x:c r="M146" s="68" t="str">
        <x:v>1.0</x:v>
      </x:c>
      <x:c r="N146" s="68" t="str"/>
      <x:c r="O146" s="68" t="str">
        <x:v>74.4</x:v>
      </x:c>
      <x:c r="P146" s="68" t="str"/>
    </x:row>
    <x:row r="147">
      <x:c r="A147" s="106" t="n">
        <x:v>5</x:v>
      </x:c>
      <x:c r="B147" s="106" t="str">
        <x:v>146</x:v>
      </x:c>
      <x:c r="C147" s="167" t="str">
        <x:f>"09521 1004170"</x:f>
        <x:v>09521 1004170</x:v>
      </x:c>
      <x:c r="D147" s="68" t="str">
        <x:v>TRAN TRQNG NUAN</x:v>
      </x:c>
      <x:c r="E147" s="68" t="str"/>
      <x:c r="F147" s="68" t="str">
        <x:v>10/07/2011</x:v>
      </x:c>
      <x:c r="G147" s="68" t="str">
        <x:v>Kinh</x:v>
      </x:c>
      <x:c r="H147" s="68" t="str">
        <x:v>Xa VTnh Thanh</x:v>
      </x:c>
      <x:c r="I147" s="68" t="str">
        <x:v>THCS VTnh Thanh</x:v>
      </x:c>
      <x:c r="J147" s="68" t="str">
        <x:v>Xa VTnh Thanh</x:v>
      </x:c>
      <x:c r="K147" s="68" t="str">
        <x:v>34.4</x:v>
      </x:c>
      <x:c r="L147" s="68" t="str">
        <x:v>39</x:v>
      </x:c>
      <x:c r="M147" s="68" t="str"/>
      <x:c r="N147" s="68" t="str">
        <x:v>1.0</x:v>
      </x:c>
      <x:c r="O147" s="68" t="str">
        <x:v>74.4</x:v>
      </x:c>
      <x:c r="P147" s="68" t="str"/>
    </x:row>
    <x:row r="148">
      <x:c r="A148" s="106" t="n">
        <x:v>5</x:v>
      </x:c>
      <x:c r="B148" s="106" t="str">
        <x:v>147</x:v>
      </x:c>
      <x:c r="C148" s="167" t="str">
        <x:f>"095211001643"</x:f>
        <x:v>095211001643</x:v>
      </x:c>
      <x:c r="D148" s="68" t="str">
        <x:v>NGUY£N HOANG ANH TUAN</x:v>
      </x:c>
      <x:c r="E148" s="68" t="str"/>
      <x:c r="F148" s="68" t="str">
        <x:v>26/07/201 1</x:v>
      </x:c>
      <x:c r="G148" s="68" t="str">
        <x:v>Kinh</x:v>
      </x:c>
      <x:c r="H148" s="68" t="str">
        <x:v>Xa Phu6c Long</x:v>
      </x:c>
      <x:c r="I148" s="68" t="str">
        <x:v>THCS Phu6c Long</x:v>
      </x:c>
      <x:c r="J148" s="68" t="str">
        <x:v>Xa Phu a Long</x:v>
      </x:c>
      <x:c r="K148" s="68" t="str">
        <x:v>35.3</x:v>
      </x:c>
      <x:c r="L148" s="68" t="str">
        <x:v>39</x:v>
      </x:c>
      <x:c r="M148" s="68" t="str"/>
      <x:c r="N148" s="68" t="str"/>
      <x:c r="O148" s="68" t="str">
        <x:v>74.3</x:v>
      </x:c>
      <x:c r="P148" s="68" t="str"/>
    </x:row>
    <x:row r="149">
      <x:c r="A149" s="106" t="n">
        <x:v>5</x:v>
      </x:c>
      <x:c r="B149" s="106" t="str">
        <x:v>148</x:v>
      </x:c>
      <x:c r="C149" s="167" t="str">
        <x:f>"09531 1009120"</x:f>
        <x:v>09531 1009120</x:v>
      </x:c>
      <x:c r="D149" s="68" t="str">
        <x:v>DUONG Y£N NHI</x:v>
      </x:c>
      <x:c r="E149" s="68" t="str">
        <x:v>X</x:v>
      </x:c>
      <x:c r="F149" s="68" t="str">
        <x:v>13/04/201 1</x:v>
      </x:c>
      <x:c r="G149" s="68" t="str">
        <x:v>Kinh</x:v>
      </x:c>
      <x:c r="H149" s="68" t="str">
        <x:v>Xa H6ng Dan</x:v>
      </x:c>
      <x:c r="I149" s="68" t="str">
        <x:v>THCS Nguy6n Du</x:v>
      </x:c>
      <x:c r="J149" s="68" t="str">
        <x:v>Xa.H6ng Dan</x:v>
      </x:c>
      <x:c r="K149" s="68" t="str">
        <x:v>34.3</x:v>
      </x:c>
      <x:c r="L149" s="68" t="str">
        <x:v>40</x:v>
      </x:c>
      <x:c r="M149" s="68" t="str"/>
      <x:c r="N149" s="68" t="str"/>
      <x:c r="O149" s="68" t="str">
        <x:v>74.3</x:v>
      </x:c>
      <x:c r="P149" s="68" t="str"/>
    </x:row>
    <x:row r="150">
      <x:c r="A150" s="106" t="n">
        <x:v>5</x:v>
      </x:c>
      <x:c r="B150" s="106" t="str">
        <x:v>149</x:v>
      </x:c>
      <x:c r="C150" s="167" t="str">
        <x:f>"09521 1003747"</x:f>
        <x:v>09521 1003747</x:v>
      </x:c>
      <x:c r="D150" s="68" t="str">
        <x:v>HutNH KH61 NGUYEN</x:v>
      </x:c>
      <x:c r="E150" s="68" t="str"/>
      <x:c r="F150" s="68" t="str">
        <x:v>09/03/2011</x:v>
      </x:c>
      <x:c r="G150" s="68" t="str">
        <x:v>Kinh</x:v>
      </x:c>
      <x:c r="H150" s="68" t="str">
        <x:v>Xa Phudc Long</x:v>
      </x:c>
      <x:c r="I150" s="68" t="str">
        <x:v>THCS Phudc Long</x:v>
      </x:c>
      <x:c r="J150" s="68" t="str">
        <x:v>Xa Phu6c Long</x:v>
      </x:c>
      <x:c r="K150" s="68" t="str">
        <x:v>34.2</x:v>
      </x:c>
      <x:c r="L150" s="68" t="str">
        <x:v>40</x:v>
      </x:c>
      <x:c r="M150" s="68" t="str"/>
      <x:c r="N150" s="68" t="str"/>
      <x:c r="O150" s="68" t="str">
        <x:v>74.2</x:v>
      </x:c>
      <x:c r="P150" s="68" t="str"/>
    </x:row>
    <x:row r="151">
      <x:c r="A151" s="106" t="n">
        <x:v>5</x:v>
      </x:c>
      <x:c r="B151" s="106" t="str">
        <x:v>150</x:v>
      </x:c>
      <x:c r="C151" s="167" t="str">
        <x:f>"0953 1 1003341"</x:f>
        <x:v>0953 1 1003341</x:v>
      </x:c>
      <x:c r="D151" s="68" t="str">
        <x:v>DANG THI HUYEN TRAN</x:v>
      </x:c>
      <x:c r="E151" s="68" t="str">
        <x:v>X</x:v>
      </x:c>
      <x:c r="F151" s="68" t="str">
        <x:v>19/04/2011</x:v>
      </x:c>
      <x:c r="G151" s="68" t="str">
        <x:v>KirTh</x:v>
      </x:c>
      <x:c r="H151" s="68" t="str">
        <x:v>Xg Vinh Thanh</x:v>
      </x:c>
      <x:c r="I151" s="68" t="str">
        <x:v>THCS Hung Phi</x:v>
      </x:c>
      <x:c r="J151" s="68" t="str">
        <x:v>Xa Vinh Thanh</x:v>
      </x:c>
      <x:c r="K151" s="68" t="str">
        <x:v>35.2</x:v>
      </x:c>
      <x:c r="L151" s="68" t="str">
        <x:v>39</x:v>
      </x:c>
      <x:c r="M151" s="68" t="str"/>
      <x:c r="N151" s="68" t="str"/>
      <x:c r="O151" s="68" t="str">
        <x:v>74.2</x:v>
      </x:c>
      <x:c r="P151" s="68" t="str"/>
    </x:row>
    <x:row r="152">
      <x:c r="A152" s="106" t="n">
        <x:v>5</x:v>
      </x:c>
      <x:c r="B152" s="106" t="str">
        <x:v>151</x:v>
      </x:c>
      <x:c r="C152" s="167" t="str">
        <x:f>"0953 1 1007559"</x:f>
        <x:v>0953 1 1007559</x:v>
      </x:c>
      <x:c r="D152" s="68" t="str">
        <x:v>va THI NHU QutNH</x:v>
      </x:c>
      <x:c r="E152" s="68" t="str">
        <x:v>X</x:v>
      </x:c>
      <x:c r="F152" s="68" t="str">
        <x:v>08/10/2011</x:v>
      </x:c>
      <x:c r="G152" s="68" t="str">
        <x:v>Kinh</x:v>
      </x:c>
      <x:c r="H152" s="68" t="str">
        <x:v>Xa Vinh Thanh</x:v>
      </x:c>
      <x:c r="I152" s="68" t="str">
        <x:v>THCS Hung Pha</x:v>
      </x:c>
      <x:c r="J152" s="68" t="str">
        <x:v>Xa Vinh Thanh</x:v>
      </x:c>
      <x:c r="K152" s="68" t="str">
        <x:v>34.7</x:v>
      </x:c>
      <x:c r="L152" s="68" t="str">
        <x:v>39</x:v>
      </x:c>
      <x:c r="M152" s="68" t="str"/>
      <x:c r="N152" s="68" t="str">
        <x:v>0.5</x:v>
      </x:c>
      <x:c r="O152" s="68" t="str">
        <x:v>74.2</x:v>
      </x:c>
      <x:c r="P152" s="68" t="str"/>
    </x:row>
    <x:row r="153">
      <x:c r="A153" s="106" t="n">
        <x:v>5</x:v>
      </x:c>
      <x:c r="B153" s="106" t="str">
        <x:v>152</x:v>
      </x:c>
      <x:c r="C153" s="167" t="str">
        <x:f>"09521 1002953"</x:f>
        <x:v>09521 1002953</x:v>
      </x:c>
      <x:c r="D153" s="68" t="str">
        <x:v>TRAN QU6C HUY</x:v>
      </x:c>
      <x:c r="E153" s="68" t="str"/>
      <x:c r="F153" s="68" t="str">
        <x:v>02/12/201 1</x:v>
      </x:c>
      <x:c r="G153" s="68" t="str">
        <x:v>Kinh</x:v>
      </x:c>
      <x:c r="H153" s="68" t="str">
        <x:v>Xa Phu6c Long</x:v>
      </x:c>
      <x:c r="I153" s="68" t="str">
        <x:v>THCS Vuang Htru Nhan</x:v>
      </x:c>
      <x:c r="J153" s="68" t="str">
        <x:v>Xa Phu6c Long</x:v>
      </x:c>
      <x:c r="K153" s="68" t="str">
        <x:v>34,2</x:v>
      </x:c>
      <x:c r="L153" s="68" t="str">
        <x:v>40</x:v>
      </x:c>
      <x:c r="M153" s="68" t="str"/>
      <x:c r="N153" s="68" t="str"/>
      <x:c r="O153" s="68" t="str">
        <x:v>74.2</x:v>
      </x:c>
      <x:c r="P153" s="68" t="str"/>
    </x:row>
    <x:row r="154">
      <x:c r="A154" s="106" t="n">
        <x:v>5</x:v>
      </x:c>
      <x:c r="B154" s="106" t="str">
        <x:v>153</x:v>
      </x:c>
      <x:c r="C154" s="167" t="str">
        <x:f>"09521 1009587"</x:f>
        <x:v>09521 1009587</x:v>
      </x:c>
      <x:c r="D154" s="68" t="str">
        <x:v>NGUY£N HOANG PHOC</x:v>
      </x:c>
      <x:c r="E154" s="68" t="str"/>
      <x:c r="F154" s="68" t="str">
        <x:v>07/06/2011</x:v>
      </x:c>
      <x:c r="G154" s="68" t="str">
        <x:v>Kinh</x:v>
      </x:c>
      <x:c r="H154" s="68" t="str">
        <x:v>Xa Phu6c Long</x:v>
      </x:c>
      <x:c r="I154" s="68" t="str">
        <x:v>THCS Phua Long</x:v>
      </x:c>
      <x:c r="J154" s="68" t="str">
        <x:v>Xa Phu6c Long</x:v>
      </x:c>
      <x:c r="K154" s="68" t="str">
        <x:v>34.2</x:v>
      </x:c>
      <x:c r="L154" s="68" t="str">
        <x:v>40</x:v>
      </x:c>
      <x:c r="M154" s="68" t="str"/>
      <x:c r="N154" s="68" t="str"/>
      <x:c r="O154" s="68" t="str">
        <x:v>74.2</x:v>
      </x:c>
      <x:c r="P154" s="68" t="str"/>
    </x:row>
    <x:row r="155">
      <x:c r="A155" s="106" t="n">
        <x:v>5</x:v>
      </x:c>
      <x:c r="B155" s="106" t="str">
        <x:v>154</x:v>
      </x:c>
      <x:c r="C155" s="167" t="str">
        <x:f>"095311002883"</x:f>
        <x:v>095311002883</x:v>
      </x:c>
      <x:c r="D155" s="68" t="str">
        <x:v>NGUYEN PHA LE</x:v>
      </x:c>
      <x:c r="E155" s="68" t="str">
        <x:v>X</x:v>
      </x:c>
      <x:c r="F155" s="68" t="str">
        <x:v>08/03/201 1</x:v>
      </x:c>
      <x:c r="G155" s="68" t="str">
        <x:v>Kinh</x:v>
      </x:c>
      <x:c r="H155" s="68" t="str">
        <x:v>Xa Phudc Long</x:v>
      </x:c>
      <x:c r="I155" s="68" t="str">
        <x:v>THCS Pbuh Long</x:v>
      </x:c>
      <x:c r="J155" s="68" t="str">
        <x:v>Xa Phudc Long</x:v>
      </x:c>
      <x:c r="K155" s="68" t="str">
        <x:v>35.1</x:v>
      </x:c>
      <x:c r="L155" s="68" t="str">
        <x:v>39</x:v>
      </x:c>
      <x:c r="M155" s="68" t="str"/>
      <x:c r="N155" s="68" t="str"/>
      <x:c r="O155" s="68" t="str">
        <x:v>74. 1</x:v>
      </x:c>
      <x:c r="P155" s="68" t="str"/>
    </x:row>
    <x:row r="156">
      <x:c r="A156" s="106" t="n">
        <x:v>5</x:v>
      </x:c>
      <x:c r="B156" s="106" t="str">
        <x:v>155</x:v>
      </x:c>
      <x:c r="C156" s="167" t="str">
        <x:f>"075210007968"</x:f>
        <x:v>075210007968</x:v>
      </x:c>
      <x:c r="D156" s="68" t="str">
        <x:v>LE TrtANH TRU'dNG</x:v>
      </x:c>
      <x:c r="E156" s="68" t="str"/>
      <x:c r="F156" s="68" t="str">
        <x:v>17/04/2010</x:v>
      </x:c>
      <x:c r="G156" s="68" t="str">
        <x:v>Kinh</x:v>
      </x:c>
      <x:c r="H156" s="68" t="str">
        <x:v>Xa Wmh phu6c</x:v>
      </x:c>
      <x:c r="I156" s="68" t="str">
        <x:v>THCS Wnh Pha Tay</x:v>
      </x:c>
      <x:c r="J156" s="68" t="str">
        <x:v>Xa VTnh phudc</x:v>
      </x:c>
      <x:c r="K156" s="68" t="str">
        <x:v>34.0</x:v>
      </x:c>
      <x:c r="L156" s="68" t="str">
        <x:v>40</x:v>
      </x:c>
      <x:c r="M156" s="68" t="str"/>
      <x:c r="N156" s="68" t="str"/>
      <x:c r="O156" s="68" t="str">
        <x:v>74.0</x:v>
      </x:c>
      <x:c r="P156" s="68" t="str"/>
    </x:row>
    <x:row r="157">
      <x:c r="A157" s="106" t="n">
        <x:v>5</x:v>
      </x:c>
      <x:c r="B157" s="106" t="str">
        <x:v>156</x:v>
      </x:c>
      <x:c r="C157" s="167" t="str">
        <x:f>"0953 1 1008820"</x:f>
        <x:v>0953 1 1008820</x:v>
      </x:c>
      <x:c r="D157" s="68" t="str">
        <x:v>NGUYEN ANH TRaC</x:v>
      </x:c>
      <x:c r="E157" s="68" t="str">
        <x:v>X</x:v>
      </x:c>
      <x:c r="F157" s="68" t="str">
        <x:v>11/11/2011</x:v>
      </x:c>
      <x:c r="G157" s="68" t="str">
        <x:v>Kinh</x:v>
      </x:c>
      <x:c r="H157" s="68" t="str">
        <x:v>Xa \4nh Thanh</x:v>
      </x:c>
      <x:c r="I157" s="68" t="str">
        <x:v>THCS Hung Phd</x:v>
      </x:c>
      <x:c r="J157" s="68" t="str">
        <x:v>Xa Vinh Thanh</x:v>
      </x:c>
      <x:c r="K157" s="68" t="str">
        <x:v>35.0</x:v>
      </x:c>
      <x:c r="L157" s="68" t="str">
        <x:v>39</x:v>
      </x:c>
      <x:c r="M157" s="68" t="str"/>
      <x:c r="N157" s="68" t="str"/>
      <x:c r="O157" s="68" t="str">
        <x:v>74.0</x:v>
      </x:c>
      <x:c r="P157" s="68" t="str"/>
    </x:row>
    <x:row r="158">
      <x:c r="A158" s="106" t="n">
        <x:v>5</x:v>
      </x:c>
      <x:c r="B158" s="106" t="str">
        <x:v>157</x:v>
      </x:c>
      <x:c r="C158" s="167" t="str">
        <x:f>"0953 1 1009053"</x:f>
        <x:v>0953 1 1009053</x:v>
      </x:c>
      <x:c r="D158" s="68" t="str">
        <x:v>NGUYEN THI KEEU NY</x:v>
      </x:c>
      <x:c r="E158" s="68" t="str">
        <x:v>X</x:v>
      </x:c>
      <x:c r="F158" s="68" t="str">
        <x:v>24/10/201 1</x:v>
      </x:c>
      <x:c r="G158" s="68" t="str">
        <x:v>Kinh</x:v>
      </x:c>
      <x:c r="H158" s="68" t="str">
        <x:v>Xa Phu6c Long</x:v>
      </x:c>
      <x:c r="I158" s="68" t="str">
        <x:v>THCS Vinh Thanh</x:v>
      </x:c>
      <x:c r="J158" s="68" t="str">
        <x:v>Xa VTnh Thanh</x:v>
      </x:c>
      <x:c r="K158" s="68" t="str">
        <x:v>35.0</x:v>
      </x:c>
      <x:c r="L158" s="68" t="str">
        <x:v>39</x:v>
      </x:c>
      <x:c r="M158" s="68" t="str"/>
      <x:c r="N158" s="68" t="str"/>
      <x:c r="O158" s="68" t="str">
        <x:v>74.0</x:v>
      </x:c>
      <x:c r="P158" s="68" t="str"/>
    </x:row>
    <x:row r="159">
      <x:c r="A159" s="106" t="n">
        <x:v>5</x:v>
      </x:c>
      <x:c r="B159" s="106" t="str">
        <x:v>158</x:v>
      </x:c>
      <x:c r="C159" s="167" t="str">
        <x:f>"09531 1002994"</x:f>
        <x:v>09531 1002994</x:v>
      </x:c>
      <x:c r="D159" s="68" t="str">
        <x:v>DOAN NGQC NGHI</x:v>
      </x:c>
      <x:c r="E159" s="68" t="str">
        <x:v>X</x:v>
      </x:c>
      <x:c r="F159" s="68" t="str">
        <x:v>23/07/201 1</x:v>
      </x:c>
      <x:c r="G159" s="68" t="str">
        <x:v>Kinh</x:v>
      </x:c>
      <x:c r="H159" s="68" t="str">
        <x:v>Xa Phu(b Long</x:v>
      </x:c>
      <x:c r="I159" s="68" t="str">
        <x:v>THCS Vinh Thanh</x:v>
      </x:c>
      <x:c r="J159" s="68" t="str">
        <x:v>Xa Wnh Thanh</x:v>
      </x:c>
      <x:c r="K159" s="68" t="str">
        <x:v>34.0</x:v>
      </x:c>
      <x:c r="L159" s="68" t="str">
        <x:v>40</x:v>
      </x:c>
      <x:c r="M159" s="68" t="str"/>
      <x:c r="N159" s="68" t="str"/>
      <x:c r="O159" s="68" t="str">
        <x:v>74.0</x:v>
      </x:c>
      <x:c r="P159" s="68" t="str"/>
    </x:row>
    <x:row r="160">
      <x:c r="A160" s="106" t="n">
        <x:v>5</x:v>
      </x:c>
      <x:c r="B160" s="106" t="str">
        <x:v>159</x:v>
      </x:c>
      <x:c r="C160" s="167" t="str">
        <x:f>"0953 1 1000358"</x:f>
        <x:v>0953 1 1000358</x:v>
      </x:c>
      <x:c r="D160" s="68" t="str">
        <x:v>PHAM THI NHU V</x:v>
      </x:c>
      <x:c r="E160" s="68" t="str">
        <x:v>X</x:v>
      </x:c>
      <x:c r="F160" s="68" t="str">
        <x:v>11/06/2011</x:v>
      </x:c>
      <x:c r="G160" s="68" t="str">
        <x:v>Kinh</x:v>
      </x:c>
      <x:c r="H160" s="68" t="str">
        <x:v>Xa Hang Dan</x:v>
      </x:c>
      <x:c r="I160" s="68" t="str">
        <x:v>THCS Truang VTnh KV</x:v>
      </x:c>
      <x:c r="J160" s="68" t="str">
        <x:v>Xa Hang Dan</x:v>
      </x:c>
      <x:c r="K160" s="68" t="str">
        <x:v>34.0</x:v>
      </x:c>
      <x:c r="L160" s="68" t="str">
        <x:v>40</x:v>
      </x:c>
      <x:c r="M160" s="68" t="str"/>
      <x:c r="N160" s="68" t="str"/>
      <x:c r="O160" s="68" t="str">
        <x:v>74.0</x:v>
      </x:c>
      <x:c r="P160" s="68" t="str"/>
    </x:row>
    <x:row r="161">
      <x:c r="A161" s="106" t="n">
        <x:v>5</x:v>
      </x:c>
      <x:c r="B161" s="106" t="str">
        <x:v>160</x:v>
      </x:c>
      <x:c r="C161" s="167" t="str">
        <x:f>"0953 1 1009684"</x:f>
        <x:v>0953 1 1009684</x:v>
      </x:c>
      <x:c r="D161" s="68" t="str">
        <x:v>TRUONG THI M? LV</x:v>
      </x:c>
      <x:c r="E161" s="68" t="str">
        <x:v>X</x:v>
      </x:c>
      <x:c r="F161" s="68" t="str">
        <x:v>28/1 1/2011</x:v>
      </x:c>
      <x:c r="G161" s="68" t="str">
        <x:v>Kinh</x:v>
      </x:c>
      <x:c r="H161" s="68" t="str">
        <x:v>Xa Phudc Long</x:v>
      </x:c>
      <x:c r="I161" s="68" t="str">
        <x:v>THCS Truang VTnh KV</x:v>
      </x:c>
      <x:c r="J161" s="68" t="str">
        <x:v>Xa H6ng Dan</x:v>
      </x:c>
      <x:c r="K161" s="68" t="str">
        <x:v>34.0</x:v>
      </x:c>
      <x:c r="L161" s="68" t="str">
        <x:v>40</x:v>
      </x:c>
      <x:c r="M161" s="68" t="str"/>
      <x:c r="N161" s="68" t="str"/>
      <x:c r="O161" s="68" t="str">
        <x:v>74.0</x:v>
      </x:c>
      <x:c r="P161" s="68" t="str"/>
    </x:row>
    <x:row r="162">
      <x:c r="A162" s="106" t="n">
        <x:v>5</x:v>
      </x:c>
      <x:c r="B162" s="106" t="str">
        <x:v>161</x:v>
      </x:c>
      <x:c r="C162" s="167" t="str">
        <x:f>"095211008150"</x:f>
        <x:v>095211008150</x:v>
      </x:c>
      <x:c r="D162" s="68" t="str">
        <x:v>TRIEU TONG LAM</x:v>
      </x:c>
      <x:c r="E162" s="68" t="str"/>
      <x:c r="F162" s="68" t="str">
        <x:v>12/06/201 1</x:v>
      </x:c>
      <x:c r="G162" s="68" t="str">
        <x:v>Kinh</x:v>
      </x:c>
      <x:c r="H162" s="68" t="str">
        <x:v>Xg Phudc Long</x:v>
      </x:c>
      <x:c r="I162" s="68" t="str">
        <x:v>THCS Phu6c Long</x:v>
      </x:c>
      <x:c r="J162" s="68" t="str">
        <x:v>Xa Phudc Long</x:v>
      </x:c>
      <x:c r="K162" s="68" t="str">
        <x:v>34.9</x:v>
      </x:c>
      <x:c r="L162" s="68" t="str">
        <x:v>39</x:v>
      </x:c>
      <x:c r="M162" s="68" t="str"/>
      <x:c r="N162" s="68" t="str"/>
      <x:c r="O162" s="68" t="str">
        <x:v>73.9</x:v>
      </x:c>
      <x:c r="P162" s="68" t="str"/>
    </x:row>
    <x:row r="163">
      <x:c r="A163" s="106" t="n">
        <x:v>5</x:v>
      </x:c>
      <x:c r="B163" s="106" t="str">
        <x:v>162</x:v>
      </x:c>
      <x:c r="C163" s="167" t="str">
        <x:f>"095311001854"</x:f>
        <x:v>095311001854</x:v>
      </x:c>
      <x:c r="D163" s="68" t="str">
        <x:v>TRUONG PHU'dC ANH THU</x:v>
      </x:c>
      <x:c r="E163" s="68" t="str">
        <x:v>X</x:v>
      </x:c>
      <x:c r="F163" s="68" t="str">
        <x:v>16/08/201 1</x:v>
      </x:c>
      <x:c r="G163" s="68" t="str">
        <x:v>Kinh</x:v>
      </x:c>
      <x:c r="H163" s="68" t="str">
        <x:v>Xa Vrnh Thanh</x:v>
      </x:c>
      <x:c r="I163" s="68" t="str">
        <x:v>THCS Vinh Thanh</x:v>
      </x:c>
      <x:c r="J163" s="68" t="str">
        <x:v>Xa VTnh Thanh</x:v>
      </x:c>
      <x:c r="K163" s="68" t="str">
        <x:v>34.9</x:v>
      </x:c>
      <x:c r="L163" s="68" t="str">
        <x:v>39</x:v>
      </x:c>
      <x:c r="M163" s="68" t="str"/>
      <x:c r="N163" s="68" t="str"/>
      <x:c r="O163" s="68" t="str">
        <x:v>73.9</x:v>
      </x:c>
      <x:c r="P163" s="68" t="str"/>
    </x:row>
    <x:row r="164">
      <x:c r="A164" s="106" t="n">
        <x:v>5</x:v>
      </x:c>
      <x:c r="B164" s="106" t="str">
        <x:v>163</x:v>
      </x:c>
      <x:c r="C164" s="167" t="str">
        <x:f>"0953 1 1006287"</x:f>
        <x:v>0953 1 1006287</x:v>
      </x:c>
      <x:c r="D164" s="68" t="str">
        <x:v>Lt THUYEN KTM</x:v>
      </x:c>
      <x:c r="E164" s="68" t="str">
        <x:v>X</x:v>
      </x:c>
      <x:c r="F164" s="68" t="str">
        <x:v>09/05/201 1</x:v>
      </x:c>
      <x:c r="G164" s="68" t="str">
        <x:v>Kinh</x:v>
      </x:c>
      <x:c r="H164" s="68" t="str">
        <x:v>Xa Phudc Long</x:v>
      </x:c>
      <x:c r="I164" s="68" t="str">
        <x:v>THCS Vuang Han Nhan</x:v>
      </x:c>
      <x:c r="J164" s="68" t="str">
        <x:v>Xa Phu6c Long</x:v>
      </x:c>
      <x:c r="K164" s="68" t="str">
        <x:v>33.9</x:v>
      </x:c>
      <x:c r="L164" s="68" t="str">
        <x:v>40</x:v>
      </x:c>
      <x:c r="M164" s="68" t="str"/>
      <x:c r="N164" s="68" t="str"/>
      <x:c r="O164" s="68" t="str">
        <x:v>73.9</x:v>
      </x:c>
      <x:c r="P164" s="68" t="str"/>
    </x:row>
    <x:row r="165">
      <x:c r="A165" s="106" t="n">
        <x:v>5</x:v>
      </x:c>
      <x:c r="B165" s="106" t="str">
        <x:v>164</x:v>
      </x:c>
      <x:c r="C165" s="167" t="str">
        <x:f>"09531 1002680"</x:f>
        <x:v>09531 1002680</x:v>
      </x:c>
      <x:c r="D165" s="68" t="str">
        <x:v>NGUY£N THI THAO NGUYEN</x:v>
      </x:c>
      <x:c r="E165" s="68" t="str">
        <x:v>X</x:v>
      </x:c>
      <x:c r="F165" s="68" t="str">
        <x:v>02/04/201 1</x:v>
      </x:c>
      <x:c r="G165" s="68" t="str">
        <x:v>Kinh</x:v>
      </x:c>
      <x:c r="H165" s="68" t="str">
        <x:v>Xa Flnh Thanh</x:v>
      </x:c>
      <x:c r="I165" s="68" t="str">
        <x:v>THCS Phu a Long</x:v>
      </x:c>
      <x:c r="J165" s="68" t="str">
        <x:v>Xa Phu M Long</x:v>
      </x:c>
      <x:c r="K165" s="68" t="str">
        <x:v>34.8</x:v>
      </x:c>
      <x:c r="L165" s="68" t="str">
        <x:v>39</x:v>
      </x:c>
      <x:c r="M165" s="68" t="str"/>
      <x:c r="N165" s="68" t="str"/>
      <x:c r="O165" s="68" t="str">
        <x:v>73.8</x:v>
      </x:c>
      <x:c r="P165" s="68" t="str"/>
    </x:row>
    <x:row r="166">
      <x:c r="A166" s="106" t="n">
        <x:v>6</x:v>
      </x:c>
      <x:c r="B166" s="106" t="str">
        <x:v>165</x:v>
      </x:c>
      <x:c r="C166" s="167" t="str">
        <x:f>"0953 1 1006739"</x:f>
        <x:v>0953 1 1006739</x:v>
      </x:c>
      <x:c r="D166" s="68" t="str">
        <x:v>MA KHANH LINH</x:v>
      </x:c>
      <x:c r="E166" s="68" t="str">
        <x:v>X</x:v>
      </x:c>
      <x:c r="F166" s="68" t="str">
        <x:v>22/05/2011</x:v>
      </x:c>
      <x:c r="G166" s="68" t="str">
        <x:v>Kinh Xa</x:v>
      </x:c>
      <x:c r="H166" s="68" t="str">
        <x:v>Ninh ThBnh L(,ri</x:v>
      </x:c>
      <x:c r="I166" s="68" t="str">
        <x:v>THCS Phudc Long</x:v>
      </x:c>
      <x:c r="J166" s="68" t="str">
        <x:v>Xa Phu6c Long</x:v>
      </x:c>
      <x:c r="K166" s="68" t="str">
        <x:v>33.8</x:v>
      </x:c>
      <x:c r="L166" s="68" t="str">
        <x:v>39</x:v>
      </x:c>
      <x:c r="M166" s="68" t="str">
        <x:v>1.0</x:v>
      </x:c>
      <x:c r="N166" s="68" t="str"/>
      <x:c r="O166" s="68" t="str">
        <x:v>73.8</x:v>
      </x:c>
      <x:c r="P166" s="68" t="str"/>
    </x:row>
    <x:row r="167">
      <x:c r="A167" s="106" t="n">
        <x:v>6</x:v>
      </x:c>
      <x:c r="B167" s="106" t="str">
        <x:v>166</x:v>
      </x:c>
      <x:c r="C167" s="167" t="str">
        <x:f>"095211004259"</x:f>
        <x:v>095211004259</x:v>
      </x:c>
      <x:c r="D167" s="68" t="str">
        <x:v>PHUONG TUEN PHAT</x:v>
      </x:c>
      <x:c r="E167" s="68" t="str"/>
      <x:c r="F167" s="68" t="str">
        <x:v>10/05/201 1</x:v>
      </x:c>
      <x:c r="G167" s="68" t="str">
        <x:v>Kinh</x:v>
      </x:c>
      <x:c r="H167" s="68" t="str">
        <x:v>Xa Phu6c Long</x:v>
      </x:c>
      <x:c r="I167" s="68" t="str">
        <x:v>THCS Phu6c Long</x:v>
      </x:c>
      <x:c r="J167" s="68" t="str">
        <x:v>Xa Phu6c Long</x:v>
      </x:c>
      <x:c r="K167" s="68" t="str">
        <x:v>34.8</x:v>
      </x:c>
      <x:c r="L167" s="68" t="str">
        <x:v>39</x:v>
      </x:c>
      <x:c r="M167" s="68" t="str"/>
      <x:c r="N167" s="68" t="str"/>
      <x:c r="O167" s="68" t="str">
        <x:v>73.8</x:v>
      </x:c>
      <x:c r="P167" s="68" t="str"/>
    </x:row>
    <x:row r="168">
      <x:c r="A168" s="106" t="n">
        <x:v>6</x:v>
      </x:c>
      <x:c r="B168" s="106" t="str">
        <x:v>167</x:v>
      </x:c>
      <x:c r="C168" s="167" t="str">
        <x:f>"09521 1001823"</x:f>
        <x:v>09521 1001823</x:v>
      </x:c>
      <x:c r="D168" s="68" t="str">
        <x:v>DUaN6 vAN CHi NGUYEN</x:v>
      </x:c>
      <x:c r="E168" s="68" t="str"/>
      <x:c r="F168" s="68" t="str">
        <x:v>29/10/201 1</x:v>
      </x:c>
      <x:c r="G168" s="68" t="str">
        <x:v>Kinh</x:v>
      </x:c>
      <x:c r="H168" s="68" t="str">
        <x:v>Xa VTnh Thanh</x:v>
      </x:c>
      <x:c r="I168" s="68" t="str">
        <x:v>THCS Hung Phd</x:v>
      </x:c>
      <x:c r="J168" s="68" t="str">
        <x:v>Xa VTnh Thanh</x:v>
      </x:c>
      <x:c r="K168" s="68" t="str">
        <x:v>33,8</x:v>
      </x:c>
      <x:c r="L168" s="68" t="str">
        <x:v>40</x:v>
      </x:c>
      <x:c r="M168" s="68" t="str"/>
      <x:c r="N168" s="68" t="str"/>
      <x:c r="O168" s="68" t="str">
        <x:v>73.8</x:v>
      </x:c>
      <x:c r="P168" s="68" t="str"/>
    </x:row>
    <x:row r="169">
      <x:c r="A169" s="106" t="n">
        <x:v>6</x:v>
      </x:c>
      <x:c r="B169" s="106" t="str">
        <x:v>168</x:v>
      </x:c>
      <x:c r="C169" s="167" t="str">
        <x:f>"09531 1008625"</x:f>
        <x:v>09531 1008625</x:v>
      </x:c>
      <x:c r="D169" s="68" t="str">
        <x:v>DANH THI THAO LINH</x:v>
      </x:c>
      <x:c r="E169" s="68" t="str">
        <x:v>X</x:v>
      </x:c>
      <x:c r="F169" s="68" t="str">
        <x:v>03/01/2011</x:v>
      </x:c>
      <x:c r="G169" s="68" t="str">
        <x:v>Khmer</x:v>
      </x:c>
      <x:c r="H169" s="68" t="str">
        <x:v>Xa VTnh Phu6c</x:v>
      </x:c>
      <x:c r="I169" s="68" t="str">
        <x:v>THCS VTnh Thanh</x:v>
      </x:c>
      <x:c r="J169" s="68" t="str">
        <x:v>Xa Vinh Thanh</x:v>
      </x:c>
      <x:c r="K169" s="68" t="str">
        <x:v>33.8</x:v>
      </x:c>
      <x:c r="L169" s="68" t="str">
        <x:v>39</x:v>
      </x:c>
      <x:c r="M169" s="68" t="str">
        <x:v>1.0</x:v>
      </x:c>
      <x:c r="N169" s="68" t="str"/>
      <x:c r="O169" s="68" t="str">
        <x:v>73.8</x:v>
      </x:c>
      <x:c r="P169" s="68" t="str"/>
    </x:row>
    <x:row r="170">
      <x:c r="A170" s="106" t="n">
        <x:v>6</x:v>
      </x:c>
      <x:c r="B170" s="106" t="str">
        <x:v>169</x:v>
      </x:c>
      <x:c r="C170" s="167" t="str">
        <x:f>"0953 1 1001383"</x:f>
        <x:v>0953 1 1001383</x:v>
      </x:c>
      <x:c r="D170" s="68" t="str">
        <x:v>QUACH QUtNH LrU'ONG</x:v>
      </x:c>
      <x:c r="E170" s="68" t="str">
        <x:v>X</x:v>
      </x:c>
      <x:c r="F170" s="68" t="str">
        <x:v>05/0 1/201 1</x:v>
      </x:c>
      <x:c r="G170" s="68" t="str">
        <x:v>Kinh</x:v>
      </x:c>
      <x:c r="H170" s="68" t="str">
        <x:v>Xa Phu6c Long</x:v>
      </x:c>
      <x:c r="I170" s="68" t="str">
        <x:v>THCS VTnh Thanh</x:v>
      </x:c>
      <x:c r="J170" s="68" t="str">
        <x:v>Xa Vinh Thanh</x:v>
      </x:c>
      <x:c r="K170" s="68" t="str">
        <x:v>34.8</x:v>
      </x:c>
      <x:c r="L170" s="68" t="str">
        <x:v>39</x:v>
      </x:c>
      <x:c r="M170" s="68" t="str"/>
      <x:c r="N170" s="68" t="str"/>
      <x:c r="O170" s="68" t="str">
        <x:v>73.8</x:v>
      </x:c>
      <x:c r="P170" s="68" t="str"/>
    </x:row>
    <x:row r="171">
      <x:c r="A171" s="106" t="n">
        <x:v>6</x:v>
      </x:c>
      <x:c r="B171" s="106" t="str">
        <x:v>170</x:v>
      </x:c>
      <x:c r="C171" s="167" t="str">
        <x:f>"0953 1 1000403"</x:f>
        <x:v>0953 1 1000403</x:v>
      </x:c>
      <x:c r="D171" s="68" t="str">
        <x:v>NGUYEN NHUnUtNH</x:v>
      </x:c>
      <x:c r="E171" s="68" t="str">
        <x:v>X</x:v>
      </x:c>
      <x:c r="F171" s="68" t="str">
        <x:v>12/1 1/20 11</x:v>
      </x:c>
      <x:c r="G171" s="68" t="str">
        <x:v>Kinh</x:v>
      </x:c>
      <x:c r="H171" s="68" t="str">
        <x:v>Xa H6ng Dan</x:v>
      </x:c>
      <x:c r="I171" s="68" t="str">
        <x:v>THCS Truang Wnh KV</x:v>
      </x:c>
      <x:c r="J171" s="68" t="str">
        <x:v>Xa H6ng Dan</x:v>
      </x:c>
      <x:c r="K171" s="68" t="str">
        <x:v>33.8</x:v>
      </x:c>
      <x:c r="L171" s="68" t="str">
        <x:v>40</x:v>
      </x:c>
      <x:c r="M171" s="68" t="str"/>
      <x:c r="N171" s="68" t="str"/>
      <x:c r="O171" s="68" t="str">
        <x:v>73.8</x:v>
      </x:c>
      <x:c r="P171" s="68" t="str"/>
    </x:row>
    <x:row r="172">
      <x:c r="A172" s="106" t="n">
        <x:v>6</x:v>
      </x:c>
      <x:c r="B172" s="106" t="str">
        <x:v>171</x:v>
      </x:c>
      <x:c r="C172" s="167" t="str">
        <x:f>"095211005510"</x:f>
        <x:v>095211005510</x:v>
      </x:c>
      <x:c r="D172" s="68" t="str">
        <x:v>HUtNH vAN NtJA</x:v>
      </x:c>
      <x:c r="E172" s="68" t="str"/>
      <x:c r="F172" s="68" t="str">
        <x:v>05/04/2011</x:v>
      </x:c>
      <x:c r="G172" s="68" t="str">
        <x:v>Kinh</x:v>
      </x:c>
      <x:c r="H172" s="68" t="str">
        <x:v>Xa Phu6c Long</x:v>
      </x:c>
      <x:c r="I172" s="68" t="str">
        <x:v>THCS Vuang Hau Nhan</x:v>
      </x:c>
      <x:c r="J172" s="68" t="str">
        <x:v>Xa Phu6c Long</x:v>
      </x:c>
      <x:c r="K172" s="68" t="str">
        <x:v>33.8</x:v>
      </x:c>
      <x:c r="L172" s="68" t="str">
        <x:v>40</x:v>
      </x:c>
      <x:c r="M172" s="68" t="str"/>
      <x:c r="N172" s="68" t="str"/>
      <x:c r="O172" s="68" t="str">
        <x:v>73.8</x:v>
      </x:c>
      <x:c r="P172" s="68" t="str"/>
    </x:row>
    <x:row r="173">
      <x:c r="A173" s="106" t="n">
        <x:v>6</x:v>
      </x:c>
      <x:c r="B173" s="106" t="str">
        <x:v>172</x:v>
      </x:c>
      <x:c r="C173" s="167" t="str">
        <x:f>"09521 1001080"</x:f>
        <x:v>09521 1001080</x:v>
      </x:c>
      <x:c r="D173" s="68" t="str">
        <x:v>TRU'aNG TAN KM</x:v>
      </x:c>
      <x:c r="E173" s="68" t="str"/>
      <x:c r="F173" s="68" t="str">
        <x:v>31/01/201 1</x:v>
      </x:c>
      <x:c r="G173" s="68" t="str">
        <x:v>Kinh</x:v>
      </x:c>
      <x:c r="H173" s="68" t="str">
        <x:v>Xa Phu6c Long</x:v>
      </x:c>
      <x:c r="I173" s="68" t="str">
        <x:v>THCS Vuang Htru Nhan</x:v>
      </x:c>
      <x:c r="J173" s="68" t="str">
        <x:v>Xa Phu6c Long</x:v>
      </x:c>
      <x:c r="K173" s="68" t="str">
        <x:v>33.8</x:v>
      </x:c>
      <x:c r="L173" s="68" t="str">
        <x:v>40</x:v>
      </x:c>
      <x:c r="M173" s="68" t="str"/>
      <x:c r="N173" s="68" t="str"/>
      <x:c r="O173" s="68" t="str">
        <x:v>73.8</x:v>
      </x:c>
      <x:c r="P173" s="68" t="str"/>
    </x:row>
    <x:row r="174">
      <x:c r="A174" s="106" t="n">
        <x:v>6</x:v>
      </x:c>
      <x:c r="B174" s="106" t="str">
        <x:v>173</x:v>
      </x:c>
      <x:c r="C174" s="167" t="str">
        <x:f>"0952 1 1001552"</x:f>
        <x:v>0952 1 1001552</x:v>
      </x:c>
      <x:c r="D174" s="68" t="str">
        <x:v>PHAM DrNH PHUC</x:v>
      </x:c>
      <x:c r="E174" s="68" t="str"/>
      <x:c r="F174" s="68" t="str">
        <x:v>25/03/2011</x:v>
      </x:c>
      <x:c r="G174" s="68" t="str">
        <x:v>Kinh</x:v>
      </x:c>
      <x:c r="H174" s="68" t="str">
        <x:v>Xa Phu M Long</x:v>
      </x:c>
      <x:c r="I174" s="68" t="str">
        <x:v>THCS Phudc Long</x:v>
      </x:c>
      <x:c r="J174" s="68" t="str">
        <x:v>Xa Phu a Long</x:v>
      </x:c>
      <x:c r="K174" s="68" t="str">
        <x:v>34.7</x:v>
      </x:c>
      <x:c r="L174" s="68" t="str">
        <x:v>39</x:v>
      </x:c>
      <x:c r="M174" s="68" t="str"/>
      <x:c r="N174" s="68" t="str"/>
      <x:c r="O174" s="68" t="str">
        <x:v>73.7</x:v>
      </x:c>
      <x:c r="P174" s="68" t="str"/>
    </x:row>
    <x:row r="175">
      <x:c r="A175" s="106" t="n">
        <x:v>6</x:v>
      </x:c>
      <x:c r="B175" s="106" t="str">
        <x:v>174</x:v>
      </x:c>
      <x:c r="C175" s="167" t="str">
        <x:f>"095211005483"</x:f>
        <x:v>095211005483</x:v>
      </x:c>
      <x:c r="D175" s="68" t="str">
        <x:v>L£ HHEU KV</x:v>
      </x:c>
      <x:c r="E175" s="68" t="str"/>
      <x:c r="F175" s="68" t="str">
        <x:v>01/06/201 1</x:v>
      </x:c>
      <x:c r="G175" s="68" t="str">
        <x:v>Kinh</x:v>
      </x:c>
      <x:c r="H175" s="68" t="str">
        <x:v>Xa VTnh Thanh</x:v>
      </x:c>
      <x:c r="I175" s="68" t="str">
        <x:v>THCS Hung Phd</x:v>
      </x:c>
      <x:c r="J175" s="68" t="str">
        <x:v>Xa Vinh Thanh</x:v>
      </x:c>
      <x:c r="K175" s="68" t="str">
        <x:v>34.7</x:v>
      </x:c>
      <x:c r="L175" s="68" t="str">
        <x:v>39</x:v>
      </x:c>
      <x:c r="M175" s="68" t="str"/>
      <x:c r="N175" s="68" t="str"/>
      <x:c r="O175" s="68" t="str">
        <x:v>73.7</x:v>
      </x:c>
      <x:c r="P175" s="68" t="str"/>
    </x:row>
    <x:row r="176">
      <x:c r="A176" s="106" t="n">
        <x:v>6</x:v>
      </x:c>
      <x:c r="B176" s="106" t="str">
        <x:v>175</x:v>
      </x:c>
      <x:c r="C176" s="167" t="str">
        <x:f>"0953 1 1007926"</x:f>
        <x:v>0953 1 1007926</x:v>
      </x:c>
      <x:c r="D176" s="68" t="str">
        <x:v>CIrAu NHA THU</x:v>
      </x:c>
      <x:c r="E176" s="68" t="str">
        <x:v>X</x:v>
      </x:c>
      <x:c r="F176" s="68" t="str">
        <x:v>01/12/201 1</x:v>
      </x:c>
      <x:c r="G176" s="68" t="str">
        <x:v>Kinh</x:v>
      </x:c>
      <x:c r="H176" s="68" t="str">
        <x:v>Xa Wnh Phu6c</x:v>
      </x:c>
      <x:c r="I176" s="68" t="str">
        <x:v>THCS Vinh Pha Tay</x:v>
      </x:c>
      <x:c r="J176" s="68" t="str">
        <x:v>Xa Vlnh Phu6c</x:v>
      </x:c>
      <x:c r="K176" s="68" t="str">
        <x:v>34.5</x:v>
      </x:c>
      <x:c r="L176" s="68" t="str">
        <x:v>39</x:v>
      </x:c>
      <x:c r="M176" s="68" t="str"/>
      <x:c r="N176" s="68" t="str"/>
      <x:c r="O176" s="68" t="str">
        <x:v>73.5</x:v>
      </x:c>
      <x:c r="P176" s="68" t="str"/>
    </x:row>
    <x:row r="177">
      <x:c r="A177" s="106" t="n">
        <x:v>6</x:v>
      </x:c>
      <x:c r="B177" s="106" t="str">
        <x:v>176</x:v>
      </x:c>
      <x:c r="C177" s="167" t="str">
        <x:f>"0952 11002 1 14"</x:f>
        <x:v>0952 11002 1 14</x:v>
      </x:c>
      <x:c r="D177" s="68" t="str">
        <x:v>TRAN TRUNG HI£U</x:v>
      </x:c>
      <x:c r="E177" s="68" t="str"/>
      <x:c r="F177" s="68" t="str">
        <x:v>23/0 1/2011</x:v>
      </x:c>
      <x:c r="G177" s="68" t="str">
        <x:v>Khlner</x:v>
      </x:c>
      <x:c r="H177" s="68" t="str">
        <x:v>Xa VTnh phudc</x:v>
      </x:c>
      <x:c r="I177" s="68" t="str">
        <x:v>THCS VTnh Thanh</x:v>
      </x:c>
      <x:c r="J177" s="68" t="str">
        <x:v>Xa VTnh Thanh</x:v>
      </x:c>
      <x:c r="K177" s="68" t="str">
        <x:v>33.5</x:v>
      </x:c>
      <x:c r="L177" s="68" t="str">
        <x:v>39</x:v>
      </x:c>
      <x:c r="M177" s="68" t="str">
        <x:v>1.0</x:v>
      </x:c>
      <x:c r="N177" s="68" t="str"/>
      <x:c r="O177" s="68" t="str">
        <x:v>73.5</x:v>
      </x:c>
      <x:c r="P177" s="68" t="str"/>
    </x:row>
    <x:row r="178">
      <x:c r="A178" s="106" t="n">
        <x:v>6</x:v>
      </x:c>
      <x:c r="B178" s="106" t="str">
        <x:v>177</x:v>
      </x:c>
      <x:c r="C178" s="167" t="str">
        <x:f>"0953 1 1005453"</x:f>
        <x:v>0953 1 1005453</x:v>
      </x:c>
      <x:c r="D178" s="68" t="str">
        <x:v>LAM NGQC NHU V</x:v>
      </x:c>
      <x:c r="E178" s="68" t="str">
        <x:v>X</x:v>
      </x:c>
      <x:c r="F178" s="68" t="str">
        <x:v>07/05/201 1</x:v>
      </x:c>
      <x:c r="G178" s="68" t="str">
        <x:v>Kinh</x:v>
      </x:c>
      <x:c r="H178" s="68" t="str">
        <x:v>Xa Phudc Long</x:v>
      </x:c>
      <x:c r="I178" s="68" t="str">
        <x:v>THCS Vuang HaLI Nhan</x:v>
      </x:c>
      <x:c r="J178" s="68" t="str">
        <x:v>Xa Phudc Long</x:v>
      </x:c>
      <x:c r="K178" s="68" t="str">
        <x:v>34.5</x:v>
      </x:c>
      <x:c r="L178" s="68" t="str">
        <x:v>39</x:v>
      </x:c>
      <x:c r="M178" s="68" t="str"/>
      <x:c r="N178" s="68" t="str"/>
      <x:c r="O178" s="68" t="str">
        <x:v>73.5</x:v>
      </x:c>
      <x:c r="P178" s="68" t="str"/>
    </x:row>
    <x:row r="179">
      <x:c r="A179" s="106" t="n">
        <x:v>6</x:v>
      </x:c>
      <x:c r="B179" s="106" t="str">
        <x:v>178</x:v>
      </x:c>
      <x:c r="C179" s="167" t="str">
        <x:f>"0953 1 1003 123"</x:f>
        <x:v>0953 1 1003 123</x:v>
      </x:c>
      <x:c r="D179" s="68" t="str">
        <x:v>NGUYEN HA BAO RAN</x:v>
      </x:c>
      <x:c r="E179" s="68" t="str">
        <x:v>X</x:v>
      </x:c>
      <x:c r="F179" s="68" t="str">
        <x:v>26/09/2011</x:v>
      </x:c>
      <x:c r="G179" s="68" t="str">
        <x:v>Kinh</x:v>
      </x:c>
      <x:c r="H179" s="68" t="str">
        <x:v>Xa Phu6c Long</x:v>
      </x:c>
      <x:c r="I179" s="68" t="str">
        <x:v>THCS Phudc Long</x:v>
      </x:c>
      <x:c r="J179" s="68" t="str">
        <x:v>Xa Phu6c Long</x:v>
      </x:c>
      <x:c r="K179" s="68" t="str">
        <x:v>34.4</x:v>
      </x:c>
      <x:c r="L179" s="68" t="str">
        <x:v>39</x:v>
      </x:c>
      <x:c r="M179" s="68" t="str"/>
      <x:c r="N179" s="68" t="str"/>
      <x:c r="O179" s="68" t="str">
        <x:v>73.4</x:v>
      </x:c>
      <x:c r="P179" s="68" t="str"/>
    </x:row>
    <x:row r="180">
      <x:c r="A180" s="106" t="n">
        <x:v>6</x:v>
      </x:c>
      <x:c r="B180" s="106" t="str">
        <x:v>179</x:v>
      </x:c>
      <x:c r="C180" s="167" t="str">
        <x:f>"0953 1 1001641"</x:f>
        <x:v>0953 1 1001641</x:v>
      </x:c>
      <x:c r="D180" s="68" t="str">
        <x:v>TRAN THI ANH THI</x:v>
      </x:c>
      <x:c r="E180" s="68" t="str">
        <x:v>X</x:v>
      </x:c>
      <x:c r="F180" s="68" t="str">
        <x:v>06/04/201 1</x:v>
      </x:c>
      <x:c r="G180" s="68" t="str">
        <x:v>Kinh</x:v>
      </x:c>
      <x:c r="H180" s="68" t="str">
        <x:v>Xa Vinh Thanh</x:v>
      </x:c>
      <x:c r="I180" s="68" t="str">
        <x:v>THCS Hung Pha</x:v>
      </x:c>
      <x:c r="J180" s="68" t="str">
        <x:v>Xa Vinh Thanh</x:v>
      </x:c>
      <x:c r="K180" s="68" t="str">
        <x:v>34.4</x:v>
      </x:c>
      <x:c r="L180" s="68" t="str">
        <x:v>39</x:v>
      </x:c>
      <x:c r="M180" s="68" t="str"/>
      <x:c r="N180" s="68" t="str"/>
      <x:c r="O180" s="68" t="str">
        <x:v>73.4</x:v>
      </x:c>
      <x:c r="P180" s="68" t="str"/>
    </x:row>
    <x:row r="181">
      <x:c r="A181" s="106" t="n">
        <x:v>6</x:v>
      </x:c>
      <x:c r="B181" s="106" t="str">
        <x:v>180</x:v>
      </x:c>
      <x:c r="C181" s="167" t="str">
        <x:f>"0953 1 1005277"</x:f>
        <x:v>0953 1 1005277</x:v>
      </x:c>
      <x:c r="D181" s="68" t="str">
        <x:v>TRUONG THI TnAO NGUYEN</x:v>
      </x:c>
      <x:c r="E181" s="68" t="str">
        <x:v>X</x:v>
      </x:c>
      <x:c r="F181" s="68" t="str">
        <x:v>25/09/201 1</x:v>
      </x:c>
      <x:c r="G181" s="68" t="str">
        <x:v>Kinh</x:v>
      </x:c>
      <x:c r="H181" s="68" t="str">
        <x:v>Xa Phu6c Long</x:v>
      </x:c>
      <x:c r="I181" s="68" t="str">
        <x:v>THCS Vuang Hau Nhan</x:v>
      </x:c>
      <x:c r="J181" s="68" t="str">
        <x:v>Xa Phu6c Long</x:v>
      </x:c>
      <x:c r="K181" s="68" t="str">
        <x:v>34.4</x:v>
      </x:c>
      <x:c r="L181" s="68" t="str">
        <x:v>39</x:v>
      </x:c>
      <x:c r="M181" s="68" t="str"/>
      <x:c r="N181" s="68" t="str"/>
      <x:c r="O181" s="68" t="str">
        <x:v>73.4</x:v>
      </x:c>
      <x:c r="P181" s="68" t="str"/>
    </x:row>
    <x:row r="182">
      <x:c r="A182" s="106" t="n">
        <x:v>6</x:v>
      </x:c>
      <x:c r="B182" s="106" t="str">
        <x:v>181</x:v>
      </x:c>
      <x:c r="C182" s="167" t="str">
        <x:f>"0953 1 1006025"</x:f>
        <x:v>0953 1 1006025</x:v>
      </x:c>
      <x:c r="D182" s="68" t="str">
        <x:v>vO NGQC HAN</x:v>
      </x:c>
      <x:c r="E182" s="68" t="str">
        <x:v>X</x:v>
      </x:c>
      <x:c r="F182" s="68" t="str">
        <x:v>23/08/201 1</x:v>
      </x:c>
      <x:c r="G182" s="68" t="str">
        <x:v>Kinh</x:v>
      </x:c>
      <x:c r="H182" s="68" t="str">
        <x:v>Xa VTnh phu6c</x:v>
      </x:c>
      <x:c r="I182" s="68" t="str">
        <x:v>THCS Phudc Long</x:v>
      </x:c>
      <x:c r="J182" s="68" t="str">
        <x:v>Xa Phu6c Long</x:v>
      </x:c>
      <x:c r="K182" s="68" t="str">
        <x:v>34.4</x:v>
      </x:c>
      <x:c r="L182" s="68" t="str">
        <x:v>39</x:v>
      </x:c>
      <x:c r="M182" s="68" t="str"/>
      <x:c r="N182" s="68" t="str"/>
      <x:c r="O182" s="68" t="str">
        <x:v>73.4</x:v>
      </x:c>
      <x:c r="P182" s="68" t="str"/>
    </x:row>
    <x:row r="183">
      <x:c r="A183" s="106" t="n">
        <x:v>6</x:v>
      </x:c>
      <x:c r="B183" s="106" t="str">
        <x:v>182</x:v>
      </x:c>
      <x:c r="C183" s="167" t="str">
        <x:f>"09521 1002329"</x:f>
        <x:v>09521 1002329</x:v>
      </x:c>
      <x:c r="D183" s="68" t="str">
        <x:v>TRAN QU6c DAO</x:v>
      </x:c>
      <x:c r="E183" s="68" t="str"/>
      <x:c r="F183" s="68" t="str">
        <x:v>02/10/201 1</x:v>
      </x:c>
      <x:c r="G183" s="68" t="str">
        <x:v>Kinh</x:v>
      </x:c>
      <x:c r="H183" s="68" t="str">
        <x:v>Xa Vinh Thanh</x:v>
      </x:c>
      <x:c r="I183" s="68" t="str">
        <x:v>THCS Hung Phd</x:v>
      </x:c>
      <x:c r="J183" s="68" t="str">
        <x:v>Xa Vinh Thanh</x:v>
      </x:c>
      <x:c r="K183" s="68" t="str">
        <x:v>34.3</x:v>
      </x:c>
      <x:c r="L183" s="68" t="str">
        <x:v>39</x:v>
      </x:c>
      <x:c r="M183" s="68" t="str"/>
      <x:c r="N183" s="68" t="str"/>
      <x:c r="O183" s="68" t="str">
        <x:v>73.3</x:v>
      </x:c>
      <x:c r="P183" s="68" t="str"/>
    </x:row>
    <x:row r="184">
      <x:c r="A184" s="106" t="n">
        <x:v>6</x:v>
      </x:c>
      <x:c r="B184" s="106" t="str">
        <x:v>183</x:v>
      </x:c>
      <x:c r="C184" s="167" t="str">
        <x:f>"0953 1 1004358"</x:f>
        <x:v>0953 1 1004358</x:v>
      </x:c>
      <x:c r="D184" s="68" t="str">
        <x:v>TRU'aNG THI NHU V</x:v>
      </x:c>
      <x:c r="E184" s="68" t="str">
        <x:v>X</x:v>
      </x:c>
      <x:c r="F184" s="68" t="str">
        <x:v>19/04/2011</x:v>
      </x:c>
      <x:c r="G184" s="68" t="str">
        <x:v>Kinh</x:v>
      </x:c>
      <x:c r="H184" s="68" t="str">
        <x:v>Xa Phudc Long</x:v>
      </x:c>
      <x:c r="I184" s="68" t="str">
        <x:v>THCS Phua Long</x:v>
      </x:c>
      <x:c r="J184" s="68" t="str">
        <x:v>Xa Phu6c Long</x:v>
      </x:c>
      <x:c r="K184" s="68" t="str">
        <x:v>34.2</x:v>
      </x:c>
      <x:c r="L184" s="68" t="str">
        <x:v>39</x:v>
      </x:c>
      <x:c r="M184" s="68" t="str"/>
      <x:c r="N184" s="68" t="str"/>
      <x:c r="O184" s="68" t="str">
        <x:v>73.2</x:v>
      </x:c>
      <x:c r="P184" s="68" t="str"/>
    </x:row>
    <x:row r="185">
      <x:c r="A185" s="106" t="n">
        <x:v>6</x:v>
      </x:c>
      <x:c r="B185" s="106" t="str">
        <x:v>184</x:v>
      </x:c>
      <x:c r="C185" s="167" t="str">
        <x:f>"09531 1002413"</x:f>
        <x:v>09531 1002413</x:v>
      </x:c>
      <x:c r="D185" s="68" t="str">
        <x:v>LE KIM t</x:v>
      </x:c>
      <x:c r="E185" s="68" t="str">
        <x:v>X 3</x:v>
      </x:c>
      <x:c r="F185" s="68" t="str">
        <x:v>1/05/2011</x:v>
      </x:c>
      <x:c r="G185" s="68" t="str">
        <x:v>Kinh</x:v>
      </x:c>
      <x:c r="H185" s="68" t="str">
        <x:v>Xa Phudc Long</x:v>
      </x:c>
      <x:c r="I185" s="68" t="str">
        <x:v>THCS VTnh Thanh</x:v>
      </x:c>
      <x:c r="J185" s="68" t="str">
        <x:v>Xa Vinh Thanh</x:v>
      </x:c>
      <x:c r="K185" s="68" t="str">
        <x:v>34.2</x:v>
      </x:c>
      <x:c r="L185" s="68" t="str">
        <x:v>39</x:v>
      </x:c>
      <x:c r="M185" s="68" t="str"/>
      <x:c r="N185" s="68" t="str"/>
      <x:c r="O185" s="68" t="str">
        <x:v>73.2</x:v>
      </x:c>
      <x:c r="P185" s="68" t="str"/>
    </x:row>
    <x:row r="186">
      <x:c r="A186" s="106" t="n">
        <x:v>6</x:v>
      </x:c>
      <x:c r="B186" s="106" t="str">
        <x:v>185</x:v>
      </x:c>
      <x:c r="C186" s="167" t="str">
        <x:f>"095211005872"</x:f>
        <x:v>095211005872</x:v>
      </x:c>
      <x:c r="D186" s="68" t="str">
        <x:v>NGUY£N HO ANG THANG</x:v>
      </x:c>
      <x:c r="E186" s="68" t="str"/>
      <x:c r="F186" s="68" t="str">
        <x:v>04/02/201 1</x:v>
      </x:c>
      <x:c r="G186" s="68" t="str">
        <x:v>Khmer</x:v>
      </x:c>
      <x:c r="H186" s="68" t="str">
        <x:v>Xa Phudc Long</x:v>
      </x:c>
      <x:c r="I186" s="68" t="str">
        <x:v>THCS Vrnh Thanh</x:v>
      </x:c>
      <x:c r="J186" s="68" t="str">
        <x:v>Xa Vinh Thanh</x:v>
      </x:c>
      <x:c r="K186" s="68" t="str">
        <x:v>33.2</x:v>
      </x:c>
      <x:c r="L186" s="68" t="str">
        <x:v>39</x:v>
      </x:c>
      <x:c r="M186" s="68" t="str">
        <x:v>1.0</x:v>
      </x:c>
      <x:c r="N186" s="68" t="str"/>
      <x:c r="O186" s="68" t="str">
        <x:v>73.2</x:v>
      </x:c>
      <x:c r="P186" s="68" t="str"/>
    </x:row>
    <x:row r="187">
      <x:c r="A187" s="106" t="n">
        <x:v>6</x:v>
      </x:c>
      <x:c r="B187" s="106" t="str">
        <x:v>186</x:v>
      </x:c>
      <x:c r="C187" s="167" t="str">
        <x:f>"095211001974"</x:f>
        <x:v>095211001974</x:v>
      </x:c>
      <x:c r="D187" s="68" t="str">
        <x:v>HUYNH TAN DAT</x:v>
      </x:c>
      <x:c r="E187" s="68" t="str"/>
      <x:c r="F187" s="68" t="str">
        <x:v>07/03/201 1</x:v>
      </x:c>
      <x:c r="G187" s="68" t="str">
        <x:v>Kinh</x:v>
      </x:c>
      <x:c r="H187" s="68" t="str">
        <x:v>Xa Vrnh Phudc</x:v>
      </x:c>
      <x:c r="I187" s="68" t="str">
        <x:v>THCS Phudc Long</x:v>
      </x:c>
      <x:c r="J187" s="68" t="str">
        <x:v>Xa Phu6c Long</x:v>
      </x:c>
      <x:c r="K187" s="68" t="str">
        <x:v>34.2</x:v>
      </x:c>
      <x:c r="L187" s="68" t="str">
        <x:v>39</x:v>
      </x:c>
      <x:c r="M187" s="68" t="str"/>
      <x:c r="N187" s="68" t="str"/>
      <x:c r="O187" s="68" t="str">
        <x:v>73.2</x:v>
      </x:c>
      <x:c r="P187" s="68" t="str"/>
    </x:row>
    <x:row r="188">
      <x:c r="A188" s="106" t="n">
        <x:v>6</x:v>
      </x:c>
      <x:c r="B188" s="106" t="str">
        <x:v>187</x:v>
      </x:c>
      <x:c r="C188" s="167" t="str">
        <x:f>"09521 100935 1"</x:f>
        <x:v>09521 100935 1</x:v>
      </x:c>
      <x:c r="D188" s="68" t="str">
        <x:v>NGUY£N HAO NAM</x:v>
      </x:c>
      <x:c r="E188" s="68" t="str"/>
      <x:c r="F188" s="68" t="str">
        <x:v>08/05/201 1</x:v>
      </x:c>
      <x:c r="G188" s="68" t="str">
        <x:v>Kinh</x:v>
      </x:c>
      <x:c r="H188" s="68" t="str">
        <x:v>Xi Phu6c Long</x:v>
      </x:c>
      <x:c r="I188" s="68" t="str">
        <x:v>THCS Phu6c Long</x:v>
      </x:c>
      <x:c r="J188" s="68" t="str">
        <x:v>Xa Phudc Long</x:v>
      </x:c>
      <x:c r="K188" s="68" t="str">
        <x:v>34.1</x:v>
      </x:c>
      <x:c r="L188" s="68" t="str">
        <x:v>39</x:v>
      </x:c>
      <x:c r="M188" s="68" t="str"/>
      <x:c r="N188" s="68" t="str"/>
      <x:c r="O188" s="68" t="str">
        <x:v>73.1</x:v>
      </x:c>
      <x:c r="P188" s="68" t="str"/>
    </x:row>
    <x:row r="189">
      <x:c r="A189" s="106" t="n">
        <x:v>6</x:v>
      </x:c>
      <x:c r="B189" s="106" t="str">
        <x:v>188</x:v>
      </x:c>
      <x:c r="C189" s="167" t="str">
        <x:f>"0953 1 1007619"</x:f>
        <x:v>0953 1 1007619</x:v>
      </x:c>
      <x:c r="D189" s="68" t="str">
        <x:v>TRIEU HO TRaC ANH</x:v>
      </x:c>
      <x:c r="E189" s="68" t="str">
        <x:v>X</x:v>
      </x:c>
      <x:c r="F189" s="68" t="str">
        <x:v>11/12/2011</x:v>
      </x:c>
      <x:c r="G189" s="68" t="str">
        <x:v>Kinh</x:v>
      </x:c>
      <x:c r="H189" s="68" t="str">
        <x:v>Xa Vinh phudc</x:v>
      </x:c>
      <x:c r="I189" s="68" t="str">
        <x:v>THCS Vinh Pha Tay</x:v>
      </x:c>
      <x:c r="J189" s="68" t="str">
        <x:v>Xa VTnh Phu6c</x:v>
      </x:c>
      <x:c r="K189" s="68" t="str">
        <x:v>34. 1</x:v>
      </x:c>
      <x:c r="L189" s="68" t="str">
        <x:v>39</x:v>
      </x:c>
      <x:c r="M189" s="68" t="str"/>
      <x:c r="N189" s="68" t="str"/>
      <x:c r="O189" s="68" t="str">
        <x:v>73.1</x:v>
      </x:c>
      <x:c r="P189" s="68" t="str"/>
    </x:row>
    <x:row r="190">
      <x:c r="A190" s="106" t="n">
        <x:v>6</x:v>
      </x:c>
      <x:c r="B190" s="106" t="str">
        <x:v>189</x:v>
      </x:c>
      <x:c r="C190" s="167" t="str">
        <x:f>"095311008907"</x:f>
        <x:v>095311008907</x:v>
      </x:c>
      <x:c r="D190" s="68" t="str">
        <x:v>v6 THI NHUBtNH</x:v>
      </x:c>
      <x:c r="E190" s="68" t="str">
        <x:v>X</x:v>
      </x:c>
      <x:c r="F190" s="68" t="str">
        <x:v>13/09/201 1</x:v>
      </x:c>
      <x:c r="G190" s="68" t="str">
        <x:v>Kinh</x:v>
      </x:c>
      <x:c r="H190" s="68" t="str">
        <x:v>Xa Wnh Thanh</x:v>
      </x:c>
      <x:c r="I190" s="68" t="str">
        <x:v>THCS VTnh Thanh</x:v>
      </x:c>
      <x:c r="J190" s="68" t="str">
        <x:v>Xa VTnh Thanh</x:v>
      </x:c>
      <x:c r="K190" s="68" t="str">
        <x:v>34.1</x:v>
      </x:c>
      <x:c r="L190" s="68" t="str">
        <x:v>39</x:v>
      </x:c>
      <x:c r="M190" s="68" t="str"/>
      <x:c r="N190" s="68" t="str"/>
      <x:c r="O190" s="68" t="str">
        <x:v>73.1</x:v>
      </x:c>
      <x:c r="P190" s="68" t="str"/>
    </x:row>
    <x:row r="191">
      <x:c r="A191" s="106" t="n">
        <x:v>6</x:v>
      </x:c>
      <x:c r="B191" s="106" t="str">
        <x:v>190</x:v>
      </x:c>
      <x:c r="C191" s="167" t="str">
        <x:f>"095311001916"</x:f>
        <x:v>095311001916</x:v>
      </x:c>
      <x:c r="D191" s="68" t="str">
        <x:v>LE UY£N NHI</x:v>
      </x:c>
      <x:c r="E191" s="68" t="str">
        <x:v>X</x:v>
      </x:c>
      <x:c r="F191" s="68" t="str">
        <x:v>09/08/2011</x:v>
      </x:c>
      <x:c r="G191" s="68" t="str">
        <x:v>Kinh</x:v>
      </x:c>
      <x:c r="H191" s="68" t="str">
        <x:v>Xa Phu6c Long</x:v>
      </x:c>
      <x:c r="I191" s="68" t="str">
        <x:v>THCS Phu6c Long</x:v>
      </x:c>
      <x:c r="J191" s="68" t="str">
        <x:v>Xa Phu6c Long</x:v>
      </x:c>
      <x:c r="K191" s="68" t="str">
        <x:v>34.0</x:v>
      </x:c>
      <x:c r="L191" s="68" t="str">
        <x:v>39</x:v>
      </x:c>
      <x:c r="M191" s="68" t="str"/>
      <x:c r="N191" s="68" t="str"/>
      <x:c r="O191" s="68" t="str">
        <x:v>73.0</x:v>
      </x:c>
      <x:c r="P191" s="68" t="str"/>
    </x:row>
    <x:row r="192">
      <x:c r="A192" s="106" t="n">
        <x:v>6</x:v>
      </x:c>
      <x:c r="B192" s="106" t="str">
        <x:v>191</x:v>
      </x:c>
      <x:c r="C192" s="167" t="str">
        <x:f>"0953 1 1001570"</x:f>
        <x:v>0953 1 1001570</x:v>
      </x:c>
      <x:c r="D192" s="68" t="str">
        <x:v>vO NGQC DIBP</x:v>
      </x:c>
      <x:c r="E192" s="68" t="str">
        <x:v>X</x:v>
      </x:c>
      <x:c r="F192" s="68" t="str">
        <x:v>26/1 1/2011</x:v>
      </x:c>
      <x:c r="G192" s="68" t="str">
        <x:v>Kinh</x:v>
      </x:c>
      <x:c r="H192" s="68" t="str">
        <x:v>Xa Phu6c Long</x:v>
      </x:c>
      <x:c r="I192" s="68" t="str">
        <x:v>THCS Phu6c Long</x:v>
      </x:c>
      <x:c r="J192" s="68" t="str">
        <x:v>Xa Phudc Long</x:v>
      </x:c>
      <x:c r="K192" s="68" t="str">
        <x:v>34.0</x:v>
      </x:c>
      <x:c r="L192" s="68" t="str">
        <x:v>39</x:v>
      </x:c>
      <x:c r="M192" s="68" t="str"/>
      <x:c r="N192" s="68" t="str"/>
      <x:c r="O192" s="68" t="str">
        <x:v>73.0</x:v>
      </x:c>
      <x:c r="P192" s="68" t="str"/>
    </x:row>
    <x:row r="193">
      <x:c r="A193" s="106" t="n">
        <x:v>6</x:v>
      </x:c>
      <x:c r="B193" s="106" t="str">
        <x:v>192</x:v>
      </x:c>
      <x:c r="C193" s="167" t="str">
        <x:f>"09521 1003592"</x:f>
        <x:v>09521 1003592</x:v>
      </x:c>
      <x:c r="D193" s="68" t="str">
        <x:v>DANG THAI BAO</x:v>
      </x:c>
      <x:c r="E193" s="68" t="str"/>
      <x:c r="F193" s="68" t="str">
        <x:v>16/04/201 1</x:v>
      </x:c>
      <x:c r="G193" s="68" t="str">
        <x:v>Kinh</x:v>
      </x:c>
      <x:c r="H193" s="68" t="str">
        <x:v>Xa Phu6c Long</x:v>
      </x:c>
      <x:c r="I193" s="68" t="str">
        <x:v>THCS Phu6c Long</x:v>
      </x:c>
      <x:c r="J193" s="68" t="str">
        <x:v>Xa Phudc Long</x:v>
      </x:c>
      <x:c r="K193" s="68" t="str">
        <x:v>34.0</x:v>
      </x:c>
      <x:c r="L193" s="68" t="str">
        <x:v>39</x:v>
      </x:c>
      <x:c r="M193" s="68" t="str"/>
      <x:c r="N193" s="68" t="str"/>
      <x:c r="O193" s="68" t="str">
        <x:v>73.0</x:v>
      </x:c>
      <x:c r="P193" s="68" t="str"/>
    </x:row>
    <x:row r="194">
      <x:c r="A194" s="106" t="n">
        <x:v>6</x:v>
      </x:c>
      <x:c r="B194" s="106" t="str">
        <x:v>193</x:v>
      </x:c>
      <x:c r="C194" s="167" t="str">
        <x:f>"0953 1 1002202"</x:f>
        <x:v>0953 1 1002202</x:v>
      </x:c>
      <x:c r="D194" s="68" t="str">
        <x:v>NGUYEN NGQC QUtNH</x:v>
      </x:c>
      <x:c r="E194" s="68" t="str">
        <x:v>X</x:v>
      </x:c>
      <x:c r="F194" s="68" t="str">
        <x:v>01/04/201 1</x:v>
      </x:c>
      <x:c r="G194" s="68" t="str">
        <x:v>Kinh</x:v>
      </x:c>
      <x:c r="H194" s="68" t="str">
        <x:v>Xa VTnh Phu6c</x:v>
      </x:c>
      <x:c r="I194" s="68" t="str">
        <x:v>THCS Phu6c Long</x:v>
      </x:c>
      <x:c r="J194" s="68" t="str">
        <x:v>Xa Phu6c Long</x:v>
      </x:c>
      <x:c r="K194" s="68" t="str">
        <x:v>34.0</x:v>
      </x:c>
      <x:c r="L194" s="68" t="str">
        <x:v>39</x:v>
      </x:c>
      <x:c r="M194" s="68" t="str"/>
      <x:c r="N194" s="68" t="str"/>
      <x:c r="O194" s="68" t="str">
        <x:v>73.0</x:v>
      </x:c>
      <x:c r="P194" s="68" t="str"/>
    </x:row>
    <x:row r="195">
      <x:c r="A195" s="106" t="n">
        <x:v>6</x:v>
      </x:c>
      <x:c r="B195" s="106" t="str">
        <x:v>194</x:v>
      </x:c>
      <x:c r="C195" s="167" t="str">
        <x:f>"0953 1 1002907"</x:f>
        <x:v>0953 1 1002907</x:v>
      </x:c>
      <x:c r="D195" s="68" t="str">
        <x:v>NGO YEN KHOA</x:v>
      </x:c>
      <x:c r="E195" s="68" t="str">
        <x:v>X</x:v>
      </x:c>
      <x:c r="F195" s="68" t="str">
        <x:v>02/1 1/2011</x:v>
      </x:c>
      <x:c r="G195" s="68" t="str">
        <x:v>Kinh</x:v>
      </x:c>
      <x:c r="H195" s="68" t="str">
        <x:v>Xa VTnh Thanh</x:v>
      </x:c>
      <x:c r="I195" s="68" t="str">
        <x:v>THCS Hung Phd</x:v>
      </x:c>
      <x:c r="J195" s="68" t="str">
        <x:v>Xa Vrnh Thanh</x:v>
      </x:c>
      <x:c r="K195" s="68" t="str">
        <x:v>34.0</x:v>
      </x:c>
      <x:c r="L195" s="68" t="str">
        <x:v>39</x:v>
      </x:c>
      <x:c r="M195" s="68" t="str"/>
      <x:c r="N195" s="68" t="str"/>
      <x:c r="O195" s="68" t="str">
        <x:v>73.0</x:v>
      </x:c>
      <x:c r="P195" s="68" t="str"/>
    </x:row>
    <x:row r="196">
      <x:c r="A196" s="106" t="n">
        <x:v>6</x:v>
      </x:c>
      <x:c r="B196" s="106" t="str">
        <x:v>195</x:v>
      </x:c>
      <x:c r="C196" s="167" t="str">
        <x:f>"09521 1002706"</x:f>
        <x:v>09521 1002706</x:v>
      </x:c>
      <x:c r="D196" s="68" t="str">
        <x:v>TRAN NHAT THEEN</x:v>
      </x:c>
      <x:c r="E196" s="68" t="str"/>
      <x:c r="F196" s="68" t="str">
        <x:v>05/10/201 1</x:v>
      </x:c>
      <x:c r="G196" s="68" t="str">
        <x:v>Kinh</x:v>
      </x:c>
      <x:c r="H196" s="68" t="str">
        <x:v>Xa Phu6c Long</x:v>
      </x:c>
      <x:c r="I196" s="68" t="str">
        <x:v>THCS Vinh Tbanh</x:v>
      </x:c>
      <x:c r="J196" s="68" t="str">
        <x:v>Xa Vinh Thanh</x:v>
      </x:c>
      <x:c r="K196" s="68" t="str">
        <x:v>34.0</x:v>
      </x:c>
      <x:c r="L196" s="68" t="str">
        <x:v>39</x:v>
      </x:c>
      <x:c r="M196" s="68" t="str"/>
      <x:c r="N196" s="68" t="str"/>
      <x:c r="O196" s="68" t="str">
        <x:v>73.0</x:v>
      </x:c>
      <x:c r="P196" s="68" t="str"/>
    </x:row>
    <x:row r="197">
      <x:c r="A197" s="106" t="n">
        <x:v>6</x:v>
      </x:c>
      <x:c r="B197" s="106" t="str">
        <x:v>196</x:v>
      </x:c>
      <x:c r="C197" s="167" t="str">
        <x:f>"095211004058"</x:f>
        <x:v>095211004058</x:v>
      </x:c>
      <x:c r="D197" s="68" t="str">
        <x:v>HUtNH KHANH DUY</x:v>
      </x:c>
      <x:c r="E197" s="68" t="str"/>
      <x:c r="F197" s="68" t="str">
        <x:v>06/07/2011</x:v>
      </x:c>
      <x:c r="G197" s="68" t="str">
        <x:v>Kinh</x:v>
      </x:c>
      <x:c r="H197" s="68" t="str">
        <x:v>Xa Vmh Thanh</x:v>
      </x:c>
      <x:c r="I197" s="68" t="str">
        <x:v>THCS Vinh Thanh</x:v>
      </x:c>
      <x:c r="J197" s="68" t="str">
        <x:v>Xa VTnh Thanh</x:v>
      </x:c>
      <x:c r="K197" s="68" t="str">
        <x:v>33.5</x:v>
      </x:c>
      <x:c r="L197" s="68" t="str">
        <x:v>39</x:v>
      </x:c>
      <x:c r="M197" s="68" t="str"/>
      <x:c r="N197" s="68" t="str">
        <x:v>0.5</x:v>
      </x:c>
      <x:c r="O197" s="68" t="str">
        <x:v>73.0</x:v>
      </x:c>
      <x:c r="P197" s="68" t="str"/>
    </x:row>
    <x:row r="198">
      <x:c r="A198" s="106" t="n">
        <x:v>6</x:v>
      </x:c>
      <x:c r="B198" s="106" t="str">
        <x:v>197</x:v>
      </x:c>
      <x:c r="C198" s="167" t="str">
        <x:f>"0953 1 1005780"</x:f>
        <x:v>0953 1 1005780</x:v>
      </x:c>
      <x:c r="D198" s="68" t="str">
        <x:v>NGUY£N NGQC TU'aNG LAM</x:v>
      </x:c>
      <x:c r="E198" s="68" t="str">
        <x:v>X</x:v>
      </x:c>
      <x:c r="F198" s="68" t="str">
        <x:v>26/04/201 1</x:v>
      </x:c>
      <x:c r="G198" s="68" t="str">
        <x:v>Kinh Xa</x:v>
      </x:c>
      <x:c r="H198" s="68" t="str">
        <x:v>Ninh ThBnh Lai</x:v>
      </x:c>
      <x:c r="I198" s="68" t="str">
        <x:v>THCS Phudc Long</x:v>
      </x:c>
      <x:c r="J198" s="68" t="str">
        <x:v>Xa Vinh Phu6c</x:v>
      </x:c>
      <x:c r="K198" s="68" t="str">
        <x:v>33.0</x:v>
      </x:c>
      <x:c r="L198" s="68" t="str">
        <x:v>39</x:v>
      </x:c>
      <x:c r="M198" s="68" t="str">
        <x:v>1.0</x:v>
      </x:c>
      <x:c r="N198" s="68" t="str"/>
      <x:c r="O198" s="68" t="str">
        <x:v>73.0</x:v>
      </x:c>
      <x:c r="P198" s="68" t="str"/>
    </x:row>
    <x:row r="199">
      <x:c r="A199" s="106" t="n">
        <x:v>6</x:v>
      </x:c>
      <x:c r="B199" s="106" t="str">
        <x:v>198</x:v>
      </x:c>
      <x:c r="C199" s="167" t="str">
        <x:f>"09531 1002041"</x:f>
        <x:v>09531 1002041</x:v>
      </x:c>
      <x:c r="D199" s="68" t="str">
        <x:v>NGUYEN THI NGQC DOAN</x:v>
      </x:c>
      <x:c r="E199" s="68" t="str">
        <x:v>X</x:v>
      </x:c>
      <x:c r="F199" s="68" t="str">
        <x:v>27/01/201 1</x:v>
      </x:c>
      <x:c r="G199" s="68" t="str">
        <x:v>Kinh</x:v>
      </x:c>
      <x:c r="H199" s="68" t="str">
        <x:v>Xa Vinh phu&amp;</x:v>
      </x:c>
      <x:c r="I199" s="68" t="str">
        <x:v>THCS Phu(ic Long</x:v>
      </x:c>
      <x:c r="J199" s="68" t="str">
        <x:v>Xa VTnh Phu6c</x:v>
      </x:c>
      <x:c r="K199" s="68" t="str">
        <x:v>34.0</x:v>
      </x:c>
      <x:c r="L199" s="68" t="str">
        <x:v>38</x:v>
      </x:c>
      <x:c r="M199" s="68" t="str">
        <x:v>1.0</x:v>
      </x:c>
      <x:c r="N199" s="68" t="str"/>
      <x:c r="O199" s="68" t="str">
        <x:v>73.0</x:v>
      </x:c>
      <x:c r="P199" s="68" t="str"/>
    </x:row>
    <x:row r="200">
      <x:c r="A200" s="106" t="n">
        <x:v>7</x:v>
      </x:c>
      <x:c r="B200" s="106" t="str">
        <x:v>199</x:v>
      </x:c>
      <x:c r="C200" s="167" t="str">
        <x:f>"09521 1008995"</x:f>
        <x:v>09521 1008995</x:v>
      </x:c>
      <x:c r="D200" s="68" t="str">
        <x:v>NGUY£N vAN TIEN</x:v>
      </x:c>
      <x:c r="E200" s="68" t="str"/>
      <x:c r="F200" s="68" t="str">
        <x:v>18/12/201 1</x:v>
      </x:c>
      <x:c r="G200" s="68" t="str">
        <x:v>Kinh</x:v>
      </x:c>
      <x:c r="H200" s="68" t="str">
        <x:v>Xa H6ng Dan</x:v>
      </x:c>
      <x:c r="I200" s="68" t="str">
        <x:v>THCS Truang Vinh KV</x:v>
      </x:c>
      <x:c r="J200" s="68" t="str">
        <x:v>Xa H6ng Dan</x:v>
      </x:c>
      <x:c r="K200" s="68" t="str">
        <x:v>34.0</x:v>
      </x:c>
      <x:c r="L200" s="68" t="str">
        <x:v>39</x:v>
      </x:c>
      <x:c r="M200" s="68" t="str"/>
      <x:c r="N200" s="68" t="str"/>
      <x:c r="O200" s="68" t="str">
        <x:v>73.0</x:v>
      </x:c>
      <x:c r="P200" s="68" t="str"/>
    </x:row>
    <x:row r="201">
      <x:c r="A201" s="106" t="n">
        <x:v>7</x:v>
      </x:c>
      <x:c r="B201" s="106" t="str">
        <x:v>200</x:v>
      </x:c>
      <x:c r="C201" s="167" t="str">
        <x:f>"0953 1 1006 139"</x:f>
        <x:v>0953 1 1006 139</x:v>
      </x:c>
      <x:c r="D201" s="68" t="str">
        <x:v>NGUYeN THUV NGAN</x:v>
      </x:c>
      <x:c r="E201" s="68" t="str">
        <x:v>X</x:v>
      </x:c>
      <x:c r="F201" s="68" t="str">
        <x:v>04/08/2011</x:v>
      </x:c>
      <x:c r="G201" s="68" t="str">
        <x:v>Kinh</x:v>
      </x:c>
      <x:c r="H201" s="68" t="str">
        <x:v>Xa VTnh Phu6c</x:v>
      </x:c>
      <x:c r="I201" s="68" t="str">
        <x:v>THCS Phu6c Long</x:v>
      </x:c>
      <x:c r="J201" s="68" t="str">
        <x:v>Xa Phu6c Long</x:v>
      </x:c>
      <x:c r="K201" s="68" t="str">
        <x:v>33.9</x:v>
      </x:c>
      <x:c r="L201" s="68" t="str">
        <x:v>39</x:v>
      </x:c>
      <x:c r="M201" s="68" t="str"/>
      <x:c r="N201" s="68" t="str"/>
      <x:c r="O201" s="68" t="str">
        <x:v>72.9</x:v>
      </x:c>
      <x:c r="P201" s="68" t="str"/>
    </x:row>
    <x:row r="202">
      <x:c r="A202" s="106" t="n">
        <x:v>7</x:v>
      </x:c>
      <x:c r="B202" s="106" t="str">
        <x:v>201</x:v>
      </x:c>
      <x:c r="C202" s="167" t="str">
        <x:f>"0953 1 1004874"</x:f>
        <x:v>0953 1 1004874</x:v>
      </x:c>
      <x:c r="D202" s="68" t="str">
        <x:v>NGUYEN LA LAM</x:v>
      </x:c>
      <x:c r="E202" s="68" t="str">
        <x:v>X</x:v>
      </x:c>
      <x:c r="F202" s="68" t="str">
        <x:v>12/06/2011</x:v>
      </x:c>
      <x:c r="G202" s="68" t="str">
        <x:v>Kinh</x:v>
      </x:c>
      <x:c r="H202" s="68" t="str">
        <x:v>Xa VTnh Phudc</x:v>
      </x:c>
      <x:c r="I202" s="68" t="str">
        <x:v>THCS Phu6c Long</x:v>
      </x:c>
      <x:c r="J202" s="68" t="str">
        <x:v>Xa Phu6c Long</x:v>
      </x:c>
      <x:c r="K202" s="68" t="str">
        <x:v>33.9</x:v>
      </x:c>
      <x:c r="L202" s="68" t="str">
        <x:v>39</x:v>
      </x:c>
      <x:c r="M202" s="68" t="str"/>
      <x:c r="N202" s="68" t="str"/>
      <x:c r="O202" s="68" t="str">
        <x:v>72.9</x:v>
      </x:c>
      <x:c r="P202" s="68" t="str"/>
    </x:row>
    <x:row r="203">
      <x:c r="A203" s="106" t="n">
        <x:v>7</x:v>
      </x:c>
      <x:c r="B203" s="106" t="str">
        <x:v>202</x:v>
      </x:c>
      <x:c r="C203" s="167" t="str">
        <x:f>"09531 1007355"</x:f>
        <x:v>09531 1007355</x:v>
      </x:c>
      <x:c r="D203" s="68" t="str">
        <x:v>v6 vAN LAM</x:v>
      </x:c>
      <x:c r="E203" s="68" t="str">
        <x:v>X</x:v>
      </x:c>
      <x:c r="F203" s="68" t="str">
        <x:v>05/1 1/2011</x:v>
      </x:c>
      <x:c r="G203" s="68" t="str">
        <x:v>Kinh</x:v>
      </x:c>
      <x:c r="H203" s="68" t="str">
        <x:v>Xa Phu6c Long</x:v>
      </x:c>
      <x:c r="I203" s="68" t="str">
        <x:v>THCS Phu6c Long</x:v>
      </x:c>
      <x:c r="J203" s="68" t="str">
        <x:v>Xa Phu6c Long</x:v>
      </x:c>
      <x:c r="K203" s="68" t="str">
        <x:v>33.9</x:v>
      </x:c>
      <x:c r="L203" s="68" t="str">
        <x:v>39</x:v>
      </x:c>
      <x:c r="M203" s="68" t="str"/>
      <x:c r="N203" s="68" t="str"/>
      <x:c r="O203" s="68" t="str">
        <x:v>72.9</x:v>
      </x:c>
      <x:c r="P203" s="68" t="str"/>
    </x:row>
    <x:row r="204">
      <x:c r="A204" s="106" t="n">
        <x:v>7</x:v>
      </x:c>
      <x:c r="B204" s="106" t="str">
        <x:v>203</x:v>
      </x:c>
      <x:c r="C204" s="167" t="str">
        <x:f>"09531 1002005"</x:f>
        <x:v>09531 1002005</x:v>
      </x:c>
      <x:c r="D204" s="68" t="str">
        <x:v>TRUONG THI H6NG My</x:v>
      </x:c>
      <x:c r="E204" s="68" t="str">
        <x:v>X</x:v>
      </x:c>
      <x:c r="F204" s="68" t="str">
        <x:v>11/03/2011</x:v>
      </x:c>
      <x:c r="G204" s="68" t="str">
        <x:v>Kinh</x:v>
      </x:c>
      <x:c r="H204" s="68" t="str">
        <x:v>Xa VTnh Thanh</x:v>
      </x:c>
      <x:c r="I204" s="68" t="str">
        <x:v>THCS VTnh Thanh</x:v>
      </x:c>
      <x:c r="J204" s="68" t="str">
        <x:v>Xa Wmh Thanh</x:v>
      </x:c>
      <x:c r="K204" s="68" t="str">
        <x:v>33.9</x:v>
      </x:c>
      <x:c r="L204" s="68" t="str">
        <x:v>39</x:v>
      </x:c>
      <x:c r="M204" s="68" t="str"/>
      <x:c r="N204" s="68" t="str"/>
      <x:c r="O204" s="68" t="str">
        <x:v>72.9</x:v>
      </x:c>
      <x:c r="P204" s="68" t="str"/>
    </x:row>
    <x:row r="205">
      <x:c r="A205" s="106" t="n">
        <x:v>7</x:v>
      </x:c>
      <x:c r="B205" s="106" t="str">
        <x:v>204</x:v>
      </x:c>
      <x:c r="C205" s="167" t="str">
        <x:f>"0953 1 1007144"</x:f>
        <x:v>0953 1 1007144</x:v>
      </x:c>
      <x:c r="D205" s="68" t="str">
        <x:v>NGUYEN TRaC QUtNH</x:v>
      </x:c>
      <x:c r="E205" s="68" t="str">
        <x:v>X</x:v>
      </x:c>
      <x:c r="F205" s="68" t="str">
        <x:v>03/04/2011</x:v>
      </x:c>
      <x:c r="G205" s="68" t="str">
        <x:v>Kinh</x:v>
      </x:c>
      <x:c r="H205" s="68" t="str">
        <x:v>Xa Phu6'c Long</x:v>
      </x:c>
      <x:c r="I205" s="68" t="str">
        <x:v>THCS Vuobg Hfru Nhon</x:v>
      </x:c>
      <x:c r="J205" s="68" t="str">
        <x:v>Xa Phu6c Long</x:v>
      </x:c>
      <x:c r="K205" s="68" t="str">
        <x:v>33.9</x:v>
      </x:c>
      <x:c r="L205" s="68" t="str">
        <x:v>39</x:v>
      </x:c>
      <x:c r="M205" s="68" t="str"/>
      <x:c r="N205" s="68" t="str"/>
      <x:c r="O205" s="68" t="str">
        <x:v>72.9</x:v>
      </x:c>
      <x:c r="P205" s="68" t="str"/>
    </x:row>
    <x:row r="206">
      <x:c r="A206" s="106" t="n">
        <x:v>7</x:v>
      </x:c>
      <x:c r="B206" s="106" t="str">
        <x:v>205</x:v>
      </x:c>
      <x:c r="C206" s="167" t="str">
        <x:f>"095211003728"</x:f>
        <x:v>095211003728</x:v>
      </x:c>
      <x:c r="D206" s="68" t="str">
        <x:v>TRAN MNH PHO</x:v>
      </x:c>
      <x:c r="E206" s="68" t="str"/>
      <x:c r="F206" s="68" t="str">
        <x:v>12/03/201 1</x:v>
      </x:c>
      <x:c r="G206" s="68" t="str">
        <x:v>Kinh</x:v>
      </x:c>
      <x:c r="H206" s="68" t="str">
        <x:v>Xa Phu6c Long</x:v>
      </x:c>
      <x:c r="I206" s="68" t="str">
        <x:v>THCS Vuang mu Nhan</x:v>
      </x:c>
      <x:c r="J206" s="68" t="str">
        <x:v>Xa Phu6c Long</x:v>
      </x:c>
      <x:c r="K206" s="68" t="str">
        <x:v>32.9</x:v>
      </x:c>
      <x:c r="L206" s="68" t="str">
        <x:v>40</x:v>
      </x:c>
      <x:c r="M206" s="68" t="str"/>
      <x:c r="N206" s="68" t="str"/>
      <x:c r="O206" s="68" t="str">
        <x:v>72.9</x:v>
      </x:c>
      <x:c r="P206" s="68" t="str"/>
    </x:row>
    <x:row r="207">
      <x:c r="A207" s="106" t="n">
        <x:v>7</x:v>
      </x:c>
      <x:c r="B207" s="106" t="str">
        <x:v>206</x:v>
      </x:c>
      <x:c r="C207" s="167" t="str">
        <x:f>"095211010081"</x:f>
        <x:v>095211010081</x:v>
      </x:c>
      <x:c r="D207" s="68" t="str">
        <x:v>H6 NlrAT HAO</x:v>
      </x:c>
      <x:c r="E207" s="68" t="str"/>
      <x:c r="F207" s="68" t="str">
        <x:v>09/1 1/2011</x:v>
      </x:c>
      <x:c r="G207" s="68" t="str">
        <x:v>Kinh</x:v>
      </x:c>
      <x:c r="H207" s="68" t="str">
        <x:v>Xa Vinh Thanh</x:v>
      </x:c>
      <x:c r="I207" s="68" t="str">
        <x:v>THCS Hung Phd</x:v>
      </x:c>
      <x:c r="J207" s="68" t="str">
        <x:v>Xa VTnh Thanh</x:v>
      </x:c>
      <x:c r="K207" s="68" t="str">
        <x:v>33.8</x:v>
      </x:c>
      <x:c r="L207" s="68" t="str">
        <x:v>39</x:v>
      </x:c>
      <x:c r="M207" s="68" t="str"/>
      <x:c r="N207" s="68" t="str"/>
      <x:c r="O207" s="68" t="str">
        <x:v>72.8</x:v>
      </x:c>
      <x:c r="P207" s="68" t="str"/>
    </x:row>
    <x:row r="208">
      <x:c r="A208" s="106" t="n">
        <x:v>7</x:v>
      </x:c>
      <x:c r="B208" s="106" t="str">
        <x:v>207</x:v>
      </x:c>
      <x:c r="C208" s="167" t="str">
        <x:f>"0953 1 1006724"</x:f>
        <x:v>0953 1 1006724</x:v>
      </x:c>
      <x:c r="D208" s="68" t="str">
        <x:v>NGUYEN NGQC H6NC LAM</x:v>
      </x:c>
      <x:c r="E208" s="68" t="str">
        <x:v>X</x:v>
      </x:c>
      <x:c r="F208" s="68" t="str">
        <x:v>25/1 1/2011</x:v>
      </x:c>
      <x:c r="G208" s="68" t="str">
        <x:v>Kinh</x:v>
      </x:c>
      <x:c r="H208" s="68" t="str">
        <x:v>Xa Vinh Phu6c</x:v>
      </x:c>
      <x:c r="I208" s="68" t="str">
        <x:v>THCS Vrnh Thanh</x:v>
      </x:c>
      <x:c r="J208" s="68" t="str">
        <x:v>Xa Vmh Thanh</x:v>
      </x:c>
      <x:c r="K208" s="68" t="str">
        <x:v>33.8</x:v>
      </x:c>
      <x:c r="L208" s="68" t="str">
        <x:v>38</x:v>
      </x:c>
      <x:c r="M208" s="68" t="str">
        <x:v>1.0</x:v>
      </x:c>
      <x:c r="N208" s="68" t="str"/>
      <x:c r="O208" s="68" t="str">
        <x:v>1 72.8 1</x:v>
      </x:c>
      <x:c r="P208" s="68" t="str"/>
    </x:row>
    <x:row r="209">
      <x:c r="A209" s="106" t="n">
        <x:v>7</x:v>
      </x:c>
      <x:c r="B209" s="106" t="str">
        <x:v>208</x:v>
      </x:c>
      <x:c r="C209" s="167" t="str">
        <x:f>"09531 1000421"</x:f>
        <x:v>09531 1000421</x:v>
      </x:c>
      <x:c r="D209" s="68" t="str">
        <x:v>LtINGUYBN HUtNH Nnu</x:v>
      </x:c>
      <x:c r="E209" s="68" t="str">
        <x:v>X</x:v>
      </x:c>
      <x:c r="F209" s="68" t="str">
        <x:v>28/08/2011</x:v>
      </x:c>
      <x:c r="G209" s="68" t="str">
        <x:v>Kinh</x:v>
      </x:c>
      <x:c r="H209" s="68" t="str">
        <x:v>Xa Vinh PhMc</x:v>
      </x:c>
      <x:c r="I209" s="68" t="str">
        <x:v>THCS Vinh Pha Tay</x:v>
      </x:c>
      <x:c r="J209" s="68" t="str">
        <x:v>Xa Vinh Phudc</x:v>
      </x:c>
      <x:c r="K209" s="68" t="str">
        <x:v>33.7</x:v>
      </x:c>
      <x:c r="L209" s="68" t="str">
        <x:v>39</x:v>
      </x:c>
      <x:c r="M209" s="68" t="str"/>
      <x:c r="N209" s="68" t="str"/>
      <x:c r="O209" s="68" t="str">
        <x:v>72.7</x:v>
      </x:c>
      <x:c r="P209" s="68" t="str"/>
    </x:row>
    <x:row r="210">
      <x:c r="A210" s="106" t="n">
        <x:v>7</x:v>
      </x:c>
      <x:c r="B210" s="106" t="str">
        <x:v>209</x:v>
      </x:c>
      <x:c r="C210" s="167" t="str">
        <x:f>"09331 1005218"</x:f>
        <x:v>09331 1005218</x:v>
      </x:c>
      <x:c r="D210" s="68" t="str">
        <x:v>BaI THI LE FrUY£N</x:v>
      </x:c>
      <x:c r="E210" s="68" t="str">
        <x:v>X</x:v>
      </x:c>
      <x:c r="F210" s="68" t="str">
        <x:v>14/03/201 1</x:v>
      </x:c>
      <x:c r="G210" s="68" t="str">
        <x:v>Kinh</x:v>
      </x:c>
      <x:c r="H210" s="68" t="str">
        <x:v>Xa Phudc Long</x:v>
      </x:c>
      <x:c r="I210" s="68" t="str">
        <x:v>THCS Vuang Hau Nhan</x:v>
      </x:c>
      <x:c r="J210" s="68" t="str">
        <x:v>Xg Phudc Long</x:v>
      </x:c>
      <x:c r="K210" s="68" t="str">
        <x:v>32.7</x:v>
      </x:c>
      <x:c r="L210" s="68" t="str">
        <x:v>39</x:v>
      </x:c>
      <x:c r="M210" s="68" t="str">
        <x:v>1.0</x:v>
      </x:c>
      <x:c r="N210" s="68" t="str"/>
      <x:c r="O210" s="68" t="str">
        <x:v>72.7</x:v>
      </x:c>
      <x:c r="P210" s="68" t="str"/>
    </x:row>
    <x:row r="211">
      <x:c r="A211" s="106" t="n">
        <x:v>7</x:v>
      </x:c>
      <x:c r="B211" s="106" t="str">
        <x:v>210</x:v>
      </x:c>
      <x:c r="C211" s="167" t="str">
        <x:f>"09521 100 1459"</x:f>
        <x:v>09521 100 1459</x:v>
      </x:c>
      <x:c r="D211" s="68" t="str">
        <x:v>NGUYEN PHOC LOC</x:v>
      </x:c>
      <x:c r="E211" s="68" t="str"/>
      <x:c r="F211" s="68" t="str">
        <x:v>06/02/20 11</x:v>
      </x:c>
      <x:c r="G211" s="68" t="str">
        <x:v>Khan</x:v>
      </x:c>
      <x:c r="H211" s="68" t="str">
        <x:v>Xa Phudc Long</x:v>
      </x:c>
      <x:c r="I211" s="68" t="str">
        <x:v>THCS Vuang Htru Nhan</x:v>
      </x:c>
      <x:c r="J211" s="68" t="str">
        <x:v>Xa Phu6c Long</x:v>
      </x:c>
      <x:c r="K211" s="68" t="str">
        <x:v>33.2</x:v>
      </x:c>
      <x:c r="L211" s="68" t="str">
        <x:v>38</x:v>
      </x:c>
      <x:c r="M211" s="68" t="str">
        <x:v>1.o I</x:v>
      </x:c>
      <x:c r="N211" s="68" t="str">
        <x:v>o.5</x:v>
      </x:c>
      <x:c r="O211" s="68" t="str">
        <x:v>72.7</x:v>
      </x:c>
      <x:c r="P211" s="68" t="str"/>
    </x:row>
    <x:row r="212">
      <x:c r="A212" s="106" t="n">
        <x:v>7</x:v>
      </x:c>
      <x:c r="B212" s="106" t="str">
        <x:v>211</x:v>
      </x:c>
      <x:c r="C212" s="167" t="str">
        <x:f>"09521 1000967"</x:f>
        <x:v>09521 1000967</x:v>
      </x:c>
      <x:c r="D212" s="68" t="str">
        <x:v>HUVNH THAI NGLIYEN</x:v>
      </x:c>
      <x:c r="E212" s="68" t="str"/>
      <x:c r="F212" s="68" t="str">
        <x:v>28/08/2011</x:v>
      </x:c>
      <x:c r="G212" s="68" t="str">
        <x:v>Kinh</x:v>
      </x:c>
      <x:c r="H212" s="68" t="str">
        <x:v>Xa Vinh Phudc</x:v>
      </x:c>
      <x:c r="I212" s="68" t="str">
        <x:v>THCS Phudc Long</x:v>
      </x:c>
      <x:c r="J212" s="68" t="str">
        <x:v>Xa Phu6c Long</x:v>
      </x:c>
      <x:c r="K212" s="68" t="str">
        <x:v>33.6</x:v>
      </x:c>
      <x:c r="L212" s="68" t="str">
        <x:v>39</x:v>
      </x:c>
      <x:c r="M212" s="68" t="str"/>
      <x:c r="N212" s="68" t="str"/>
      <x:c r="O212" s="68" t="str">
        <x:v>72.6</x:v>
      </x:c>
      <x:c r="P212" s="68" t="str"/>
    </x:row>
    <x:row r="213">
      <x:c r="A213" s="106" t="n">
        <x:v>7</x:v>
      </x:c>
      <x:c r="B213" s="106" t="str">
        <x:v>212</x:v>
      </x:c>
      <x:c r="C213" s="167" t="str">
        <x:f>"0953 1 1009734"</x:f>
        <x:v>0953 1 1009734</x:v>
      </x:c>
      <x:c r="D213" s="68" t="str">
        <x:v>THr£U ANH DU'CJNG</x:v>
      </x:c>
      <x:c r="E213" s="68" t="str">
        <x:v>X</x:v>
      </x:c>
      <x:c r="F213" s="68" t="str">
        <x:v>17/08/201 1</x:v>
      </x:c>
      <x:c r="G213" s="68" t="str">
        <x:v>Kinh</x:v>
      </x:c>
      <x:c r="H213" s="68" t="str">
        <x:v>Xa Phu6c Long</x:v>
      </x:c>
      <x:c r="I213" s="68" t="str">
        <x:v>THCS Phu6c Long</x:v>
      </x:c>
      <x:c r="J213" s="68" t="str">
        <x:v>Xi Phudc Long</x:v>
      </x:c>
      <x:c r="K213" s="68" t="str">
        <x:v>34.5</x:v>
      </x:c>
      <x:c r="L213" s="68" t="str">
        <x:v>38</x:v>
      </x:c>
      <x:c r="M213" s="68" t="str"/>
      <x:c r="N213" s="68" t="str"/>
      <x:c r="O213" s="68" t="str">
        <x:v>72.5</x:v>
      </x:c>
      <x:c r="P213" s="68" t="str"/>
    </x:row>
    <x:row r="214">
      <x:c r="A214" s="106" t="n">
        <x:v>7</x:v>
      </x:c>
      <x:c r="B214" s="106" t="str">
        <x:v>213</x:v>
      </x:c>
      <x:c r="C214" s="167" t="str">
        <x:f>"09521 1003603"</x:f>
        <x:v>09521 1003603</x:v>
      </x:c>
      <x:c r="D214" s="68" t="str">
        <x:v>HUYNH TUAN BaET</x:v>
      </x:c>
      <x:c r="E214" s="68" t="str"/>
      <x:c r="F214" s="68" t="str">
        <x:v>15/04/201 1</x:v>
      </x:c>
      <x:c r="G214" s="68" t="str">
        <x:v>Khmer</x:v>
      </x:c>
      <x:c r="H214" s="68" t="str">
        <x:v>Xa Phu6c Long</x:v>
      </x:c>
      <x:c r="I214" s="68" t="str">
        <x:v>THCS Phu6c Long</x:v>
      </x:c>
      <x:c r="J214" s="68" t="str">
        <x:v>Xa Phu6c Long</x:v>
      </x:c>
      <x:c r="K214" s="68" t="str">
        <x:v>33.5</x:v>
      </x:c>
      <x:c r="L214" s="68" t="str">
        <x:v>38</x:v>
      </x:c>
      <x:c r="M214" s="68" t="str">
        <x:v>1.0</x:v>
      </x:c>
      <x:c r="N214" s="68" t="str"/>
      <x:c r="O214" s="68" t="str">
        <x:v>72.5</x:v>
      </x:c>
      <x:c r="P214" s="68" t="str"/>
    </x:row>
    <x:row r="215">
      <x:c r="A215" s="106" t="n">
        <x:v>7</x:v>
      </x:c>
      <x:c r="B215" s="106" t="str">
        <x:v>214</x:v>
      </x:c>
      <x:c r="C215" s="167" t="str">
        <x:f>"087211002904"</x:f>
        <x:v>087211002904</x:v>
      </x:c>
      <x:c r="D215" s="68" t="str">
        <x:v>NGUYEN DANG KHOA</x:v>
      </x:c>
      <x:c r="E215" s="68" t="str"/>
      <x:c r="F215" s="68" t="str">
        <x:v>29/03/2011</x:v>
      </x:c>
      <x:c r="G215" s="68" t="str">
        <x:v>Kinh</x:v>
      </x:c>
      <x:c r="H215" s="68" t="str">
        <x:v>Xa VTnh Phudc</x:v>
      </x:c>
      <x:c r="I215" s="68" t="str">
        <x:v>THCS Wnh Pha Tay</x:v>
      </x:c>
      <x:c r="J215" s="68" t="str">
        <x:v>Xa VTnh Phu6c</x:v>
      </x:c>
      <x:c r="K215" s="68" t="str">
        <x:v>33.5</x:v>
      </x:c>
      <x:c r="L215" s="68" t="str">
        <x:v>39</x:v>
      </x:c>
      <x:c r="M215" s="68" t="str"/>
      <x:c r="N215" s="68" t="str"/>
      <x:c r="O215" s="68" t="str">
        <x:v>72.5</x:v>
      </x:c>
      <x:c r="P215" s="68" t="str"/>
    </x:row>
    <x:row r="216">
      <x:c r="A216" s="106" t="n">
        <x:v>7</x:v>
      </x:c>
      <x:c r="B216" s="106" t="str">
        <x:v>215</x:v>
      </x:c>
      <x:c r="C216" s="167" t="str">
        <x:f>"095311003488"</x:f>
        <x:v>095311003488</x:v>
      </x:c>
      <x:c r="D216" s="68" t="str">
        <x:v>HUtNH KIM NGAN</x:v>
      </x:c>
      <x:c r="E216" s="68" t="str">
        <x:v>X</x:v>
      </x:c>
      <x:c r="F216" s="68" t="str">
        <x:v>17/03/201 1</x:v>
      </x:c>
      <x:c r="G216" s="68" t="str">
        <x:v>Kinh</x:v>
      </x:c>
      <x:c r="H216" s="68" t="str">
        <x:v>Xa VTnh Thanh</x:v>
      </x:c>
      <x:c r="I216" s="68" t="str">
        <x:v>THCS Hung Phd</x:v>
      </x:c>
      <x:c r="J216" s="68" t="str">
        <x:v>Xa Vinh Thanh</x:v>
      </x:c>
      <x:c r="K216" s="68" t="str">
        <x:v>33.5</x:v>
      </x:c>
      <x:c r="L216" s="68" t="str">
        <x:v>39</x:v>
      </x:c>
      <x:c r="M216" s="68" t="str"/>
      <x:c r="N216" s="68" t="str"/>
      <x:c r="O216" s="68" t="str">
        <x:v>72.5</x:v>
      </x:c>
      <x:c r="P216" s="68" t="str"/>
    </x:row>
    <x:row r="217">
      <x:c r="A217" s="106" t="n">
        <x:v>7</x:v>
      </x:c>
      <x:c r="B217" s="106" t="str">
        <x:v>216</x:v>
      </x:c>
      <x:c r="C217" s="167" t="str">
        <x:f>"09531 1003450"</x:f>
        <x:v>09531 1003450</x:v>
      </x:c>
      <x:c r="D217" s="68" t="str">
        <x:v>D6 THI MaNe THU</x:v>
      </x:c>
      <x:c r="E217" s="68" t="str">
        <x:v>X</x:v>
      </x:c>
      <x:c r="F217" s="68" t="str">
        <x:v>06/09/2011</x:v>
      </x:c>
      <x:c r="G217" s="68" t="str">
        <x:v>Kinh</x:v>
      </x:c>
      <x:c r="H217" s="68" t="str">
        <x:v>Xa Phu6c Long</x:v>
      </x:c>
      <x:c r="I217" s="68" t="str">
        <x:v>THCS Phudc Long</x:v>
      </x:c>
      <x:c r="J217" s="68" t="str">
        <x:v>Xa Phu6c Long</x:v>
      </x:c>
      <x:c r="K217" s="68" t="str">
        <x:v>33.4</x:v>
      </x:c>
      <x:c r="L217" s="68" t="str">
        <x:v>39</x:v>
      </x:c>
      <x:c r="M217" s="68" t="str"/>
      <x:c r="N217" s="68" t="str"/>
      <x:c r="O217" s="68" t="str">
        <x:v>72.4</x:v>
      </x:c>
      <x:c r="P217" s="68" t="str"/>
    </x:row>
    <x:row r="218">
      <x:c r="A218" s="106" t="n">
        <x:v>7</x:v>
      </x:c>
      <x:c r="B218" s="106" t="str">
        <x:v>217</x:v>
      </x:c>
      <x:c r="C218" s="167" t="str">
        <x:f>"095311001387"</x:f>
        <x:v>095311001387</x:v>
      </x:c>
      <x:c r="D218" s="68" t="str">
        <x:v>NGUYEN PHAN THCJY TRANG</x:v>
      </x:c>
      <x:c r="E218" s="68" t="str">
        <x:v>X</x:v>
      </x:c>
      <x:c r="F218" s="68" t="str">
        <x:v>15/12/2011</x:v>
      </x:c>
      <x:c r="G218" s="68" t="str">
        <x:v>Kinh</x:v>
      </x:c>
      <x:c r="H218" s="68" t="str">
        <x:v>Xa VTnh Phu6c</x:v>
      </x:c>
      <x:c r="I218" s="68" t="str">
        <x:v>THCS VTnh Pha Tay</x:v>
      </x:c>
      <x:c r="J218" s="68" t="str">
        <x:v>Xa VTnh Phudc</x:v>
      </x:c>
      <x:c r="K218" s="68" t="str">
        <x:v>33.4</x:v>
      </x:c>
      <x:c r="L218" s="68" t="str">
        <x:v>38</x:v>
      </x:c>
      <x:c r="M218" s="68" t="str">
        <x:v>1.0</x:v>
      </x:c>
      <x:c r="N218" s="68" t="str"/>
      <x:c r="O218" s="68" t="str">
        <x:v>72.4</x:v>
      </x:c>
      <x:c r="P218" s="68" t="str"/>
    </x:row>
    <x:row r="219">
      <x:c r="A219" s="106" t="n">
        <x:v>7</x:v>
      </x:c>
      <x:c r="B219" s="106" t="str">
        <x:v>218</x:v>
      </x:c>
      <x:c r="C219" s="167" t="str">
        <x:f>"0953 1 1007856"</x:f>
        <x:v>0953 1 1007856</x:v>
      </x:c>
      <x:c r="D219" s="68" t="str">
        <x:v>TRAN THI KY THU</x:v>
      </x:c>
      <x:c r="E219" s="68" t="str">
        <x:v>X</x:v>
      </x:c>
      <x:c r="F219" s="68" t="str">
        <x:v>08/10/2011</x:v>
      </x:c>
      <x:c r="G219" s="68" t="str">
        <x:v>Kinh</x:v>
      </x:c>
      <x:c r="H219" s="68" t="str">
        <x:v>Xa VTnh Thanh</x:v>
      </x:c>
      <x:c r="I219" s="68" t="str">
        <x:v>THCS Hung Phd</x:v>
      </x:c>
      <x:c r="J219" s="68" t="str">
        <x:v>Xa Vinh Thanh</x:v>
      </x:c>
      <x:c r="K219" s="68" t="str">
        <x:v>34.4</x:v>
      </x:c>
      <x:c r="L219" s="68" t="str">
        <x:v>38</x:v>
      </x:c>
      <x:c r="M219" s="68" t="str"/>
      <x:c r="N219" s="68" t="str"/>
      <x:c r="O219" s="68" t="str">
        <x:v>72.4</x:v>
      </x:c>
      <x:c r="P219" s="68" t="str"/>
    </x:row>
    <x:row r="220">
      <x:c r="A220" s="106" t="n">
        <x:v>7</x:v>
      </x:c>
      <x:c r="B220" s="106" t="str">
        <x:v>219</x:v>
      </x:c>
      <x:c r="C220" s="167" t="str">
        <x:f>"0953 1 1009958"</x:f>
        <x:v>0953 1 1009958</x:v>
      </x:c>
      <x:c r="D220" s="68" t="str">
        <x:v>vO THI NGQC DUYEN</x:v>
      </x:c>
      <x:c r="E220" s="68" t="str">
        <x:v>X</x:v>
      </x:c>
      <x:c r="F220" s="68" t="str">
        <x:v>01/04/201 1</x:v>
      </x:c>
      <x:c r="G220" s="68" t="str">
        <x:v>Kinh</x:v>
      </x:c>
      <x:c r="H220" s="68" t="str">
        <x:v>Xa Phu a Long</x:v>
      </x:c>
      <x:c r="I220" s="68" t="str">
        <x:v>THCS Vinh Thanh</x:v>
      </x:c>
      <x:c r="J220" s="68" t="str">
        <x:v>Xa VTnh Thanh</x:v>
      </x:c>
      <x:c r="K220" s="68" t="str">
        <x:v>34.4</x:v>
      </x:c>
      <x:c r="L220" s="68" t="str">
        <x:v>38</x:v>
      </x:c>
      <x:c r="M220" s="68" t="str"/>
      <x:c r="N220" s="68" t="str"/>
      <x:c r="O220" s="68" t="str">
        <x:v>72.4</x:v>
      </x:c>
      <x:c r="P220" s="68" t="str"/>
    </x:row>
    <x:row r="221">
      <x:c r="A221" s="106" t="n">
        <x:v>7</x:v>
      </x:c>
      <x:c r="B221" s="106" t="str">
        <x:v>220</x:v>
      </x:c>
      <x:c r="C221" s="167" t="str">
        <x:f>"0953 1 1005409"</x:f>
        <x:v>0953 1 1005409</x:v>
      </x:c>
      <x:c r="D221" s="68" t="str">
        <x:v>TRAN THI CHOC</x:v>
      </x:c>
      <x:c r="E221" s="68" t="str">
        <x:v>X</x:v>
      </x:c>
      <x:c r="F221" s="68" t="str">
        <x:v>11/01/2011</x:v>
      </x:c>
      <x:c r="G221" s="68" t="str">
        <x:v>Kinh</x:v>
      </x:c>
      <x:c r="H221" s="68" t="str">
        <x:v>Xa Vinh Thanh</x:v>
      </x:c>
      <x:c r="I221" s="68" t="str">
        <x:v>THCS Vinh Thanh</x:v>
      </x:c>
      <x:c r="J221" s="68" t="str">
        <x:v>Xa Vinh Thanh</x:v>
      </x:c>
      <x:c r="K221" s="68" t="str">
        <x:v>33.4</x:v>
      </x:c>
      <x:c r="L221" s="68" t="str">
        <x:v>39</x:v>
      </x:c>
      <x:c r="M221" s="68" t="str"/>
      <x:c r="N221" s="68" t="str"/>
      <x:c r="O221" s="68" t="str">
        <x:v>72.4</x:v>
      </x:c>
      <x:c r="P221" s="68" t="str"/>
    </x:row>
    <x:row r="222">
      <x:c r="A222" s="106" t="n">
        <x:v>7</x:v>
      </x:c>
      <x:c r="B222" s="106" t="str">
        <x:v>221</x:v>
      </x:c>
      <x:c r="C222" s="167" t="str">
        <x:f>"095211008056"</x:f>
        <x:v>095211008056</x:v>
      </x:c>
      <x:c r="D222" s="68" t="str">
        <x:v>rrUVNH DUY PHITONG</x:v>
      </x:c>
      <x:c r="E222" s="68" t="str"/>
      <x:c r="F222" s="68" t="str">
        <x:v>08/05/201 1</x:v>
      </x:c>
      <x:c r="G222" s="68" t="str">
        <x:v>K,inh</x:v>
      </x:c>
      <x:c r="H222" s="68" t="str">
        <x:v>Xa Vrnh Thanh</x:v>
      </x:c>
      <x:c r="I222" s="68" t="str">
        <x:v>THCS Wrnh Thanh</x:v>
      </x:c>
      <x:c r="J222" s="68" t="str">
        <x:v>Xa VTnh Thanh</x:v>
      </x:c>
      <x:c r="K222" s="68" t="str">
        <x:v>33.4</x:v>
      </x:c>
      <x:c r="L222" s="68" t="str">
        <x:v>39</x:v>
      </x:c>
      <x:c r="M222" s="68" t="str"/>
      <x:c r="N222" s="68" t="str"/>
      <x:c r="O222" s="68" t="str">
        <x:v>72.4</x:v>
      </x:c>
      <x:c r="P222" s="68" t="str"/>
    </x:row>
    <x:row r="223">
      <x:c r="A223" s="106" t="n">
        <x:v>7</x:v>
      </x:c>
      <x:c r="B223" s="106" t="str">
        <x:v>222</x:v>
      </x:c>
      <x:c r="C223" s="167" t="str">
        <x:f>"095211006694"</x:f>
        <x:v>095211006694</x:v>
      </x:c>
      <x:c r="D223" s="68" t="str">
        <x:v>DIBP LAM CHi vV</x:v>
      </x:c>
      <x:c r="E223" s="68" t="str"/>
      <x:c r="F223" s="68" t="str">
        <x:v>14/1 1/2011</x:v>
      </x:c>
      <x:c r="G223" s="68" t="str">
        <x:v>Kinh</x:v>
      </x:c>
      <x:c r="H223" s="68" t="str">
        <x:v>Xa Phu6c Long</x:v>
      </x:c>
      <x:c r="I223" s="68" t="str">
        <x:v>THCS Vuang Hfru Nhan</x:v>
      </x:c>
      <x:c r="J223" s="68" t="str">
        <x:v>Xa Phudc Long</x:v>
      </x:c>
      <x:c r="K223" s="68" t="str">
        <x:v>33.4</x:v>
      </x:c>
      <x:c r="L223" s="68" t="str">
        <x:v>39</x:v>
      </x:c>
      <x:c r="M223" s="68" t="str"/>
      <x:c r="N223" s="68" t="str"/>
      <x:c r="O223" s="68" t="str">
        <x:v>72,4</x:v>
      </x:c>
      <x:c r="P223" s="68" t="str"/>
    </x:row>
    <x:row r="224">
      <x:c r="A224" s="106" t="n">
        <x:v>7</x:v>
      </x:c>
      <x:c r="B224" s="106" t="str">
        <x:v>223</x:v>
      </x:c>
      <x:c r="C224" s="167" t="str">
        <x:f>"0953 1 1002757"</x:f>
        <x:v>0953 1 1002757</x:v>
      </x:c>
      <x:c r="D224" s="68" t="str">
        <x:v>PHAM HUtNH NHa</x:v>
      </x:c>
      <x:c r="E224" s="68" t="str">
        <x:v>X</x:v>
      </x:c>
      <x:c r="F224" s="68" t="str">
        <x:v>28/02/201 1</x:v>
      </x:c>
      <x:c r="G224" s="68" t="str">
        <x:v>Kinh</x:v>
      </x:c>
      <x:c r="H224" s="68" t="str">
        <x:v>Xa Phu6c Long</x:v>
      </x:c>
      <x:c r="I224" s="68" t="str">
        <x:v>THCS Phudc Long</x:v>
      </x:c>
      <x:c r="J224" s="68" t="str">
        <x:v>Xa Phudc Long</x:v>
      </x:c>
      <x:c r="K224" s="68" t="str">
        <x:v>33.3</x:v>
      </x:c>
      <x:c r="L224" s="68" t="str">
        <x:v>39</x:v>
      </x:c>
      <x:c r="M224" s="68" t="str"/>
      <x:c r="N224" s="68" t="str"/>
      <x:c r="O224" s="68" t="str">
        <x:v>72.3</x:v>
      </x:c>
      <x:c r="P224" s="68" t="str"/>
    </x:row>
    <x:row r="225">
      <x:c r="A225" s="106" t="n">
        <x:v>7</x:v>
      </x:c>
      <x:c r="B225" s="106" t="str">
        <x:v>224</x:v>
      </x:c>
      <x:c r="C225" s="167" t="str">
        <x:f>"095211004591"</x:f>
        <x:v>095211004591</x:v>
      </x:c>
      <x:c r="D225" s="68" t="str">
        <x:v>NGUYEN ANH KHOA</x:v>
      </x:c>
      <x:c r="E225" s="68" t="str"/>
      <x:c r="F225" s="68" t="str">
        <x:v>18/09/2011</x:v>
      </x:c>
      <x:c r="G225" s="68" t="str">
        <x:v>Kinh</x:v>
      </x:c>
      <x:c r="H225" s="68" t="str">
        <x:v>Xa Phudc Long</x:v>
      </x:c>
      <x:c r="I225" s="68" t="str">
        <x:v>THCS Phu6c Long</x:v>
      </x:c>
      <x:c r="J225" s="68" t="str">
        <x:v>Xa Phudc Long</x:v>
      </x:c>
      <x:c r="K225" s="68" t="str">
        <x:v>33.3</x:v>
      </x:c>
      <x:c r="L225" s="68" t="str">
        <x:v>39</x:v>
      </x:c>
      <x:c r="M225" s="68" t="str"/>
      <x:c r="N225" s="68" t="str"/>
      <x:c r="O225" s="68" t="str">
        <x:v>72.3</x:v>
      </x:c>
      <x:c r="P225" s="68" t="str"/>
    </x:row>
    <x:row r="226">
      <x:c r="A226" s="106" t="n">
        <x:v>7</x:v>
      </x:c>
      <x:c r="B226" s="106" t="str">
        <x:v>225</x:v>
      </x:c>
      <x:c r="C226" s="167" t="str">
        <x:f>"0953 1 1008254"</x:f>
        <x:v>0953 1 1008254</x:v>
      </x:c>
      <x:c r="D226" s="68" t="str">
        <x:v>vO NHUQUtNH</x:v>
      </x:c>
      <x:c r="E226" s="68" t="str">
        <x:v>X</x:v>
      </x:c>
      <x:c r="F226" s="68" t="str">
        <x:v>06/07/2011</x:v>
      </x:c>
      <x:c r="G226" s="68" t="str">
        <x:v>Kinh</x:v>
      </x:c>
      <x:c r="H226" s="68" t="str">
        <x:v>Xa Phudc Long</x:v>
      </x:c>
      <x:c r="I226" s="68" t="str">
        <x:v>THCS Phu6c Long</x:v>
      </x:c>
      <x:c r="J226" s="68" t="str">
        <x:v>Xa Phu6c Long</x:v>
      </x:c>
      <x:c r="K226" s="68" t="str">
        <x:v>33.3</x:v>
      </x:c>
      <x:c r="L226" s="68" t="str">
        <x:v>39</x:v>
      </x:c>
      <x:c r="M226" s="68" t="str"/>
      <x:c r="N226" s="68" t="str"/>
      <x:c r="O226" s="68" t="str">
        <x:v>72.3</x:v>
      </x:c>
      <x:c r="P226" s="68" t="str"/>
    </x:row>
    <x:row r="227">
      <x:c r="A227" s="106" t="n">
        <x:v>7</x:v>
      </x:c>
      <x:c r="B227" s="106" t="str">
        <x:v>226</x:v>
      </x:c>
      <x:c r="C227" s="167" t="str">
        <x:f>"0953 1 1007206"</x:f>
        <x:v>0953 1 1007206</x:v>
      </x:c>
      <x:c r="D227" s="68" t="str">
        <x:v>PrrANTHITUYETNHU I</x:v>
      </x:c>
      <x:c r="E227" s="68" t="str">
        <x:v>a X</x:v>
      </x:c>
      <x:c r="F227" s="68" t="str">
        <x:v>23/09/2011</x:v>
      </x:c>
      <x:c r="G227" s="68" t="str">
        <x:v>Kinh</x:v>
      </x:c>
      <x:c r="H227" s="68" t="str">
        <x:v>Xa VTnh Thanh</x:v>
      </x:c>
      <x:c r="I227" s="68" t="str">
        <x:v>THCS Hung Pha</x:v>
      </x:c>
      <x:c r="J227" s="68" t="str">
        <x:v>Xa Wnh Thanh</x:v>
      </x:c>
      <x:c r="K227" s="68" t="str">
        <x:v>33.3</x:v>
      </x:c>
      <x:c r="L227" s="68" t="str">
        <x:v>39</x:v>
      </x:c>
      <x:c r="M227" s="68" t="str"/>
      <x:c r="N227" s="68" t="str"/>
      <x:c r="O227" s="68" t="str">
        <x:v>72.3</x:v>
      </x:c>
      <x:c r="P227" s="68" t="str"/>
    </x:row>
    <x:row r="228">
      <x:c r="A228" s="106" t="n">
        <x:v>7</x:v>
      </x:c>
      <x:c r="B228" s="106" t="str">
        <x:v>227</x:v>
      </x:c>
      <x:c r="C228" s="167" t="str">
        <x:f>"0952 1 100 1449"</x:f>
        <x:v>0952 1 100 1449</x:v>
      </x:c>
      <x:c r="D228" s="68" t="str">
        <x:v>vO NHAT TAN</x:v>
      </x:c>
      <x:c r="E228" s="68" t="str"/>
      <x:c r="F228" s="68" t="str">
        <x:v>24/09/201 1</x:v>
      </x:c>
      <x:c r="G228" s="68" t="str">
        <x:v>Kinh</x:v>
      </x:c>
      <x:c r="H228" s="68" t="str">
        <x:v>Xa Vrnh Thanh</x:v>
      </x:c>
      <x:c r="I228" s="68" t="str">
        <x:v>THCS Hung Pha</x:v>
      </x:c>
      <x:c r="J228" s="68" t="str">
        <x:v>Xa Vrnh Thanh</x:v>
      </x:c>
      <x:c r="K228" s="68" t="str">
        <x:v>33.2</x:v>
      </x:c>
      <x:c r="L228" s="68" t="str">
        <x:v>39</x:v>
      </x:c>
      <x:c r="M228" s="68" t="str"/>
      <x:c r="N228" s="68" t="str"/>
      <x:c r="O228" s="68" t="str">
        <x:v>72.2</x:v>
      </x:c>
      <x:c r="P228" s="68" t="str"/>
    </x:row>
    <x:row r="229">
      <x:c r="A229" s="106" t="n">
        <x:v>7</x:v>
      </x:c>
      <x:c r="B229" s="106" t="str">
        <x:v>228</x:v>
      </x:c>
      <x:c r="C229" s="167" t="str">
        <x:f>"0953 1 1007343"</x:f>
        <x:v>0953 1 1007343</x:v>
      </x:c>
      <x:c r="D229" s="68" t="str">
        <x:v>DAO THI MONG NGHI</x:v>
      </x:c>
      <x:c r="E229" s="68" t="str">
        <x:v>X</x:v>
      </x:c>
      <x:c r="F229" s="68" t="str">
        <x:v>07/09/2011 I</x:v>
      </x:c>
      <x:c r="G229" s="68" t="str">
        <x:v>Kinh I</x:v>
      </x:c>
      <x:c r="H229" s="68" t="str">
        <x:v>Xa Xa llC)IIa H6ng Dan Dan I</x:v>
      </x:c>
      <x:c r="I229" s="68" t="str">
        <x:v>THCS Phu6c Long</x:v>
      </x:c>
      <x:c r="J229" s="68" t="str">
        <x:v>Xa Vmh Phu6c</x:v>
      </x:c>
      <x:c r="K229" s="68" t="str">
        <x:v>34.2</x:v>
      </x:c>
      <x:c r="L229" s="68" t="str">
        <x:v>38</x:v>
      </x:c>
      <x:c r="M229" s="68" t="str"/>
      <x:c r="N229" s="68" t="str"/>
      <x:c r="O229" s="68" t="str">
        <x:v>72.2</x:v>
      </x:c>
      <x:c r="P229" s="68" t="str"/>
    </x:row>
    <x:row r="230">
      <x:c r="A230" s="106" t="n">
        <x:v>7</x:v>
      </x:c>
      <x:c r="B230" s="106" t="str">
        <x:v>229</x:v>
      </x:c>
      <x:c r="C230" s="167" t="str">
        <x:f>"09531 0953110068461 1006846"</x:f>
        <x:v>09531 0953110068461 1006846</x:v>
      </x:c>
      <x:c r="D230" s="68" t="str">
        <x:v>DUONG DLJONG TIll THI CAM CAMTHAO TnAO I</x:v>
      </x:c>
      <x:c r="E230" s="68" t="str">
        <x:v>X x 1</x:v>
      </x:c>
      <x:c r="F230" s="68" t="str">
        <x:v>30/09/2011 30/09/2011 1</x:v>
      </x:c>
      <x:c r="G230" s="68" t="str">
        <x:v>Kinh Xa</x:v>
      </x:c>
      <x:c r="H230" s="68" t="str">
        <x:v>Ninh Th4nh L(/i</x:v>
      </x:c>
      <x:c r="I230" s="68" t="str">
        <x:v>THCS Phu6c Long</x:v>
      </x:c>
      <x:c r="J230" s="68" t="str">
        <x:v>Xa Vinh Phu6c</x:v>
      </x:c>
      <x:c r="K230" s="68" t="str">
        <x:v>33.1</x:v>
      </x:c>
      <x:c r="L230" s="68" t="str">
        <x:v>38</x:v>
      </x:c>
      <x:c r="M230" s="68" t="str">
        <x:v>1.0</x:v>
      </x:c>
      <x:c r="N230" s="68" t="str"/>
      <x:c r="O230" s="68" t="str">
        <x:v>72. 1</x:v>
      </x:c>
      <x:c r="P230" s="68" t="str"/>
    </x:row>
    <x:row r="231">
      <x:c r="A231" s="106" t="n">
        <x:v>7</x:v>
      </x:c>
      <x:c r="B231" s="106" t="str">
        <x:v>230</x:v>
      </x:c>
      <x:c r="C231" s="167" t="str">
        <x:f>"095311003451"</x:f>
        <x:v>095311003451</x:v>
      </x:c>
      <x:c r="D231" s="68" t="str">
        <x:v>NGUY£N KHANH NGQC</x:v>
      </x:c>
      <x:c r="E231" s="68" t="str">
        <x:v>X</x:v>
      </x:c>
      <x:c r="F231" s="68" t="str">
        <x:v>10/08/2011</x:v>
      </x:c>
      <x:c r="G231" s="68" t="str">
        <x:v>Kirlh</x:v>
      </x:c>
      <x:c r="H231" s="68" t="str">
        <x:v>Xa Phudc Long</x:v>
      </x:c>
      <x:c r="I231" s="68" t="str">
        <x:v>THCS Tnrang Wnh KV</x:v>
      </x:c>
      <x:c r="J231" s="68" t="str">
        <x:v>Xa Hang Dan</x:v>
      </x:c>
      <x:c r="K231" s="68" t="str">
        <x:v>33.1</x:v>
      </x:c>
      <x:c r="L231" s="68" t="str">
        <x:v>39</x:v>
      </x:c>
      <x:c r="M231" s="68" t="str"/>
      <x:c r="N231" s="68" t="str"/>
      <x:c r="O231" s="68" t="str">
        <x:v>72. 1</x:v>
      </x:c>
      <x:c r="P231" s="68" t="str"/>
    </x:row>
    <x:row r="232">
      <x:c r="A232" s="106" t="n">
        <x:v>7</x:v>
      </x:c>
      <x:c r="B232" s="106" t="str">
        <x:v>231</x:v>
      </x:c>
      <x:c r="C232" s="167" t="str">
        <x:f>"09521 1003290"</x:f>
        <x:v>09521 1003290</x:v>
      </x:c>
      <x:c r="D232" s="68" t="str">
        <x:v>LE ANH KHOA</x:v>
      </x:c>
      <x:c r="E232" s="68" t="str"/>
      <x:c r="F232" s="68" t="str">
        <x:v>15/03/201 1</x:v>
      </x:c>
      <x:c r="G232" s="68" t="str">
        <x:v>Kinh</x:v>
      </x:c>
      <x:c r="H232" s="68" t="str">
        <x:v>Xa Phu6c Long</x:v>
      </x:c>
      <x:c r="I232" s="68" t="str">
        <x:v>THCS Phua Long</x:v>
      </x:c>
      <x:c r="J232" s="68" t="str">
        <x:v>Xa Phu6c Long</x:v>
      </x:c>
      <x:c r="K232" s="68" t="str">
        <x:v>34.0</x:v>
      </x:c>
      <x:c r="L232" s="68" t="str">
        <x:v>38</x:v>
      </x:c>
      <x:c r="M232" s="68" t="str"/>
      <x:c r="N232" s="68" t="str"/>
      <x:c r="O232" s="68" t="str">
        <x:v>72.0</x:v>
      </x:c>
      <x:c r="P232" s="68" t="str"/>
    </x:row>
    <x:row r="233">
      <x:c r="A233" s="106" t="n">
        <x:v>7</x:v>
      </x:c>
      <x:c r="B233" s="106" t="str">
        <x:v>232</x:v>
      </x:c>
      <x:c r="C233" s="167" t="str">
        <x:f>"095311010888"</x:f>
        <x:v>095311010888</x:v>
      </x:c>
      <x:c r="D233" s="68" t="str">
        <x:v>NGUY£N THr ANH THU</x:v>
      </x:c>
      <x:c r="E233" s="68" t="str">
        <x:v>X</x:v>
      </x:c>
      <x:c r="F233" s="68" t="str">
        <x:v>14/06/201 1</x:v>
      </x:c>
      <x:c r="G233" s="68" t="str">
        <x:v>Kinh</x:v>
      </x:c>
      <x:c r="H233" s="68" t="str">
        <x:v>Xa VTnh Phu6c</x:v>
      </x:c>
      <x:c r="I233" s="68" t="str">
        <x:v>THCS VTnh Pha Tay</x:v>
      </x:c>
      <x:c r="J233" s="68" t="str">
        <x:v>Xa Wnh Phu6c</x:v>
      </x:c>
      <x:c r="K233" s="68" t="str">
        <x:v>33.0</x:v>
      </x:c>
      <x:c r="L233" s="68" t="str">
        <x:v>38</x:v>
      </x:c>
      <x:c r="M233" s="68" t="str">
        <x:v>1.0</x:v>
      </x:c>
      <x:c r="N233" s="68" t="str"/>
      <x:c r="O233" s="68" t="str">
        <x:v>72.0</x:v>
      </x:c>
      <x:c r="P233" s="68" t="str"/>
    </x:row>
    <x:row r="234">
      <x:c r="A234" s="106" t="n">
        <x:v>8</x:v>
      </x:c>
      <x:c r="B234" s="106" t="str">
        <x:v>233</x:v>
      </x:c>
      <x:c r="C234" s="167" t="str">
        <x:f>"0953 1 1007 15 1"</x:f>
        <x:v>0953 1 1007 15 1</x:v>
      </x:c>
      <x:c r="D234" s="68" t="str">
        <x:v>HUVNH TRANG</x:v>
      </x:c>
      <x:c r="E234" s="68" t="str">
        <x:v>X</x:v>
      </x:c>
      <x:c r="F234" s="68" t="str">
        <x:v>12/05/2011</x:v>
      </x:c>
      <x:c r="G234" s="68" t="str">
        <x:v>Kinh</x:v>
      </x:c>
      <x:c r="H234" s="68" t="str">
        <x:v>Xa Phu6c Long</x:v>
      </x:c>
      <x:c r="I234" s="68" t="str">
        <x:v>THCS Vuang Hfru Nhan</x:v>
      </x:c>
      <x:c r="J234" s="68" t="str">
        <x:v>Xa Phudc Long</x:v>
      </x:c>
      <x:c r="K234" s="68" t="str">
        <x:v>33.0</x:v>
      </x:c>
      <x:c r="L234" s="68" t="str">
        <x:v>39</x:v>
      </x:c>
      <x:c r="M234" s="68" t="str"/>
      <x:c r="N234" s="68" t="str"/>
      <x:c r="O234" s="68" t="str">
        <x:v>72.0</x:v>
      </x:c>
      <x:c r="P234" s="68" t="str"/>
    </x:row>
    <x:row r="235">
      <x:c r="A235" s="106" t="n">
        <x:v>8</x:v>
      </x:c>
      <x:c r="B235" s="106" t="str">
        <x:v>234</x:v>
      </x:c>
      <x:c r="C235" s="167" t="str">
        <x:f>"0953 1 1002685"</x:f>
        <x:v>0953 1 1002685</x:v>
      </x:c>
      <x:c r="D235" s="68" t="str">
        <x:v>mR JNG THI KHANH BANG</x:v>
      </x:c>
      <x:c r="E235" s="68" t="str">
        <x:v>X</x:v>
      </x:c>
      <x:c r="F235" s="68" t="str">
        <x:v>01/07/201 1</x:v>
      </x:c>
      <x:c r="G235" s="68" t="str">
        <x:v>Kinh</x:v>
      </x:c>
      <x:c r="H235" s="68" t="str">
        <x:v>Xa VTnh Phu6c</x:v>
      </x:c>
      <x:c r="I235" s="68" t="str">
        <x:v>THCS Wnh Pha Tay</x:v>
      </x:c>
      <x:c r="J235" s="68" t="str">
        <x:v>Xa Vinh Phudc</x:v>
      </x:c>
      <x:c r="K235" s="68" t="str">
        <x:v>32.9</x:v>
      </x:c>
      <x:c r="L235" s="68" t="str">
        <x:v>38</x:v>
      </x:c>
      <x:c r="M235" s="68" t="str">
        <x:v>1.0</x:v>
      </x:c>
      <x:c r="N235" s="68" t="str"/>
      <x:c r="O235" s="68" t="str">
        <x:v>71.9</x:v>
      </x:c>
      <x:c r="P235" s="68" t="str"/>
    </x:row>
    <x:row r="236">
      <x:c r="A236" s="106" t="n">
        <x:v>8</x:v>
      </x:c>
      <x:c r="B236" s="106" t="str">
        <x:v>235</x:v>
      </x:c>
      <x:c r="C236" s="167" t="str">
        <x:f>"095311006886"</x:f>
        <x:v>095311006886</x:v>
      </x:c>
      <x:c r="D236" s="68" t="str">
        <x:v>QUACH KHA VY</x:v>
      </x:c>
      <x:c r="E236" s="68" t="str">
        <x:v>X</x:v>
      </x:c>
      <x:c r="F236" s="68" t="str">
        <x:v>06/01/2011</x:v>
      </x:c>
      <x:c r="G236" s="68" t="str">
        <x:v>Kinh</x:v>
      </x:c>
      <x:c r="H236" s="68" t="str">
        <x:v>Xa Vinh Phudc</x:v>
      </x:c>
      <x:c r="I236" s="68" t="str">
        <x:v>THCS VTnh Pha Tay</x:v>
      </x:c>
      <x:c r="J236" s="68" t="str">
        <x:v>Xg VTnh Phu6c</x:v>
      </x:c>
      <x:c r="K236" s="68" t="str">
        <x:v>33.9</x:v>
      </x:c>
      <x:c r="L236" s="68" t="str">
        <x:v>38</x:v>
      </x:c>
      <x:c r="M236" s="68" t="str"/>
      <x:c r="N236" s="68" t="str"/>
      <x:c r="O236" s="68" t="str">
        <x:v>71.9</x:v>
      </x:c>
      <x:c r="P236" s="68" t="str"/>
    </x:row>
    <x:row r="237">
      <x:c r="A237" s="106" t="n">
        <x:v>8</x:v>
      </x:c>
      <x:c r="B237" s="106" t="str">
        <x:v>236</x:v>
      </x:c>
      <x:c r="C237" s="167" t="str">
        <x:f>"095311006536"</x:f>
        <x:v>095311006536</x:v>
      </x:c>
      <x:c r="D237" s="68" t="str">
        <x:v>TRAN THI NGQC YEN</x:v>
      </x:c>
      <x:c r="E237" s="68" t="str">
        <x:v>X</x:v>
      </x:c>
      <x:c r="F237" s="68" t="str">
        <x:v>14/03/201 1</x:v>
      </x:c>
      <x:c r="G237" s="68" t="str">
        <x:v>Kinh</x:v>
      </x:c>
      <x:c r="H237" s="68" t="str">
        <x:v>Xa Vmh Thanh</x:v>
      </x:c>
      <x:c r="I237" s="68" t="str">
        <x:v>THCS Hung Pha</x:v>
      </x:c>
      <x:c r="J237" s="68" t="str">
        <x:v>Xa Vinh Thanh</x:v>
      </x:c>
      <x:c r="K237" s="68" t="str">
        <x:v>33.9</x:v>
      </x:c>
      <x:c r="L237" s="68" t="str">
        <x:v>38</x:v>
      </x:c>
      <x:c r="M237" s="68" t="str"/>
      <x:c r="N237" s="68" t="str"/>
      <x:c r="O237" s="68" t="str">
        <x:v>71.9</x:v>
      </x:c>
      <x:c r="P237" s="68" t="str"/>
    </x:row>
    <x:row r="238">
      <x:c r="A238" s="106" t="n">
        <x:v>8</x:v>
      </x:c>
      <x:c r="B238" s="106" t="str">
        <x:v>237</x:v>
      </x:c>
      <x:c r="C238" s="167" t="str">
        <x:f>"0953 1 1005002"</x:f>
        <x:v>0953 1 1005002</x:v>
      </x:c>
      <x:c r="D238" s="68" t="str">
        <x:v>NGUYEN TEll TFrCJY HANG</x:v>
      </x:c>
      <x:c r="E238" s="68" t="str">
        <x:v>X</x:v>
      </x:c>
      <x:c r="F238" s="68" t="str">
        <x:v>22/03/2011</x:v>
      </x:c>
      <x:c r="G238" s="68" t="str">
        <x:v>Kinh</x:v>
      </x:c>
      <x:c r="H238" s="68" t="str">
        <x:v>Xa Phudc Long</x:v>
      </x:c>
      <x:c r="I238" s="68" t="str">
        <x:v>THCS Phudc Long</x:v>
      </x:c>
      <x:c r="J238" s="68" t="str">
        <x:v>Xa Phudc Long</x:v>
      </x:c>
      <x:c r="K238" s="68" t="str">
        <x:v>33.9</x:v>
      </x:c>
      <x:c r="L238" s="68" t="str">
        <x:v>38</x:v>
      </x:c>
      <x:c r="M238" s="68" t="str"/>
      <x:c r="N238" s="68" t="str"/>
      <x:c r="O238" s="68" t="str">
        <x:v>71.9</x:v>
      </x:c>
      <x:c r="P238" s="68" t="str"/>
    </x:row>
    <x:row r="239">
      <x:c r="A239" s="106" t="n">
        <x:v>8</x:v>
      </x:c>
      <x:c r="B239" s="106" t="str">
        <x:v>238</x:v>
      </x:c>
      <x:c r="C239" s="167" t="str">
        <x:f>"0953 1 1006891"</x:f>
        <x:v>0953 1 1006891</x:v>
      </x:c>
      <x:c r="D239" s="68" t="str">
        <x:v>pnAN UY£N NHI</x:v>
      </x:c>
      <x:c r="E239" s="68" t="str">
        <x:v>X</x:v>
      </x:c>
      <x:c r="F239" s="68" t="str">
        <x:v>10/1 1/2011</x:v>
      </x:c>
      <x:c r="G239" s="68" t="str">
        <x:v>Kinh</x:v>
      </x:c>
      <x:c r="H239" s="68" t="str">
        <x:v>Xa Phu6c Long</x:v>
      </x:c>
      <x:c r="I239" s="68" t="str">
        <x:v>THCS Phu6c Long</x:v>
      </x:c>
      <x:c r="J239" s="68" t="str">
        <x:v>Xa Phu6c Long</x:v>
      </x:c>
      <x:c r="K239" s="68" t="str">
        <x:v>33.8</x:v>
      </x:c>
      <x:c r="L239" s="68" t="str">
        <x:v>38</x:v>
      </x:c>
      <x:c r="M239" s="68" t="str"/>
      <x:c r="N239" s="68" t="str"/>
      <x:c r="O239" s="68" t="str">
        <x:v>71.8</x:v>
      </x:c>
      <x:c r="P239" s="68" t="str"/>
    </x:row>
    <x:row r="240">
      <x:c r="A240" s="106" t="n">
        <x:v>8</x:v>
      </x:c>
      <x:c r="B240" s="106" t="str">
        <x:v>239</x:v>
      </x:c>
      <x:c r="C240" s="167" t="str">
        <x:f>"0953 1 1009997"</x:f>
        <x:v>0953 1 1009997</x:v>
      </x:c>
      <x:c r="D240" s="68" t="str">
        <x:v>TRUONG BAO NGQC</x:v>
      </x:c>
      <x:c r="E240" s="68" t="str">
        <x:v>X</x:v>
      </x:c>
      <x:c r="F240" s="68" t="str">
        <x:v>25/07/201 1</x:v>
      </x:c>
      <x:c r="G240" s="68" t="str">
        <x:v>Kinh</x:v>
      </x:c>
      <x:c r="H240" s="68" t="str">
        <x:v>Xa H6ng Dan</x:v>
      </x:c>
      <x:c r="I240" s="68" t="str">
        <x:v>THCS Phudc Long</x:v>
      </x:c>
      <x:c r="J240" s="68" t="str">
        <x:v>Xg Vinh Phu6c</x:v>
      </x:c>
      <x:c r="K240" s="68" t="str">
        <x:v>33.8</x:v>
      </x:c>
      <x:c r="L240" s="68" t="str">
        <x:v>38</x:v>
      </x:c>
      <x:c r="M240" s="68" t="str"/>
      <x:c r="N240" s="68" t="str"/>
      <x:c r="O240" s="68" t="str">
        <x:v>71.8</x:v>
      </x:c>
      <x:c r="P240" s="68" t="str"/>
    </x:row>
    <x:row r="241">
      <x:c r="A241" s="106" t="n">
        <x:v>8</x:v>
      </x:c>
      <x:c r="B241" s="106" t="str">
        <x:v>240</x:v>
      </x:c>
      <x:c r="C241" s="167" t="str">
        <x:f>"095211003439"</x:f>
        <x:v>095211003439</x:v>
      </x:c>
      <x:c r="D241" s="68" t="str">
        <x:v>NGUYEN QUANG MrNH</x:v>
      </x:c>
      <x:c r="E241" s="68" t="str"/>
      <x:c r="F241" s="68" t="str">
        <x:v>15/03/2011</x:v>
      </x:c>
      <x:c r="G241" s="68" t="str">
        <x:v>Kinh</x:v>
      </x:c>
      <x:c r="H241" s="68" t="str">
        <x:v>Xa PhMc Long</x:v>
      </x:c>
      <x:c r="I241" s="68" t="str">
        <x:v>THCS Phua Long</x:v>
      </x:c>
      <x:c r="J241" s="68" t="str">
        <x:v>Xa VTnh Phu6c</x:v>
      </x:c>
      <x:c r="K241" s="68" t="str">
        <x:v>33.8</x:v>
      </x:c>
      <x:c r="L241" s="68" t="str">
        <x:v>38</x:v>
      </x:c>
      <x:c r="M241" s="68" t="str"/>
      <x:c r="N241" s="68" t="str"/>
      <x:c r="O241" s="68" t="str">
        <x:v>71.8</x:v>
      </x:c>
      <x:c r="P241" s="68" t="str"/>
    </x:row>
    <x:row r="242">
      <x:c r="A242" s="106" t="n">
        <x:v>8</x:v>
      </x:c>
      <x:c r="B242" s="106" t="str">
        <x:v>241</x:v>
      </x:c>
      <x:c r="C242" s="167" t="str">
        <x:f>"095211005864"</x:f>
        <x:v>095211005864</x:v>
      </x:c>
      <x:c r="D242" s="68" t="str">
        <x:v>DUY TRAN TUAN KHANG</x:v>
      </x:c>
      <x:c r="E242" s="68" t="str"/>
      <x:c r="F242" s="68" t="str">
        <x:v>25/08/201 1</x:v>
      </x:c>
      <x:c r="G242" s="68" t="str">
        <x:v>Khmerl</x:v>
      </x:c>
      <x:c r="H242" s="68" t="str">
        <x:v>Xa Phudc Long</x:v>
      </x:c>
      <x:c r="I242" s="68" t="str">
        <x:v>THCS Vuang Hrm Nhan</x:v>
      </x:c>
      <x:c r="J242" s="68" t="str">
        <x:v>Xa PhMc Long</x:v>
      </x:c>
      <x:c r="K242" s="68" t="str">
        <x:v>32.8</x:v>
      </x:c>
      <x:c r="L242" s="68" t="str">
        <x:v>38</x:v>
      </x:c>
      <x:c r="M242" s="68" t="str">
        <x:v>1.0</x:v>
      </x:c>
      <x:c r="N242" s="68" t="str"/>
      <x:c r="O242" s="68" t="str">
        <x:v>71.8</x:v>
      </x:c>
      <x:c r="P242" s="68" t="str"/>
    </x:row>
    <x:row r="243">
      <x:c r="A243" s="106" t="n">
        <x:v>8</x:v>
      </x:c>
      <x:c r="B243" s="106" t="str">
        <x:v>242</x:v>
      </x:c>
      <x:c r="C243" s="167" t="str">
        <x:f>"095311003691"</x:f>
        <x:v>095311003691</x:v>
      </x:c>
      <x:c r="D243" s="68" t="str">
        <x:v>PRAM THI YEN TRANG</x:v>
      </x:c>
      <x:c r="E243" s="68" t="str">
        <x:v>X</x:v>
      </x:c>
      <x:c r="F243" s="68" t="str">
        <x:v>01/04/2011</x:v>
      </x:c>
      <x:c r="G243" s="68" t="str">
        <x:v>Kinh</x:v>
      </x:c>
      <x:c r="H243" s="68" t="str">
        <x:v>Xa Phu6c Long</x:v>
      </x:c>
      <x:c r="I243" s="68" t="str">
        <x:v>THCS Phu6c Long</x:v>
      </x:c>
      <x:c r="J243" s="68" t="str">
        <x:v>Xa Phu6c Long</x:v>
      </x:c>
      <x:c r="K243" s="68" t="str">
        <x:v>33.7</x:v>
      </x:c>
      <x:c r="L243" s="68" t="str">
        <x:v>38</x:v>
      </x:c>
      <x:c r="M243" s="68" t="str"/>
      <x:c r="N243" s="68" t="str"/>
      <x:c r="O243" s="68" t="str">
        <x:v>71.7</x:v>
      </x:c>
      <x:c r="P243" s="68" t="str"/>
    </x:row>
    <x:row r="244">
      <x:c r="A244" s="106" t="n">
        <x:v>8</x:v>
      </x:c>
      <x:c r="B244" s="106" t="str">
        <x:v>243</x:v>
      </x:c>
      <x:c r="C244" s="167" t="str">
        <x:f>"0953 1 1005 161"</x:f>
        <x:v>0953 1 1005 161</x:v>
      </x:c>
      <x:c r="D244" s="68" t="str">
        <x:v>NGUY£N NaNH THLr</x:v>
      </x:c>
      <x:c r="E244" s="68" t="str">
        <x:v>X</x:v>
      </x:c>
      <x:c r="F244" s="68" t="str">
        <x:v>12/1 1/2011</x:v>
      </x:c>
      <x:c r="G244" s="68" t="str">
        <x:v>Kinh</x:v>
      </x:c>
      <x:c r="H244" s="68" t="str">
        <x:v>Xa Vinh Thanh</x:v>
      </x:c>
      <x:c r="I244" s="68" t="str">
        <x:v>THCS Hung Pha</x:v>
      </x:c>
      <x:c r="J244" s="68" t="str">
        <x:v>Xa VTnh Thanh</x:v>
      </x:c>
      <x:c r="K244" s="68" t="str">
        <x:v>33.7</x:v>
      </x:c>
      <x:c r="L244" s="68" t="str">
        <x:v>38</x:v>
      </x:c>
      <x:c r="M244" s="68" t="str"/>
      <x:c r="N244" s="68" t="str"/>
      <x:c r="O244" s="68" t="str">
        <x:v>71.7</x:v>
      </x:c>
      <x:c r="P244" s="68" t="str"/>
    </x:row>
    <x:row r="245">
      <x:c r="A245" s="106" t="n">
        <x:v>8</x:v>
      </x:c>
      <x:c r="B245" s="106" t="str">
        <x:v>244</x:v>
      </x:c>
      <x:c r="C245" s="167" t="str">
        <x:f>"095211004562"</x:f>
        <x:v>095211004562</x:v>
      </x:c>
      <x:c r="D245" s="68" t="str">
        <x:v>NGUY£N PHU6C THrNH</x:v>
      </x:c>
      <x:c r="E245" s="68" t="str"/>
      <x:c r="F245" s="68" t="str">
        <x:v>23/03/201 1</x:v>
      </x:c>
      <x:c r="G245" s="68" t="str">
        <x:v>Kinh</x:v>
      </x:c>
      <x:c r="H245" s="68" t="str">
        <x:v>Xa Vinh Thanh</x:v>
      </x:c>
      <x:c r="I245" s="68" t="str">
        <x:v>THCS Hung Pha</x:v>
      </x:c>
      <x:c r="J245" s="68" t="str">
        <x:v>Xa Frnh Thanh</x:v>
      </x:c>
      <x:c r="K245" s="68" t="str">
        <x:v>33.7</x:v>
      </x:c>
      <x:c r="L245" s="68" t="str">
        <x:v>38</x:v>
      </x:c>
      <x:c r="M245" s="68" t="str">
        <x:v>I</x:v>
      </x:c>
      <x:c r="N245" s="68" t="str"/>
      <x:c r="O245" s="68" t="str">
        <x:v>71.7</x:v>
      </x:c>
      <x:c r="P245" s="68" t="str"/>
    </x:row>
    <x:row r="246">
      <x:c r="A246" s="106" t="n">
        <x:v>8</x:v>
      </x:c>
      <x:c r="B246" s="106" t="str">
        <x:v>245</x:v>
      </x:c>
      <x:c r="C246" s="167" t="str">
        <x:f>"0953 1 1006987"</x:f>
        <x:v>0953 1 1006987</x:v>
      </x:c>
      <x:c r="D246" s="68" t="str">
        <x:v>TRAN THI MAI</x:v>
      </x:c>
      <x:c r="E246" s="68" t="str">
        <x:v>X</x:v>
      </x:c>
      <x:c r="F246" s="68" t="str">
        <x:v>11/01/2011</x:v>
      </x:c>
      <x:c r="G246" s="68" t="str">
        <x:v>Kinh</x:v>
      </x:c>
      <x:c r="H246" s="68" t="str">
        <x:v>Xa VTnh Thanh</x:v>
      </x:c>
      <x:c r="I246" s="68" t="str">
        <x:v>THCS VTnh Thanh</x:v>
      </x:c>
      <x:c r="J246" s="68" t="str">
        <x:v>Xa Vrnh Thanh</x:v>
      </x:c>
      <x:c r="K246" s="68" t="str">
        <x:v>33.7</x:v>
      </x:c>
      <x:c r="L246" s="68" t="str">
        <x:v>38</x:v>
      </x:c>
      <x:c r="M246" s="68" t="str"/>
      <x:c r="N246" s="68" t="str"/>
      <x:c r="O246" s="68" t="str">
        <x:v>71.7</x:v>
      </x:c>
      <x:c r="P246" s="68" t="str"/>
    </x:row>
    <x:row r="247">
      <x:c r="A247" s="106" t="n">
        <x:v>8</x:v>
      </x:c>
      <x:c r="B247" s="106" t="str">
        <x:v>246</x:v>
      </x:c>
      <x:c r="C247" s="167" t="str">
        <x:f>"095211003803"</x:f>
        <x:v>095211003803</x:v>
      </x:c>
      <x:c r="D247" s="68" t="str">
        <x:v>NGUY£N NmqH Tt</x:v>
      </x:c>
      <x:c r="E247" s="68" t="str"/>
      <x:c r="F247" s="68" t="str">
        <x:v>18/06/2011</x:v>
      </x:c>
      <x:c r="G247" s="68" t="str">
        <x:v>Kinh</x:v>
      </x:c>
      <x:c r="H247" s="68" t="str">
        <x:v>Xa Phu6c Long</x:v>
      </x:c>
      <x:c r="I247" s="68" t="str">
        <x:v>THCS Vinh Thanh</x:v>
      </x:c>
      <x:c r="J247" s="68" t="str">
        <x:v>Xa VTnh Thanh</x:v>
      </x:c>
      <x:c r="K247" s="68" t="str">
        <x:v>33.7</x:v>
      </x:c>
      <x:c r="L247" s="68" t="str">
        <x:v>38</x:v>
      </x:c>
      <x:c r="M247" s="68" t="str"/>
      <x:c r="N247" s="68" t="str"/>
      <x:c r="O247" s="68" t="str">
        <x:v>71.7</x:v>
      </x:c>
      <x:c r="P247" s="68" t="str"/>
    </x:row>
    <x:row r="248">
      <x:c r="A248" s="106" t="n">
        <x:v>8</x:v>
      </x:c>
      <x:c r="B248" s="106" t="str">
        <x:v>247</x:v>
      </x:c>
      <x:c r="C248" s="167" t="str">
        <x:f>"0953 1 1009944"</x:f>
        <x:v>0953 1 1009944</x:v>
      </x:c>
      <x:c r="D248" s="68" t="str">
        <x:v>Li TFrUt AN</x:v>
      </x:c>
      <x:c r="E248" s="68" t="str">
        <x:v>X</x:v>
      </x:c>
      <x:c r="F248" s="68" t="str">
        <x:v>27/09/201 1</x:v>
      </x:c>
      <x:c r="G248" s="68" t="str">
        <x:v>Kinh</x:v>
      </x:c>
      <x:c r="H248" s="68" t="str">
        <x:v>Xa Phudc Long</x:v>
      </x:c>
      <x:c r="I248" s="68" t="str">
        <x:v>THCS Phudc Long</x:v>
      </x:c>
      <x:c r="J248" s="68" t="str">
        <x:v>Xa Phu6c Long</x:v>
      </x:c>
      <x:c r="K248" s="68" t="str">
        <x:v>33.6</x:v>
      </x:c>
      <x:c r="L248" s="68" t="str">
        <x:v>38</x:v>
      </x:c>
      <x:c r="M248" s="68" t="str">
        <x:v>1</x:v>
      </x:c>
      <x:c r="N248" s="68" t="str">
        <x:v>1</x:v>
      </x:c>
      <x:c r="O248" s="68" t="str">
        <x:v>1 71.6</x:v>
      </x:c>
      <x:c r="P248" s="68" t="str"/>
    </x:row>
    <x:row r="249">
      <x:c r="A249" s="106" t="n">
        <x:v>8</x:v>
      </x:c>
      <x:c r="B249" s="106" t="str">
        <x:v>248</x:v>
      </x:c>
      <x:c r="C249" s="167" t="str">
        <x:f>"0953 1 1007780 !"</x:f>
        <x:v>0953 1 1007780 !</x:v>
      </x:c>
      <x:c r="D249" s="68" t="str">
        <x:v>MAI vAN ANH</x:v>
      </x:c>
      <x:c r="E249" s="68" t="str">
        <x:v>X</x:v>
      </x:c>
      <x:c r="F249" s="68" t="str">
        <x:v>26/08/2011</x:v>
      </x:c>
      <x:c r="G249" s="68" t="str">
        <x:v>Kinh</x:v>
      </x:c>
      <x:c r="H249" s="68" t="str">
        <x:v>Xa Vinh Thanh</x:v>
      </x:c>
      <x:c r="I249" s="68" t="str">
        <x:v>THCS Hung Phd</x:v>
      </x:c>
      <x:c r="J249" s="68" t="str">
        <x:v>Xa Vinh Thanh</x:v>
      </x:c>
      <x:c r="K249" s="68" t="str">
        <x:v>33.6</x:v>
      </x:c>
      <x:c r="L249" s="68" t="str">
        <x:v>38</x:v>
      </x:c>
      <x:c r="M249" s="68" t="str"/>
      <x:c r="N249" s="68" t="str"/>
      <x:c r="O249" s="68" t="str">
        <x:v>1 71.6</x:v>
      </x:c>
      <x:c r="P249" s="68" t="str"/>
    </x:row>
    <x:row r="250">
      <x:c r="A250" s="106" t="n">
        <x:v>8</x:v>
      </x:c>
      <x:c r="B250" s="106" t="str">
        <x:v>249</x:v>
      </x:c>
      <x:c r="C250" s="167" t="str">
        <x:f>"0953 1 1009535"</x:f>
        <x:v>0953 1 1009535</x:v>
      </x:c>
      <x:c r="D250" s="68" t="str">
        <x:v>NGUY£N THI BAO THUY</x:v>
      </x:c>
      <x:c r="E250" s="68" t="str">
        <x:v>X</x:v>
      </x:c>
      <x:c r="F250" s="68" t="str">
        <x:v>14/12/2011</x:v>
      </x:c>
      <x:c r="G250" s="68" t="str">
        <x:v>Kinh</x:v>
      </x:c>
      <x:c r="H250" s="68" t="str">
        <x:v>Xa VTnh Thanh</x:v>
      </x:c>
      <x:c r="I250" s="68" t="str">
        <x:v>THCS Hung Phd</x:v>
      </x:c>
      <x:c r="J250" s="68" t="str">
        <x:v>Xa Vinh Thanh</x:v>
      </x:c>
      <x:c r="K250" s="68" t="str">
        <x:v>33.6</x:v>
      </x:c>
      <x:c r="L250" s="68" t="str">
        <x:v>38</x:v>
      </x:c>
      <x:c r="M250" s="68" t="str"/>
      <x:c r="N250" s="68" t="str"/>
      <x:c r="O250" s="68" t="str">
        <x:v>71.6</x:v>
      </x:c>
      <x:c r="P250" s="68" t="str"/>
    </x:row>
    <x:row r="251">
      <x:c r="A251" s="106" t="n">
        <x:v>8</x:v>
      </x:c>
      <x:c r="B251" s="106" t="str">
        <x:v>250</x:v>
      </x:c>
      <x:c r="C251" s="167" t="str">
        <x:f>"0953 1 1002622"</x:f>
        <x:v>0953 1 1002622</x:v>
      </x:c>
      <x:c r="D251" s="68" t="str">
        <x:v>DINH THI TEreJY DU'ONG</x:v>
      </x:c>
      <x:c r="E251" s="68" t="str">
        <x:v>X</x:v>
      </x:c>
      <x:c r="F251" s="68" t="str">
        <x:v>01/06/201 1</x:v>
      </x:c>
      <x:c r="G251" s="68" t="str">
        <x:v>Kinh</x:v>
      </x:c>
      <x:c r="H251" s="68" t="str">
        <x:v>Xa Wnh Thanh</x:v>
      </x:c>
      <x:c r="I251" s="68" t="str">
        <x:v>THCS Wnh Thanh</x:v>
      </x:c>
      <x:c r="J251" s="68" t="str">
        <x:v>Xa VTnh Thanh</x:v>
      </x:c>
      <x:c r="K251" s="68" t="str">
        <x:v>33.6</x:v>
      </x:c>
      <x:c r="L251" s="68" t="str">
        <x:v>38</x:v>
      </x:c>
      <x:c r="M251" s="68" t="str"/>
      <x:c r="N251" s="68" t="str"/>
      <x:c r="O251" s="68" t="str">
        <x:v>71.6</x:v>
      </x:c>
      <x:c r="P251" s="68" t="str"/>
    </x:row>
    <x:row r="252">
      <x:c r="A252" s="106" t="n">
        <x:v>8</x:v>
      </x:c>
      <x:c r="B252" s="106" t="str">
        <x:v>251</x:v>
      </x:c>
      <x:c r="C252" s="167" t="str">
        <x:f>"095311001389"</x:f>
        <x:v>095311001389</x:v>
      </x:c>
      <x:c r="D252" s="68" t="str">
        <x:v>NGUYEN CHCJC KE£M</x:v>
      </x:c>
      <x:c r="E252" s="68" t="str">
        <x:v>X</x:v>
      </x:c>
      <x:c r="F252" s="68" t="str">
        <x:v>26/05/2011</x:v>
      </x:c>
      <x:c r="G252" s="68" t="str">
        <x:v>Kinh</x:v>
      </x:c>
      <x:c r="H252" s="68" t="str">
        <x:v>Xa Phu6c Long</x:v>
      </x:c>
      <x:c r="I252" s="68" t="str">
        <x:v>THCS VTnh Thanh</x:v>
      </x:c>
      <x:c r="J252" s="68" t="str">
        <x:v>Xa VTnh Thanh</x:v>
      </x:c>
      <x:c r="K252" s="68" t="str">
        <x:v>33.6</x:v>
      </x:c>
      <x:c r="L252" s="68" t="str">
        <x:v>38</x:v>
      </x:c>
      <x:c r="M252" s="68" t="str"/>
      <x:c r="N252" s="68" t="str"/>
      <x:c r="O252" s="68" t="str">
        <x:v>71.6</x:v>
      </x:c>
      <x:c r="P252" s="68" t="str"/>
    </x:row>
    <x:row r="253">
      <x:c r="A253" s="106" t="n">
        <x:v>8</x:v>
      </x:c>
      <x:c r="B253" s="106" t="str">
        <x:v>252</x:v>
      </x:c>
      <x:c r="C253" s="167" t="str">
        <x:f>"0953 1 1009012"</x:f>
        <x:v>0953 1 1009012</x:v>
      </x:c>
      <x:c r="D253" s="68" t="str">
        <x:v>NGUY£N NGQC PHrJONG VY</x:v>
      </x:c>
      <x:c r="E253" s="68" t="str">
        <x:v>X</x:v>
      </x:c>
      <x:c r="F253" s="68" t="str">
        <x:v>23/01/2011</x:v>
      </x:c>
      <x:c r="G253" s="68" t="str">
        <x:v>Kinh</x:v>
      </x:c>
      <x:c r="H253" s="68" t="str">
        <x:v>Xa Phudc Long</x:v>
      </x:c>
      <x:c r="I253" s="68" t="str">
        <x:v>THCS Phudc Long</x:v>
      </x:c>
      <x:c r="J253" s="68" t="str">
        <x:v>Xa Phu6c Long</x:v>
      </x:c>
      <x:c r="K253" s="68" t="str">
        <x:v>33.5</x:v>
      </x:c>
      <x:c r="L253" s="68" t="str">
        <x:v>38</x:v>
      </x:c>
      <x:c r="M253" s="68" t="str"/>
      <x:c r="N253" s="68" t="str"/>
      <x:c r="O253" s="68" t="str">
        <x:v>71.5</x:v>
      </x:c>
      <x:c r="P253" s="68" t="str"/>
    </x:row>
    <x:row r="254">
      <x:c r="A254" s="106" t="n">
        <x:v>8</x:v>
      </x:c>
      <x:c r="B254" s="106" t="str">
        <x:v>253</x:v>
      </x:c>
      <x:c r="C254" s="167" t="str">
        <x:f>"084211002869"</x:f>
        <x:v>084211002869</x:v>
      </x:c>
      <x:c r="D254" s="68" t="str">
        <x:v>TRAN ANH HUY</x:v>
      </x:c>
      <x:c r="E254" s="68" t="str"/>
      <x:c r="F254" s="68" t="str">
        <x:v>07/1 1/2011</x:v>
      </x:c>
      <x:c r="G254" s="68" t="str">
        <x:v>Kinh</x:v>
      </x:c>
      <x:c r="H254" s="68" t="str">
        <x:v>Xa Wnh Thanh</x:v>
      </x:c>
      <x:c r="I254" s="68" t="str">
        <x:v>THCS Phu6c Long</x:v>
      </x:c>
      <x:c r="J254" s="68" t="str">
        <x:v>Xa Phu6c Long</x:v>
      </x:c>
      <x:c r="K254" s="68" t="str">
        <x:v>32.5</x:v>
      </x:c>
      <x:c r="L254" s="68" t="str">
        <x:v>39</x:v>
      </x:c>
      <x:c r="M254" s="68" t="str"/>
      <x:c r="N254" s="68" t="str"/>
      <x:c r="O254" s="68" t="str">
        <x:v>71.5</x:v>
      </x:c>
      <x:c r="P254" s="68" t="str"/>
    </x:row>
    <x:row r="255">
      <x:c r="A255" s="106" t="n">
        <x:v>8</x:v>
      </x:c>
      <x:c r="B255" s="106" t="str">
        <x:v>254</x:v>
      </x:c>
      <x:c r="C255" s="167" t="str">
        <x:f>"09531 1006901"</x:f>
        <x:v>09531 1006901</x:v>
      </x:c>
      <x:c r="D255" s="68" t="str">
        <x:v>TRUaNG PHUONG QUtNH</x:v>
      </x:c>
      <x:c r="E255" s="68" t="str">
        <x:v>X</x:v>
      </x:c>
      <x:c r="F255" s="68" t="str">
        <x:v>22/1 1/2011</x:v>
      </x:c>
      <x:c r="G255" s="68" t="str">
        <x:v>Kinh</x:v>
      </x:c>
      <x:c r="H255" s="68" t="str">
        <x:v>Xa Vinh Thanh</x:v>
      </x:c>
      <x:c r="I255" s="68" t="str">
        <x:v>THCS Hung Phd</x:v>
      </x:c>
      <x:c r="J255" s="68" t="str">
        <x:v>Xa Vinh Thanh</x:v>
      </x:c>
      <x:c r="K255" s="68" t="str">
        <x:v>33.5</x:v>
      </x:c>
      <x:c r="L255" s="68" t="str">
        <x:v>38</x:v>
      </x:c>
      <x:c r="M255" s="68" t="str"/>
      <x:c r="N255" s="68" t="str"/>
      <x:c r="O255" s="68" t="str">
        <x:v>71.5</x:v>
      </x:c>
      <x:c r="P255" s="68" t="str"/>
    </x:row>
    <x:row r="256">
      <x:c r="A256" s="106" t="n">
        <x:v>8</x:v>
      </x:c>
      <x:c r="B256" s="106" t="str">
        <x:v>255</x:v>
      </x:c>
      <x:c r="C256" s="167" t="str">
        <x:f>"09521 1005005"</x:f>
        <x:v>09521 1005005</x:v>
      </x:c>
      <x:c r="D256" s="68" t="str">
        <x:v>TRAN QU6C VUONG</x:v>
      </x:c>
      <x:c r="E256" s="68" t="str"/>
      <x:c r="F256" s="68" t="str">
        <x:v>01/10/2011</x:v>
      </x:c>
      <x:c r="G256" s="68" t="str">
        <x:v>Kinh</x:v>
      </x:c>
      <x:c r="H256" s="68" t="str">
        <x:v>Xa Wrnh Thanh</x:v>
      </x:c>
      <x:c r="I256" s="68" t="str">
        <x:v>THCS Hung Phi</x:v>
      </x:c>
      <x:c r="J256" s="68" t="str">
        <x:v>Xa Vrnh Thanh</x:v>
      </x:c>
      <x:c r="K256" s="68" t="str">
        <x:v>33.5</x:v>
      </x:c>
      <x:c r="L256" s="68" t="str">
        <x:v>38</x:v>
      </x:c>
      <x:c r="M256" s="68" t="str"/>
      <x:c r="N256" s="68" t="str"/>
      <x:c r="O256" s="68" t="str">
        <x:v>71.5</x:v>
      </x:c>
      <x:c r="P256" s="68" t="str"/>
    </x:row>
    <x:row r="257">
      <x:c r="A257" s="106" t="n">
        <x:v>8</x:v>
      </x:c>
      <x:c r="B257" s="106" t="str">
        <x:v>256</x:v>
      </x:c>
      <x:c r="C257" s="167" t="str">
        <x:f>"09531 1008588"</x:f>
        <x:v>09531 1008588</x:v>
      </x:c>
      <x:c r="D257" s="68" t="str">
        <x:v>NGO NHA LINH</x:v>
      </x:c>
      <x:c r="E257" s="68" t="str">
        <x:v>X</x:v>
      </x:c>
      <x:c r="F257" s="68" t="str">
        <x:v>19/04/201 1</x:v>
      </x:c>
      <x:c r="G257" s="68" t="str">
        <x:v>Kinh</x:v>
      </x:c>
      <x:c r="H257" s="68" t="str">
        <x:v>Xa Wnh Thanh</x:v>
      </x:c>
      <x:c r="I257" s="68" t="str">
        <x:v>THCS Hung Phd</x:v>
      </x:c>
      <x:c r="J257" s="68" t="str">
        <x:v>Xa VTnh Thanh</x:v>
      </x:c>
      <x:c r="K257" s="68" t="str">
        <x:v>33.4</x:v>
      </x:c>
      <x:c r="L257" s="68" t="str">
        <x:v>38</x:v>
      </x:c>
      <x:c r="M257" s="68" t="str"/>
      <x:c r="N257" s="68" t="str"/>
      <x:c r="O257" s="68" t="str">
        <x:v>71.4</x:v>
      </x:c>
      <x:c r="P257" s="68" t="str"/>
    </x:row>
    <x:row r="258">
      <x:c r="A258" s="106" t="n">
        <x:v>8</x:v>
      </x:c>
      <x:c r="B258" s="106" t="str">
        <x:v>257</x:v>
      </x:c>
      <x:c r="C258" s="167" t="str">
        <x:f>"09531 1003790"</x:f>
        <x:v>09531 1003790</x:v>
      </x:c>
      <x:c r="D258" s="68" t="str">
        <x:v>Li NGQC TUYEN</x:v>
      </x:c>
      <x:c r="E258" s="68" t="str">
        <x:v>X</x:v>
      </x:c>
      <x:c r="F258" s="68" t="str">
        <x:v>21/03/2011</x:v>
      </x:c>
      <x:c r="G258" s="68" t="str">
        <x:v>Kinh</x:v>
      </x:c>
      <x:c r="H258" s="68" t="str">
        <x:v>Xa Vinh Thanh</x:v>
      </x:c>
      <x:c r="I258" s="68" t="str">
        <x:v>THCS Vinh Thanh</x:v>
      </x:c>
      <x:c r="J258" s="68" t="str">
        <x:v>Xa Vlnh Thanh</x:v>
      </x:c>
      <x:c r="K258" s="68" t="str">
        <x:v>33.4</x:v>
      </x:c>
      <x:c r="L258" s="68" t="str">
        <x:v>38</x:v>
      </x:c>
      <x:c r="M258" s="68" t="str"/>
      <x:c r="N258" s="68" t="str"/>
      <x:c r="O258" s="68" t="str">
        <x:v>71.4</x:v>
      </x:c>
      <x:c r="P258" s="68" t="str"/>
    </x:row>
    <x:row r="259">
      <x:c r="A259" s="106" t="n">
        <x:v>8</x:v>
      </x:c>
      <x:c r="B259" s="106" t="str">
        <x:v>258</x:v>
      </x:c>
      <x:c r="C259" s="167" t="str">
        <x:f>"095211006591"</x:f>
        <x:v>095211006591</x:v>
      </x:c>
      <x:c r="D259" s="68" t="str">
        <x:v>TRINH ANH Kl£N</x:v>
      </x:c>
      <x:c r="E259" s="68" t="str"/>
      <x:c r="F259" s="68" t="str">
        <x:v>02/06/201 1</x:v>
      </x:c>
      <x:c r="G259" s="68" t="str">
        <x:v>Kinh</x:v>
      </x:c>
      <x:c r="H259" s="68" t="str">
        <x:v>Xa VTnh Thanh</x:v>
      </x:c>
      <x:c r="I259" s="68" t="str">
        <x:v>THCS Hung Phd</x:v>
      </x:c>
      <x:c r="J259" s="68" t="str">
        <x:v>Xa Vinh Thanh</x:v>
      </x:c>
      <x:c r="K259" s="68" t="str">
        <x:v>33.3</x:v>
      </x:c>
      <x:c r="L259" s="68" t="str">
        <x:v>38</x:v>
      </x:c>
      <x:c r="M259" s="68" t="str"/>
      <x:c r="N259" s="68" t="str"/>
      <x:c r="O259" s="68" t="str">
        <x:v>71.3</x:v>
      </x:c>
      <x:c r="P259" s="68" t="str"/>
    </x:row>
    <x:row r="260">
      <x:c r="A260" s="106" t="n">
        <x:v>8</x:v>
      </x:c>
      <x:c r="B260" s="106" t="str">
        <x:v>259</x:v>
      </x:c>
      <x:c r="C260" s="167" t="str">
        <x:f>"0953 1 1008918"</x:f>
        <x:v>0953 1 1008918</x:v>
      </x:c>
      <x:c r="D260" s="68" t="str">
        <x:v>PHAM MV HI£N</x:v>
      </x:c>
      <x:c r="E260" s="68" t="str">
        <x:v>X</x:v>
      </x:c>
      <x:c r="F260" s="68" t="str">
        <x:v>10/04/201 1</x:v>
      </x:c>
      <x:c r="G260" s="68" t="str">
        <x:v>Kinh</x:v>
      </x:c>
      <x:c r="H260" s="68" t="str">
        <x:v>Xa Wnh Thanh</x:v>
      </x:c>
      <x:c r="I260" s="68" t="str">
        <x:v>THCS Vinh Thanh</x:v>
      </x:c>
      <x:c r="J260" s="68" t="str">
        <x:v>Xa Vmh Thanh</x:v>
      </x:c>
      <x:c r="K260" s="68" t="str">
        <x:v>33.3</x:v>
      </x:c>
      <x:c r="L260" s="68" t="str">
        <x:v>38</x:v>
      </x:c>
      <x:c r="M260" s="68" t="str"/>
      <x:c r="N260" s="68" t="str"/>
      <x:c r="O260" s="68" t="str">
        <x:v>71.3</x:v>
      </x:c>
      <x:c r="P260" s="68" t="str"/>
    </x:row>
    <x:row r="261">
      <x:c r="A261" s="106" t="n">
        <x:v>8</x:v>
      </x:c>
      <x:c r="B261" s="106" t="str">
        <x:v>260</x:v>
      </x:c>
      <x:c r="C261" s="167" t="str">
        <x:f>"0953 1 100408 1"</x:f>
        <x:v>0953 1 100408 1</x:v>
      </x:c>
      <x:c r="D261" s="68" t="str">
        <x:v>NGUYEN THI KIEU QUYEN</x:v>
      </x:c>
      <x:c r="E261" s="68" t="str">
        <x:v>X</x:v>
      </x:c>
      <x:c r="F261" s="68" t="str">
        <x:v>25/06/201 1</x:v>
      </x:c>
      <x:c r="G261" s="68" t="str">
        <x:v>Kinh</x:v>
      </x:c>
      <x:c r="H261" s="68" t="str">
        <x:v>Xa Wnh Thanh</x:v>
      </x:c>
      <x:c r="I261" s="68" t="str">
        <x:v>THCS Wnh Thanh</x:v>
      </x:c>
      <x:c r="J261" s="68" t="str">
        <x:v>Xa Vinh Thanh</x:v>
      </x:c>
      <x:c r="K261" s="68" t="str">
        <x:v>33.3</x:v>
      </x:c>
      <x:c r="L261" s="68" t="str">
        <x:v>38</x:v>
      </x:c>
      <x:c r="M261" s="68" t="str"/>
      <x:c r="N261" s="68" t="str"/>
      <x:c r="O261" s="68" t="str">
        <x:v>71.3</x:v>
      </x:c>
      <x:c r="P261" s="68" t="str"/>
    </x:row>
    <x:row r="262">
      <x:c r="A262" s="106" t="n">
        <x:v>8</x:v>
      </x:c>
      <x:c r="B262" s="106" t="str">
        <x:v>261</x:v>
      </x:c>
      <x:c r="C262" s="167" t="str">
        <x:f>"095311007592"</x:f>
        <x:v>095311007592</x:v>
      </x:c>
      <x:c r="D262" s="68" t="str">
        <x:v>ve THI PHUaNG VY</x:v>
      </x:c>
      <x:c r="E262" s="68" t="str">
        <x:v>X</x:v>
      </x:c>
      <x:c r="F262" s="68" t="str">
        <x:v>29/04/2011</x:v>
      </x:c>
      <x:c r="G262" s="68" t="str">
        <x:v>Kinh</x:v>
      </x:c>
      <x:c r="H262" s="68" t="str">
        <x:v>Xa Fmh Thanh</x:v>
      </x:c>
      <x:c r="I262" s="68" t="str">
        <x:v>THCS Vinh Thanh</x:v>
      </x:c>
      <x:c r="J262" s="68" t="str">
        <x:v>Xa Vmh Thanh</x:v>
      </x:c>
      <x:c r="K262" s="68" t="str">
        <x:v>33.3</x:v>
      </x:c>
      <x:c r="L262" s="68" t="str">
        <x:v>38</x:v>
      </x:c>
      <x:c r="M262" s="68" t="str"/>
      <x:c r="N262" s="68" t="str"/>
      <x:c r="O262" s="68" t="str">
        <x:v>71.3</x:v>
      </x:c>
      <x:c r="P262" s="68" t="str"/>
    </x:row>
    <x:row r="263">
      <x:c r="A263" s="106" t="n">
        <x:v>8</x:v>
      </x:c>
      <x:c r="B263" s="106" t="str">
        <x:v>262</x:v>
      </x:c>
      <x:c r="C263" s="167" t="str">
        <x:f>"095211008575"</x:f>
        <x:v>095211008575</x:v>
      </x:c>
      <x:c r="D263" s="68" t="str">
        <x:v>LUU GLA PnAT</x:v>
      </x:c>
      <x:c r="E263" s="68" t="str"/>
      <x:c r="F263" s="68" t="str">
        <x:v>02/10/2011</x:v>
      </x:c>
      <x:c r="G263" s="68" t="str">
        <x:v>Kinh</x:v>
      </x:c>
      <x:c r="H263" s="68" t="str">
        <x:v>Xa Vinh Thanh</x:v>
      </x:c>
      <x:c r="I263" s="68" t="str">
        <x:v>THCS Wnh Thanh</x:v>
      </x:c>
      <x:c r="J263" s="68" t="str">
        <x:v>Xa VTnh Thanh</x:v>
      </x:c>
      <x:c r="K263" s="68" t="str">
        <x:v>33.3</x:v>
      </x:c>
      <x:c r="L263" s="68" t="str">
        <x:v>38</x:v>
      </x:c>
      <x:c r="M263" s="68" t="str"/>
      <x:c r="N263" s="68" t="str"/>
      <x:c r="O263" s="68" t="str">
        <x:v>71.3</x:v>
      </x:c>
      <x:c r="P263" s="68" t="str"/>
    </x:row>
    <x:row r="264">
      <x:c r="A264" s="106" t="n">
        <x:v>8</x:v>
      </x:c>
      <x:c r="B264" s="106" t="str">
        <x:v>263</x:v>
      </x:c>
      <x:c r="C264" s="167" t="str">
        <x:f>"095311004112"</x:f>
        <x:v>095311004112</x:v>
      </x:c>
      <x:c r="D264" s="68" t="str">
        <x:v>Lt THI THU THAO</x:v>
      </x:c>
      <x:c r="E264" s="68" t="str">
        <x:v>X</x:v>
      </x:c>
      <x:c r="F264" s="68" t="str">
        <x:v>12/1 1/2011</x:v>
      </x:c>
      <x:c r="G264" s="68" t="str">
        <x:v>Khmer</x:v>
      </x:c>
      <x:c r="H264" s="68" t="str">
        <x:v>Xa Phu6c Long</x:v>
      </x:c>
      <x:c r="I264" s="68" t="str">
        <x:v>THCS Vuang Hfru Nhan</x:v>
      </x:c>
      <x:c r="J264" s="68" t="str">
        <x:v>Xa Phu6c Long</x:v>
      </x:c>
      <x:c r="K264" s="68" t="str">
        <x:v>32,3</x:v>
      </x:c>
      <x:c r="L264" s="68" t="str">
        <x:v>38</x:v>
      </x:c>
      <x:c r="M264" s="68" t="str">
        <x:v>1.0</x:v>
      </x:c>
      <x:c r="N264" s="68" t="str"/>
      <x:c r="O264" s="68" t="str">
        <x:v>71.3</x:v>
      </x:c>
      <x:c r="P264" s="68" t="str"/>
    </x:row>
    <x:row r="265">
      <x:c r="A265" s="106" t="n">
        <x:v>8</x:v>
      </x:c>
      <x:c r="B265" s="106" t="str">
        <x:v>264</x:v>
      </x:c>
      <x:c r="C265" s="167" t="str">
        <x:f>"095211001066"</x:f>
        <x:v>095211001066</x:v>
      </x:c>
      <x:c r="D265" s="68" t="str">
        <x:v>TRAN CHi HAO</x:v>
      </x:c>
      <x:c r="E265" s="68" t="str"/>
      <x:c r="F265" s="68" t="str">
        <x:v>19/1 1/2011</x:v>
      </x:c>
      <x:c r="G265" s="68" t="str">
        <x:v>Kinh</x:v>
      </x:c>
      <x:c r="H265" s="68" t="str">
        <x:v>Xa Phu6c Long</x:v>
      </x:c>
      <x:c r="I265" s="68" t="str">
        <x:v>THCS Vuang Htru Nhan</x:v>
      </x:c>
      <x:c r="J265" s="68" t="str">
        <x:v>Xa Phu6c Long</x:v>
      </x:c>
      <x:c r="K265" s="68" t="str">
        <x:v>33.3</x:v>
      </x:c>
      <x:c r="L265" s="68" t="str">
        <x:v>38</x:v>
      </x:c>
      <x:c r="M265" s="68" t="str"/>
      <x:c r="N265" s="68" t="str"/>
      <x:c r="O265" s="68" t="str">
        <x:v>71.3</x:v>
      </x:c>
      <x:c r="P265" s="68" t="str"/>
    </x:row>
    <x:row r="266">
      <x:c r="A266" s="106" t="n">
        <x:v>8</x:v>
      </x:c>
      <x:c r="B266" s="106" t="str">
        <x:v>265</x:v>
      </x:c>
      <x:c r="C266" s="167" t="str">
        <x:f>"095311008397"</x:f>
        <x:v>095311008397</x:v>
      </x:c>
      <x:c r="D266" s="68" t="str">
        <x:v>TRUaNG riANr! NGUYeN</x:v>
      </x:c>
      <x:c r="E266" s="68" t="str">
        <x:v>X</x:v>
      </x:c>
      <x:c r="F266" s="68" t="str">
        <x:v>30/09/201 1</x:v>
      </x:c>
      <x:c r="G266" s="68" t="str">
        <x:v>Kinh</x:v>
      </x:c>
      <x:c r="H266" s="68" t="str">
        <x:v>Xa Phu6c Long</x:v>
      </x:c>
      <x:c r="I266" s="68" t="str">
        <x:v>THCS Phudc Long</x:v>
      </x:c>
      <x:c r="J266" s="68" t="str">
        <x:v>Xa Phudc Long</x:v>
      </x:c>
      <x:c r="K266" s="68" t="str">
        <x:v>33.2</x:v>
      </x:c>
      <x:c r="L266" s="68" t="str">
        <x:v>38</x:v>
      </x:c>
      <x:c r="M266" s="68" t="str"/>
      <x:c r="N266" s="68" t="str"/>
      <x:c r="O266" s="68" t="str">
        <x:v>71.2</x:v>
      </x:c>
      <x:c r="P266" s="68" t="str"/>
    </x:row>
    <x:row r="267">
      <x:c r="A267" s="106" t="n">
        <x:v>8</x:v>
      </x:c>
      <x:c r="B267" s="106" t="str">
        <x:v>266</x:v>
      </x:c>
      <x:c r="C267" s="167" t="str">
        <x:f>"095211009721"</x:f>
        <x:v>095211009721</x:v>
      </x:c>
      <x:c r="D267" s="68" t="str">
        <x:v>HUtNH NmqH HIEP</x:v>
      </x:c>
      <x:c r="E267" s="68" t="str"/>
      <x:c r="F267" s="68" t="str">
        <x:v>20/03/2011</x:v>
      </x:c>
      <x:c r="G267" s="68" t="str">
        <x:v>Kinh</x:v>
      </x:c>
      <x:c r="H267" s="68" t="str">
        <x:v>Xa Phudc Long</x:v>
      </x:c>
      <x:c r="I267" s="68" t="str">
        <x:v>THCS Phua Long</x:v>
      </x:c>
      <x:c r="J267" s="68" t="str">
        <x:v>Xa Phudc Long</x:v>
      </x:c>
      <x:c r="K267" s="68" t="str">
        <x:v>33.2</x:v>
      </x:c>
      <x:c r="L267" s="68" t="str">
        <x:v>38</x:v>
      </x:c>
      <x:c r="M267" s="68" t="str"/>
      <x:c r="N267" s="68" t="str"/>
      <x:c r="O267" s="68" t="str">
        <x:v>71.2</x:v>
      </x:c>
      <x:c r="P267" s="68" t="str"/>
    </x:row>
    <x:row r="268">
      <x:c r="A268" s="106" t="n">
        <x:v>9</x:v>
      </x:c>
      <x:c r="B268" s="106" t="str">
        <x:v>267</x:v>
      </x:c>
      <x:c r="C268" s="167" t="str">
        <x:f>"095311003604"</x:f>
        <x:v>095311003604</x:v>
      </x:c>
      <x:c r="D268" s="68" t="str">
        <x:v>DUONG NHU QUtNrI</x:v>
      </x:c>
      <x:c r="E268" s="68" t="str">
        <x:v>X</x:v>
      </x:c>
      <x:c r="F268" s="68" t="str">
        <x:v>12/12/201 1</x:v>
      </x:c>
      <x:c r="G268" s="68" t="str">
        <x:v>Kinh</x:v>
      </x:c>
      <x:c r="H268" s="68" t="str">
        <x:v>Xa VTnh Phudc</x:v>
      </x:c>
      <x:c r="I268" s="68" t="str">
        <x:v>THCS Wnh Phi Tay</x:v>
      </x:c>
      <x:c r="J268" s="68" t="str">
        <x:v>Xa VTnh phu6c</x:v>
      </x:c>
      <x:c r="K268" s="68" t="str">
        <x:v>33.2</x:v>
      </x:c>
      <x:c r="L268" s="68" t="str">
        <x:v>38</x:v>
      </x:c>
      <x:c r="M268" s="68" t="str"/>
      <x:c r="N268" s="68" t="str"/>
      <x:c r="O268" s="68" t="str">
        <x:v>71.2</x:v>
      </x:c>
      <x:c r="P268" s="68" t="str"/>
    </x:row>
    <x:row r="269">
      <x:c r="A269" s="106" t="n">
        <x:v>9</x:v>
      </x:c>
      <x:c r="B269" s="106" t="str">
        <x:v>268</x:v>
      </x:c>
      <x:c r="C269" s="167" t="str">
        <x:f>"0953 1 1003225"</x:f>
        <x:v>0953 1 1003225</x:v>
      </x:c>
      <x:c r="D269" s="68" t="str">
        <x:v>NGUYEN PHUONG TRANG</x:v>
      </x:c>
      <x:c r="E269" s="68" t="str">
        <x:v>X</x:v>
      </x:c>
      <x:c r="F269" s="68" t="str">
        <x:v>12/09/201 1</x:v>
      </x:c>
      <x:c r="G269" s="68" t="str">
        <x:v>Kinh</x:v>
      </x:c>
      <x:c r="H269" s="68" t="str">
        <x:v>Xa VTnh Thanh</x:v>
      </x:c>
      <x:c r="I269" s="68" t="str">
        <x:v>THCS Hung Pha</x:v>
      </x:c>
      <x:c r="J269" s="68" t="str">
        <x:v>Xa VTnh Thanh</x:v>
      </x:c>
      <x:c r="K269" s="68" t="str">
        <x:v>33.2</x:v>
      </x:c>
      <x:c r="L269" s="68" t="str">
        <x:v>38</x:v>
      </x:c>
      <x:c r="M269" s="68" t="str"/>
      <x:c r="N269" s="68" t="str"/>
      <x:c r="O269" s="68" t="str">
        <x:v>71.2</x:v>
      </x:c>
      <x:c r="P269" s="68" t="str"/>
    </x:row>
    <x:row r="270">
      <x:c r="A270" s="106" t="n">
        <x:v>9</x:v>
      </x:c>
      <x:c r="B270" s="106" t="str">
        <x:v>269</x:v>
      </x:c>
      <x:c r="C270" s="167" t="str">
        <x:f>"0953 1 1005857"</x:f>
        <x:v>0953 1 1005857</x:v>
      </x:c>
      <x:c r="D270" s="68" t="str">
        <x:v>NGUYEN NHAT ANH</x:v>
      </x:c>
      <x:c r="E270" s="68" t="str">
        <x:v>X</x:v>
      </x:c>
      <x:c r="F270" s="68" t="str">
        <x:v>22/06/2011</x:v>
      </x:c>
      <x:c r="G270" s="68" t="str">
        <x:v>Kinh Xa</x:v>
      </x:c>
      <x:c r="H270" s="68" t="str">
        <x:v>Ninh Th4nh L(Ii</x:v>
      </x:c>
      <x:c r="I270" s="68" t="str">
        <x:v>THCS Phudc Long</x:v>
      </x:c>
      <x:c r="J270" s="68" t="str">
        <x:v>Xa Vinh Phu6c</x:v>
      </x:c>
      <x:c r="K270" s="68" t="str">
        <x:v>33.2</x:v>
      </x:c>
      <x:c r="L270" s="68" t="str">
        <x:v>37</x:v>
      </x:c>
      <x:c r="M270" s="68" t="str">
        <x:v>1.0</x:v>
      </x:c>
      <x:c r="N270" s="68" t="str"/>
      <x:c r="O270" s="68" t="str">
        <x:v>71.2</x:v>
      </x:c>
      <x:c r="P270" s="68" t="str"/>
    </x:row>
    <x:row r="271">
      <x:c r="A271" s="106" t="n">
        <x:v>9</x:v>
      </x:c>
      <x:c r="B271" s="106" t="str">
        <x:v>270</x:v>
      </x:c>
      <x:c r="C271" s="167" t="str">
        <x:f>"095311002137"</x:f>
        <x:v>095311002137</x:v>
      </x:c>
      <x:c r="D271" s="68" t="str">
        <x:v>NGUY£N THI KHANH BANG</x:v>
      </x:c>
      <x:c r="E271" s="68" t="str">
        <x:v>X</x:v>
      </x:c>
      <x:c r="F271" s="68" t="str">
        <x:v>15/02/2011</x:v>
      </x:c>
      <x:c r="G271" s="68" t="str">
        <x:v>Kinh</x:v>
      </x:c>
      <x:c r="H271" s="68" t="str">
        <x:v>Xa Phudc Long</x:v>
      </x:c>
      <x:c r="I271" s="68" t="str">
        <x:v>THCS Vuang IIeu Nhon</x:v>
      </x:c>
      <x:c r="J271" s="68" t="str">
        <x:v>Xa Phu6c Long</x:v>
      </x:c>
      <x:c r="K271" s="68" t="str">
        <x:v>33.2</x:v>
      </x:c>
      <x:c r="L271" s="68" t="str">
        <x:v>38</x:v>
      </x:c>
      <x:c r="M271" s="68" t="str"/>
      <x:c r="N271" s="68" t="str"/>
      <x:c r="O271" s="68" t="str">
        <x:v>71.2</x:v>
      </x:c>
      <x:c r="P271" s="68" t="str"/>
    </x:row>
    <x:row r="272">
      <x:c r="A272" s="106" t="n">
        <x:v>9</x:v>
      </x:c>
      <x:c r="B272" s="106" t="str">
        <x:v>271</x:v>
      </x:c>
      <x:c r="C272" s="167" t="str">
        <x:f>"095211009988"</x:f>
        <x:v>095211009988</x:v>
      </x:c>
      <x:c r="D272" s="68" t="str">
        <x:v>DANH THANH PHONG</x:v>
      </x:c>
      <x:c r="E272" s="68" t="str"/>
      <x:c r="F272" s="68" t="str">
        <x:v>06/01/2011</x:v>
      </x:c>
      <x:c r="G272" s="68" t="str">
        <x:v>Khmer '</x:v>
      </x:c>
      <x:c r="H272" s="68" t="str">
        <x:v>Xa Phu6c Long</x:v>
      </x:c>
      <x:c r="I272" s="68" t="str">
        <x:v>THCS Vuang Htm Nhon</x:v>
      </x:c>
      <x:c r="J272" s="68" t="str">
        <x:v>Xa Phu6c Long</x:v>
      </x:c>
      <x:c r="K272" s="68" t="str">
        <x:v>33.2</x:v>
      </x:c>
      <x:c r="L272" s="68" t="str">
        <x:v>37</x:v>
      </x:c>
      <x:c r="M272" s="68" t="str">
        <x:v>1.0</x:v>
      </x:c>
      <x:c r="N272" s="68" t="str"/>
      <x:c r="O272" s="68" t="str">
        <x:v>7 1 .2</x:v>
      </x:c>
      <x:c r="P272" s="68" t="str"/>
    </x:row>
    <x:row r="273">
      <x:c r="A273" s="106" t="n">
        <x:v>9</x:v>
      </x:c>
      <x:c r="B273" s="106" t="str">
        <x:v>272</x:v>
      </x:c>
      <x:c r="C273" s="167" t="str">
        <x:f>"0953 1 1002196"</x:f>
        <x:v>0953 1 1002196</x:v>
      </x:c>
      <x:c r="D273" s="68" t="str">
        <x:v>PFLAM KM BEET</x:v>
      </x:c>
      <x:c r="E273" s="68" t="str">
        <x:v>X</x:v>
      </x:c>
      <x:c r="F273" s="68" t="str">
        <x:v>05/03/2011</x:v>
      </x:c>
      <x:c r="G273" s="68" t="str">
        <x:v>Kinh</x:v>
      </x:c>
      <x:c r="H273" s="68" t="str">
        <x:v>Xa Phu a Long</x:v>
      </x:c>
      <x:c r="I273" s="68" t="str">
        <x:v>THCS Phudc Long</x:v>
      </x:c>
      <x:c r="J273" s="68" t="str">
        <x:v>Xa Phu a Long</x:v>
      </x:c>
      <x:c r="K273" s="68" t="str">
        <x:v>33.1</x:v>
      </x:c>
      <x:c r="L273" s="68" t="str">
        <x:v>38</x:v>
      </x:c>
      <x:c r="M273" s="68" t="str"/>
      <x:c r="N273" s="68" t="str"/>
      <x:c r="O273" s="68" t="str">
        <x:v>71.1</x:v>
      </x:c>
      <x:c r="P273" s="68" t="str"/>
    </x:row>
    <x:row r="274">
      <x:c r="A274" s="106" t="n">
        <x:v>9</x:v>
      </x:c>
      <x:c r="B274" s="106" t="str">
        <x:v>273</x:v>
      </x:c>
      <x:c r="C274" s="167" t="str">
        <x:f>"095211003890"</x:f>
        <x:v>095211003890</x:v>
      </x:c>
      <x:c r="D274" s="68" t="str">
        <x:v>NGUYEN TRIEU NAM</x:v>
      </x:c>
      <x:c r="E274" s="68" t="str"/>
      <x:c r="F274" s="68" t="str">
        <x:v>02/10/201 1</x:v>
      </x:c>
      <x:c r="G274" s="68" t="str">
        <x:v>Kinh</x:v>
      </x:c>
      <x:c r="H274" s="68" t="str">
        <x:v>Xa VTnh Phu6c</x:v>
      </x:c>
      <x:c r="I274" s="68" t="str">
        <x:v>THCS Phu6c Long</x:v>
      </x:c>
      <x:c r="J274" s="68" t="str">
        <x:v>Xa Phu6c Long</x:v>
      </x:c>
      <x:c r="K274" s="68" t="str">
        <x:v>33.1</x:v>
      </x:c>
      <x:c r="L274" s="68" t="str">
        <x:v>38</x:v>
      </x:c>
      <x:c r="M274" s="68" t="str"/>
      <x:c r="N274" s="68" t="str"/>
      <x:c r="O274" s="68" t="str">
        <x:v>71.1</x:v>
      </x:c>
      <x:c r="P274" s="68" t="str"/>
    </x:row>
    <x:row r="275">
      <x:c r="A275" s="106" t="n">
        <x:v>9</x:v>
      </x:c>
      <x:c r="B275" s="106" t="str">
        <x:v>274</x:v>
      </x:c>
      <x:c r="C275" s="167" t="str">
        <x:f>"0953 1 1006441"</x:f>
        <x:v>0953 1 1006441</x:v>
      </x:c>
      <x:c r="D275" s="68" t="str">
        <x:v>CHAU TRAN DEEM KHOA</x:v>
      </x:c>
      <x:c r="E275" s="68" t="str">
        <x:v>X</x:v>
      </x:c>
      <x:c r="F275" s="68" t="str">
        <x:v>18/08/2011</x:v>
      </x:c>
      <x:c r="G275" s="68" t="str">
        <x:v>Kinh</x:v>
      </x:c>
      <x:c r="H275" s="68" t="str">
        <x:v>Xa Phudc Long</x:v>
      </x:c>
      <x:c r="I275" s="68" t="str">
        <x:v>THCS Phudc Long</x:v>
      </x:c>
      <x:c r="J275" s="68" t="str">
        <x:v>Xa Phu6c Long</x:v>
      </x:c>
      <x:c r="K275" s="68" t="str">
        <x:v>33.1</x:v>
      </x:c>
      <x:c r="L275" s="68" t="str">
        <x:v>38</x:v>
      </x:c>
      <x:c r="M275" s="68" t="str"/>
      <x:c r="N275" s="68" t="str"/>
      <x:c r="O275" s="68" t="str">
        <x:v>71.1</x:v>
      </x:c>
      <x:c r="P275" s="68" t="str"/>
    </x:row>
    <x:row r="276">
      <x:c r="A276" s="106" t="n">
        <x:v>9</x:v>
      </x:c>
      <x:c r="B276" s="106" t="str">
        <x:v>275</x:v>
      </x:c>
      <x:c r="C276" s="167" t="str">
        <x:f>"095311001178"</x:f>
        <x:v>095311001178</x:v>
      </x:c>
      <x:c r="D276" s="68" t="str">
        <x:v>HUYNH KLM THUY</x:v>
      </x:c>
      <x:c r="E276" s="68" t="str">
        <x:v>X</x:v>
      </x:c>
      <x:c r="F276" s="68" t="str">
        <x:v>27/10/201 1</x:v>
      </x:c>
      <x:c r="G276" s="68" t="str">
        <x:v>Kinh</x:v>
      </x:c>
      <x:c r="H276" s="68" t="str">
        <x:v>Xa Phu a Long</x:v>
      </x:c>
      <x:c r="I276" s="68" t="str">
        <x:v>THCS Hung Phd</x:v>
      </x:c>
      <x:c r="J276" s="68" t="str">
        <x:v>Xa Vinh Thanh</x:v>
      </x:c>
      <x:c r="K276" s="68" t="str">
        <x:v>33.1</x:v>
      </x:c>
      <x:c r="L276" s="68" t="str">
        <x:v>38</x:v>
      </x:c>
      <x:c r="M276" s="68" t="str"/>
      <x:c r="N276" s="68" t="str"/>
      <x:c r="O276" s="68" t="str">
        <x:v>71</x:v>
      </x:c>
      <x:c r="P276" s="68" t="str"/>
    </x:row>
    <x:row r="277">
      <x:c r="A277" s="106" t="n">
        <x:v>9</x:v>
      </x:c>
      <x:c r="B277" s="106" t="str">
        <x:v>276</x:v>
      </x:c>
      <x:c r="C277" s="167" t="str">
        <x:f>"0953 1 1007264"</x:f>
        <x:v>0953 1 1007264</x:v>
      </x:c>
      <x:c r="D277" s="68" t="str">
        <x:v>TRAN H6NG THI</x:v>
      </x:c>
      <x:c r="E277" s="68" t="str">
        <x:v>X</x:v>
      </x:c>
      <x:c r="F277" s="68" t="str">
        <x:v>14/10/2011</x:v>
      </x:c>
      <x:c r="G277" s="68" t="str">
        <x:v>Kinh</x:v>
      </x:c>
      <x:c r="H277" s="68" t="str">
        <x:v>Xa V'inh MP</x:v>
      </x:c>
      <x:c r="I277" s="68" t="str">
        <x:v>THCS Hung Phd</x:v>
      </x:c>
      <x:c r="J277" s="68" t="str">
        <x:v>Xa Vinh Thanh</x:v>
      </x:c>
      <x:c r="K277" s="68" t="str">
        <x:v>33.1</x:v>
      </x:c>
      <x:c r="L277" s="68" t="str">
        <x:v>38</x:v>
      </x:c>
      <x:c r="M277" s="68" t="str"/>
      <x:c r="N277" s="68" t="str"/>
      <x:c r="O277" s="68" t="str">
        <x:v>71</x:v>
      </x:c>
      <x:c r="P277" s="68" t="str"/>
    </x:row>
    <x:row r="278">
      <x:c r="A278" s="106" t="n">
        <x:v>9</x:v>
      </x:c>
      <x:c r="B278" s="106" t="str">
        <x:v>277</x:v>
      </x:c>
      <x:c r="C278" s="167" t="str">
        <x:f>"091311001310"</x:f>
        <x:v>091311001310</x:v>
      </x:c>
      <x:c r="D278" s="68" t="str">
        <x:v>LAM YiN NHa</x:v>
      </x:c>
      <x:c r="E278" s="68" t="str">
        <x:v>X</x:v>
      </x:c>
      <x:c r="F278" s="68" t="str">
        <x:v>30/08/2011</x:v>
      </x:c>
      <x:c r="G278" s="68" t="str">
        <x:v>ian Did</x:v>
      </x:c>
      <x:c r="H278" s="68" t="str">
        <x:v>Xa Vinh Thanh</x:v>
      </x:c>
      <x:c r="I278" s="68" t="str">
        <x:v>THCS Hung Phd</x:v>
      </x:c>
      <x:c r="J278" s="68" t="str">
        <x:v>Xa VTnh Thanh</x:v>
      </x:c>
      <x:c r="K278" s="68" t="str">
        <x:v>33.1</x:v>
      </x:c>
      <x:c r="L278" s="68" t="str">
        <x:v>37</x:v>
      </x:c>
      <x:c r="M278" s="68" t="str">
        <x:v>1.0</x:v>
      </x:c>
      <x:c r="N278" s="68" t="str"/>
      <x:c r="O278" s="68" t="str">
        <x:v>71</x:v>
      </x:c>
      <x:c r="P278" s="68" t="str"/>
    </x:row>
    <x:row r="279">
      <x:c r="A279" s="106" t="n">
        <x:v>9</x:v>
      </x:c>
      <x:c r="B279" s="106" t="str">
        <x:v>278</x:v>
      </x:c>
      <x:c r="C279" s="167" t="str">
        <x:f>"0953 1 1006477"</x:f>
        <x:v>0953 1 1006477</x:v>
      </x:c>
      <x:c r="D279" s="68" t="str">
        <x:v>PHAM NHU- THAO</x:v>
      </x:c>
      <x:c r="E279" s="68" t="str">
        <x:v>X</x:v>
      </x:c>
      <x:c r="F279" s="68" t="str">
        <x:v>12/10/201 1</x:v>
      </x:c>
      <x:c r="G279" s="68" t="str">
        <x:v>Kinh</x:v>
      </x:c>
      <x:c r="H279" s="68" t="str">
        <x:v>Xa H6ng Dan</x:v>
      </x:c>
      <x:c r="I279" s="68" t="str">
        <x:v>THCS Truang Vinh KV</x:v>
      </x:c>
      <x:c r="J279" s="68" t="str">
        <x:v>Xa H6ng Dan</x:v>
      </x:c>
      <x:c r="K279" s="68" t="str">
        <x:v>33.1</x:v>
      </x:c>
      <x:c r="L279" s="68" t="str">
        <x:v>38</x:v>
      </x:c>
      <x:c r="M279" s="68" t="str"/>
      <x:c r="N279" s="68" t="str"/>
      <x:c r="O279" s="68" t="str">
        <x:v>71</x:v>
      </x:c>
      <x:c r="P279" s="68" t="str"/>
    </x:row>
    <x:row r="280">
      <x:c r="A280" s="106" t="n">
        <x:v>9</x:v>
      </x:c>
      <x:c r="B280" s="106" t="str">
        <x:v>279</x:v>
      </x:c>
      <x:c r="C280" s="167" t="str">
        <x:f>"0953 1 1003344"</x:f>
        <x:v>0953 1 1003344</x:v>
      </x:c>
      <x:c r="D280" s="68" t="str">
        <x:v>DU'ONG YEN OANH</x:v>
      </x:c>
      <x:c r="E280" s="68" t="str">
        <x:v>X</x:v>
      </x:c>
      <x:c r="F280" s="68" t="str">
        <x:v>31/07/201 1</x:v>
      </x:c>
      <x:c r="G280" s="68" t="str">
        <x:v>Kinh</x:v>
      </x:c>
      <x:c r="H280" s="68" t="str">
        <x:v>Xa Hang Dan</x:v>
      </x:c>
      <x:c r="I280" s="68" t="str">
        <x:v>THCS Nguy6n Du</x:v>
      </x:c>
      <x:c r="J280" s="68" t="str">
        <x:v>Xa H6ng Dan</x:v>
      </x:c>
      <x:c r="K280" s="68" t="str">
        <x:v>33.1</x:v>
      </x:c>
      <x:c r="L280" s="68" t="str">
        <x:v>38</x:v>
      </x:c>
      <x:c r="M280" s="68" t="str"/>
      <x:c r="N280" s="68" t="str"/>
      <x:c r="O280" s="68" t="str">
        <x:v>71.1</x:v>
      </x:c>
      <x:c r="P280" s="68" t="str"/>
    </x:row>
    <x:row r="281">
      <x:c r="A281" s="106" t="n">
        <x:v>9</x:v>
      </x:c>
      <x:c r="B281" s="106" t="str">
        <x:v>280</x:v>
      </x:c>
      <x:c r="C281" s="167" t="str">
        <x:f>"095211005713"</x:f>
        <x:v>095211005713</x:v>
      </x:c>
      <x:c r="D281" s="68" t="str">
        <x:v>NGUYEN TRUONG NGQC THrNH</x:v>
      </x:c>
      <x:c r="E281" s="68" t="str"/>
      <x:c r="F281" s="68" t="str">
        <x:v>17/03/201 1</x:v>
      </x:c>
      <x:c r="G281" s="68" t="str">
        <x:v>Kinh</x:v>
      </x:c>
      <x:c r="H281" s="68" t="str">
        <x:v>Xa Phudc Long</x:v>
      </x:c>
      <x:c r="I281" s="68" t="str">
        <x:v>THCS Phu6c Long</x:v>
      </x:c>
      <x:c r="J281" s="68" t="str">
        <x:v>Xa Phu6c Long</x:v>
      </x:c>
      <x:c r="K281" s="68" t="str">
        <x:v>33.0</x:v>
      </x:c>
      <x:c r="L281" s="68" t="str">
        <x:v>38</x:v>
      </x:c>
      <x:c r="M281" s="68" t="str"/>
      <x:c r="N281" s="68" t="str"/>
      <x:c r="O281" s="68" t="str">
        <x:v>71.0</x:v>
      </x:c>
      <x:c r="P281" s="68" t="str"/>
    </x:row>
    <x:row r="282">
      <x:c r="A282" s="106" t="n">
        <x:v>9</x:v>
      </x:c>
      <x:c r="B282" s="106" t="str">
        <x:v>281</x:v>
      </x:c>
      <x:c r="C282" s="167" t="str">
        <x:f>"0953 1 1008490"</x:f>
        <x:v>0953 1 1008490</x:v>
      </x:c>
      <x:c r="D282" s="68" t="str">
        <x:v>PHAN THI cAM LY</x:v>
      </x:c>
      <x:c r="E282" s="68" t="str">
        <x:v>X</x:v>
      </x:c>
      <x:c r="F282" s="68" t="str">
        <x:v>18/08/201 1</x:v>
      </x:c>
      <x:c r="G282" s="68" t="str">
        <x:v>Kinh</x:v>
      </x:c>
      <x:c r="H282" s="68" t="str">
        <x:v>Xa Vinh Thanh</x:v>
      </x:c>
      <x:c r="I282" s="68" t="str">
        <x:v>THCS Hung Phd</x:v>
      </x:c>
      <x:c r="J282" s="68" t="str">
        <x:v>Xa Vinh Thanh</x:v>
      </x:c>
      <x:c r="K282" s="68" t="str">
        <x:v>33.0</x:v>
      </x:c>
      <x:c r="L282" s="68" t="str">
        <x:v>38</x:v>
      </x:c>
      <x:c r="M282" s="68" t="str"/>
      <x:c r="N282" s="68" t="str"/>
      <x:c r="O282" s="68" t="str">
        <x:v>71.0</x:v>
      </x:c>
      <x:c r="P282" s="68" t="str"/>
    </x:row>
    <x:row r="283">
      <x:c r="A283" s="106" t="n">
        <x:v>9</x:v>
      </x:c>
      <x:c r="B283" s="106" t="str">
        <x:v>282</x:v>
      </x:c>
      <x:c r="C283" s="167" t="str">
        <x:f>"094211002507"</x:f>
        <x:v>094211002507</x:v>
      </x:c>
      <x:c r="D283" s="68" t="str">
        <x:v>DU'ONG NGUY£N DUY</x:v>
      </x:c>
      <x:c r="E283" s="68" t="str"/>
      <x:c r="F283" s="68" t="str">
        <x:v>16/02/201 1</x:v>
      </x:c>
      <x:c r="G283" s="68" t="str">
        <x:v>Kinh</x:v>
      </x:c>
      <x:c r="H283" s="68" t="str">
        <x:v>Xa Phudc Long</x:v>
      </x:c>
      <x:c r="I283" s="68" t="str">
        <x:v>THCS Vuang Hau Nhan</x:v>
      </x:c>
      <x:c r="J283" s="68" t="str">
        <x:v>Xa Phu6c Long</x:v>
      </x:c>
      <x:c r="K283" s="68" t="str">
        <x:v>33.0</x:v>
      </x:c>
      <x:c r="L283" s="68" t="str">
        <x:v>38</x:v>
      </x:c>
      <x:c r="M283" s="68" t="str"/>
      <x:c r="N283" s="68" t="str"/>
      <x:c r="O283" s="68" t="str">
        <x:v>71.0</x:v>
      </x:c>
      <x:c r="P283" s="68" t="str"/>
    </x:row>
    <x:row r="284">
      <x:c r="A284" s="106" t="n">
        <x:v>9</x:v>
      </x:c>
      <x:c r="B284" s="106" t="str">
        <x:v>283</x:v>
      </x:c>
      <x:c r="C284" s="167" t="str">
        <x:f>"0953 1 1002009"</x:f>
        <x:v>0953 1 1002009</x:v>
      </x:c>
      <x:c r="D284" s="68" t="str">
        <x:v>NGUYEN THI QUtNH NF[U'</x:v>
      </x:c>
      <x:c r="E284" s="68" t="str">
        <x:v>X</x:v>
      </x:c>
      <x:c r="F284" s="68" t="str">
        <x:v>22/1 1/2011</x:v>
      </x:c>
      <x:c r="G284" s="68" t="str">
        <x:v>Kinh</x:v>
      </x:c>
      <x:c r="H284" s="68" t="str">
        <x:v>Xa Phu6c Long</x:v>
      </x:c>
      <x:c r="I284" s="68" t="str">
        <x:v>THCS Vuang Hau'Nhan</x:v>
      </x:c>
      <x:c r="J284" s="68" t="str">
        <x:v>Xa Phu6c Long</x:v>
      </x:c>
      <x:c r="K284" s="68" t="str">
        <x:v>33.0</x:v>
      </x:c>
      <x:c r="L284" s="68" t="str">
        <x:v>38</x:v>
      </x:c>
      <x:c r="M284" s="68" t="str"/>
      <x:c r="N284" s="68" t="str"/>
      <x:c r="O284" s="68" t="str">
        <x:v>71.0</x:v>
      </x:c>
      <x:c r="P284" s="68" t="str"/>
    </x:row>
    <x:row r="285">
      <x:c r="A285" s="106" t="n">
        <x:v>9</x:v>
      </x:c>
      <x:c r="B285" s="106" t="str">
        <x:v>284</x:v>
      </x:c>
      <x:c r="C285" s="167" t="str">
        <x:f>"0953 1 1008491"</x:f>
        <x:v>0953 1 1008491</x:v>
      </x:c>
      <x:c r="D285" s="68" t="str">
        <x:v>LE HUYEN TRAM</x:v>
      </x:c>
      <x:c r="E285" s="68" t="str">
        <x:v>X</x:v>
      </x:c>
      <x:c r="F285" s="68" t="str">
        <x:v>17/05/201 1</x:v>
      </x:c>
      <x:c r="G285" s="68" t="str">
        <x:v>Kinh</x:v>
      </x:c>
      <x:c r="H285" s="68" t="str">
        <x:v>Xa Phu6c Long</x:v>
      </x:c>
      <x:c r="I285" s="68" t="str">
        <x:v>THCS Vuang Hnu Nhan</x:v>
      </x:c>
      <x:c r="J285" s="68" t="str">
        <x:v>Xa Phu6c Long</x:v>
      </x:c>
      <x:c r="K285" s="68" t="str">
        <x:v>33.0</x:v>
      </x:c>
      <x:c r="L285" s="68" t="str">
        <x:v>38</x:v>
      </x:c>
      <x:c r="M285" s="68" t="str"/>
      <x:c r="N285" s="68" t="str"/>
      <x:c r="O285" s="68" t="str">
        <x:v>71.0</x:v>
      </x:c>
      <x:c r="P285" s="68" t="str"/>
    </x:row>
    <x:row r="286">
      <x:c r="A286" s="106" t="n">
        <x:v>9</x:v>
      </x:c>
      <x:c r="B286" s="106" t="str">
        <x:v>285</x:v>
      </x:c>
      <x:c r="C286" s="167" t="str">
        <x:f>"095211009175"</x:f>
        <x:v>095211009175</x:v>
      </x:c>
      <x:c r="D286" s="68" t="str">
        <x:v>PHAM QU6C KHAI</x:v>
      </x:c>
      <x:c r="E286" s="68" t="str"/>
      <x:c r="F286" s="68" t="str">
        <x:v>24/10/2011</x:v>
      </x:c>
      <x:c r="G286" s="68" t="str">
        <x:v>Kinh</x:v>
      </x:c>
      <x:c r="H286" s="68" t="str">
        <x:v>Xa Vinh MP</x:v>
      </x:c>
      <x:c r="I286" s="68" t="str">
        <x:v>THCS Hung Phd</x:v>
      </x:c>
      <x:c r="J286" s="68" t="str">
        <x:v>Xa Vlnh Thanh</x:v>
      </x:c>
      <x:c r="K286" s="68" t="str">
        <x:v>32.9</x:v>
      </x:c>
      <x:c r="L286" s="68" t="str">
        <x:v>38</x:v>
      </x:c>
      <x:c r="M286" s="68" t="str"/>
      <x:c r="N286" s="68" t="str"/>
      <x:c r="O286" s="68" t="str">
        <x:v>70.9</x:v>
      </x:c>
      <x:c r="P286" s="68" t="str"/>
    </x:row>
    <x:row r="287">
      <x:c r="A287" s="106" t="n">
        <x:v>9</x:v>
      </x:c>
      <x:c r="B287" s="106" t="str">
        <x:v>286</x:v>
      </x:c>
      <x:c r="C287" s="167" t="str">
        <x:f>"09521 1006374"</x:f>
        <x:v>09521 1006374</x:v>
      </x:c>
      <x:c r="D287" s="68" t="str">
        <x:v>LAM BAN LiNH</x:v>
      </x:c>
      <x:c r="E287" s="68" t="str"/>
      <x:c r="F287" s="68" t="str">
        <x:v>02/06/20 11</x:v>
      </x:c>
      <x:c r="G287" s="68" t="str">
        <x:v>Kinh</x:v>
      </x:c>
      <x:c r="H287" s="68" t="str">
        <x:v>Xa VTnh Thanh</x:v>
      </x:c>
      <x:c r="I287" s="68" t="str">
        <x:v>THCS Hung Phd</x:v>
      </x:c>
      <x:c r="J287" s="68" t="str">
        <x:v>Xa mnh Thanh</x:v>
      </x:c>
      <x:c r="K287" s="68" t="str">
        <x:v>32.9</x:v>
      </x:c>
      <x:c r="L287" s="68" t="str">
        <x:v>38</x:v>
      </x:c>
      <x:c r="M287" s="68" t="str"/>
      <x:c r="N287" s="68" t="str"/>
      <x:c r="O287" s="68" t="str">
        <x:v>70.9</x:v>
      </x:c>
      <x:c r="P287" s="68" t="str"/>
    </x:row>
    <x:row r="288">
      <x:c r="A288" s="106" t="n">
        <x:v>9</x:v>
      </x:c>
      <x:c r="B288" s="106" t="str">
        <x:v>287</x:v>
      </x:c>
      <x:c r="C288" s="167" t="str">
        <x:f>"095310004627"</x:f>
        <x:v>095310004627</x:v>
      </x:c>
      <x:c r="D288" s="68" t="str">
        <x:v>NGUYEN THI NGQC TRaC</x:v>
      </x:c>
      <x:c r="E288" s="68" t="str">
        <x:v>X</x:v>
      </x:c>
      <x:c r="F288" s="68" t="str">
        <x:v>05/1 1/2010</x:v>
      </x:c>
      <x:c r="G288" s="68" t="str">
        <x:v>Kinh</x:v>
      </x:c>
      <x:c r="H288" s="68" t="str">
        <x:v>Xa VTnh Thanh</x:v>
      </x:c>
      <x:c r="I288" s="68" t="str">
        <x:v>THCS Hung Phd</x:v>
      </x:c>
      <x:c r="J288" s="68" t="str">
        <x:v>Xa Vinh Thanh</x:v>
      </x:c>
      <x:c r="K288" s="68" t="str">
        <x:v>33.9</x:v>
      </x:c>
      <x:c r="L288" s="68" t="str">
        <x:v>37</x:v>
      </x:c>
      <x:c r="M288" s="68" t="str"/>
      <x:c r="N288" s="68" t="str"/>
      <x:c r="O288" s="68" t="str">
        <x:v>70.9</x:v>
      </x:c>
      <x:c r="P288" s="68" t="str"/>
    </x:row>
    <x:row r="289">
      <x:c r="A289" s="106" t="n">
        <x:v>9</x:v>
      </x:c>
      <x:c r="B289" s="106" t="str">
        <x:v>288</x:v>
      </x:c>
      <x:c r="C289" s="167" t="str">
        <x:f>"0953 1 1001100"</x:f>
        <x:v>0953 1 1001100</x:v>
      </x:c>
      <x:c r="D289" s="68" t="str">
        <x:v>HUtNH YiN VY</x:v>
      </x:c>
      <x:c r="E289" s="68" t="str">
        <x:v>X</x:v>
      </x:c>
      <x:c r="F289" s="68" t="str">
        <x:v>24/06/2011</x:v>
      </x:c>
      <x:c r="G289" s="68" t="str">
        <x:v>Kinh</x:v>
      </x:c>
      <x:c r="H289" s="68" t="str">
        <x:v>Xa Vinh Thanh</x:v>
      </x:c>
      <x:c r="I289" s="68" t="str">
        <x:v>THCS Hung Pha</x:v>
      </x:c>
      <x:c r="J289" s="68" t="str">
        <x:v>Xa Vinh Thanh</x:v>
      </x:c>
      <x:c r="K289" s="68" t="str">
        <x:v>32.9</x:v>
      </x:c>
      <x:c r="L289" s="68" t="str">
        <x:v>38</x:v>
      </x:c>
      <x:c r="M289" s="68" t="str"/>
      <x:c r="N289" s="68" t="str"/>
      <x:c r="O289" s="68" t="str">
        <x:v>70.9</x:v>
      </x:c>
      <x:c r="P289" s="68" t="str"/>
    </x:row>
    <x:row r="290">
      <x:c r="A290" s="106" t="n">
        <x:v>9</x:v>
      </x:c>
      <x:c r="B290" s="106" t="str">
        <x:v>289</x:v>
      </x:c>
      <x:c r="C290" s="167" t="str">
        <x:f>"0953 1 1003006"</x:f>
        <x:v>0953 1 1003006</x:v>
      </x:c>
      <x:c r="D290" s="68" t="str">
        <x:v>QuACH Y NGQC</x:v>
      </x:c>
      <x:c r="E290" s="68" t="str">
        <x:v>X</x:v>
      </x:c>
      <x:c r="F290" s="68" t="str">
        <x:v>02/12/2011</x:v>
      </x:c>
      <x:c r="G290" s="68" t="str">
        <x:v>Kinh</x:v>
      </x:c>
      <x:c r="H290" s="68" t="str">
        <x:v>Xa G hrh Hao</x:v>
      </x:c>
      <x:c r="I290" s="68" t="str">
        <x:v>THCS Hung Phd</x:v>
      </x:c>
      <x:c r="J290" s="68" t="str">
        <x:v>Xa Wnh Thanh</x:v>
      </x:c>
      <x:c r="K290" s="68" t="str">
        <x:v>32.9</x:v>
      </x:c>
      <x:c r="L290" s="68" t="str">
        <x:v>38</x:v>
      </x:c>
      <x:c r="M290" s="68" t="str"/>
      <x:c r="N290" s="68" t="str"/>
      <x:c r="O290" s="68" t="str">
        <x:v>70.9</x:v>
      </x:c>
      <x:c r="P290" s="68" t="str"/>
    </x:row>
    <x:row r="291">
      <x:c r="A291" s="106" t="n">
        <x:v>9</x:v>
      </x:c>
      <x:c r="B291" s="106" t="str">
        <x:v>290</x:v>
      </x:c>
      <x:c r="C291" s="167" t="str">
        <x:f>"0953 1 1000541"</x:f>
        <x:v>0953 1 1000541</x:v>
      </x:c>
      <x:c r="D291" s="68" t="str">
        <x:v>PnAM ANH THU</x:v>
      </x:c>
      <x:c r="E291" s="68" t="str">
        <x:v>X</x:v>
      </x:c>
      <x:c r="F291" s="68" t="str">
        <x:v>17/07/201 1</x:v>
      </x:c>
      <x:c r="G291" s="68" t="str">
        <x:v>Kinh</x:v>
      </x:c>
      <x:c r="H291" s="68" t="str">
        <x:v>Xa Wnh Phu6c</x:v>
      </x:c>
      <x:c r="I291" s="68" t="str">
        <x:v>THCS VTnh Thanh</x:v>
      </x:c>
      <x:c r="J291" s="68" t="str">
        <x:v>Xa VTnh Thanh</x:v>
      </x:c>
      <x:c r="K291" s="68" t="str">
        <x:v>31.9</x:v>
      </x:c>
      <x:c r="L291" s="68" t="str">
        <x:v>38</x:v>
      </x:c>
      <x:c r="M291" s="68" t="str">
        <x:v>1.0</x:v>
      </x:c>
      <x:c r="N291" s="68" t="str"/>
      <x:c r="O291" s="68" t="str">
        <x:v>70.9</x:v>
      </x:c>
      <x:c r="P291" s="68" t="str"/>
    </x:row>
    <x:row r="292">
      <x:c r="A292" s="106" t="n">
        <x:v>9</x:v>
      </x:c>
      <x:c r="B292" s="106" t="str">
        <x:v>291</x:v>
      </x:c>
      <x:c r="C292" s="167" t="str">
        <x:f>"09531 1009153"</x:f>
        <x:v>09531 1009153</x:v>
      </x:c>
      <x:c r="D292" s="68" t="str">
        <x:v>Li MINH THU</x:v>
      </x:c>
      <x:c r="E292" s="68" t="str">
        <x:v>X</x:v>
      </x:c>
      <x:c r="F292" s="68" t="str">
        <x:v>26/08/2011</x:v>
      </x:c>
      <x:c r="G292" s="68" t="str">
        <x:v>Kinh</x:v>
      </x:c>
      <x:c r="H292" s="68" t="str">
        <x:v>Xa H6ng Dan</x:v>
      </x:c>
      <x:c r="I292" s="68" t="str">
        <x:v>THCS Phu6c Long</x:v>
      </x:c>
      <x:c r="J292" s="68" t="str">
        <x:v>Xa Vinh Phudc</x:v>
      </x:c>
      <x:c r="K292" s="68" t="str">
        <x:v>32.9</x:v>
      </x:c>
      <x:c r="L292" s="68" t="str">
        <x:v>38</x:v>
      </x:c>
      <x:c r="M292" s="68" t="str"/>
      <x:c r="N292" s="68" t="str"/>
      <x:c r="O292" s="68" t="str">
        <x:v>70.9</x:v>
      </x:c>
      <x:c r="P292" s="68" t="str"/>
    </x:row>
    <x:row r="293">
      <x:c r="A293" s="106" t="n">
        <x:v>9</x:v>
      </x:c>
      <x:c r="B293" s="106" t="str">
        <x:v>292</x:v>
      </x:c>
      <x:c r="C293" s="167" t="str">
        <x:f>"095211001611"</x:f>
        <x:v>095211001611</x:v>
      </x:c>
      <x:c r="D293" s="68" t="str">
        <x:v>DOAN vO KHANG</x:v>
      </x:c>
      <x:c r="E293" s="68" t="str"/>
      <x:c r="F293" s="68" t="str">
        <x:v>22/05/2011</x:v>
      </x:c>
      <x:c r="G293" s="68" t="str">
        <x:v>Kinh</x:v>
      </x:c>
      <x:c r="H293" s="68" t="str">
        <x:v>Xa Phu6c Long</x:v>
      </x:c>
      <x:c r="I293" s="68" t="str">
        <x:v>THCS PhMc Long</x:v>
      </x:c>
      <x:c r="J293" s="68" t="str">
        <x:v>Xa Phu6c Long</x:v>
      </x:c>
      <x:c r="K293" s="68" t="str">
        <x:v>32.8</x:v>
      </x:c>
      <x:c r="L293" s="68" t="str">
        <x:v>38</x:v>
      </x:c>
      <x:c r="M293" s="68" t="str"/>
      <x:c r="N293" s="68" t="str"/>
      <x:c r="O293" s="68" t="str">
        <x:v>70.8</x:v>
      </x:c>
      <x:c r="P293" s="68" t="str"/>
    </x:row>
    <x:row r="294">
      <x:c r="A294" s="106" t="n">
        <x:v>9</x:v>
      </x:c>
      <x:c r="B294" s="106" t="str">
        <x:v>293</x:v>
      </x:c>
      <x:c r="C294" s="167" t="str">
        <x:f>"09521 1009764"</x:f>
        <x:v>09521 1009764</x:v>
      </x:c>
      <x:c r="D294" s="68" t="str">
        <x:v>NGUYEN TRQNG Hl£U</x:v>
      </x:c>
      <x:c r="E294" s="68" t="str"/>
      <x:c r="F294" s="68" t="str">
        <x:v>24/08/2011</x:v>
      </x:c>
      <x:c r="G294" s="68" t="str">
        <x:v>Kinh</x:v>
      </x:c>
      <x:c r="H294" s="68" t="str">
        <x:v>Xa Phu6c Long</x:v>
      </x:c>
      <x:c r="I294" s="68" t="str">
        <x:v>THCS Phu6c Long</x:v>
      </x:c>
      <x:c r="J294" s="68" t="str">
        <x:v>Xa Phu6c Long</x:v>
      </x:c>
      <x:c r="K294" s="68" t="str">
        <x:v>32.8</x:v>
      </x:c>
      <x:c r="L294" s="68" t="str">
        <x:v>38</x:v>
      </x:c>
      <x:c r="M294" s="68" t="str"/>
      <x:c r="N294" s="68" t="str"/>
      <x:c r="O294" s="68" t="str">
        <x:v>70.8</x:v>
      </x:c>
      <x:c r="P294" s="68" t="str"/>
    </x:row>
    <x:row r="295">
      <x:c r="A295" s="106" t="n">
        <x:v>9</x:v>
      </x:c>
      <x:c r="B295" s="106" t="str">
        <x:v>294</x:v>
      </x:c>
      <x:c r="C295" s="167" t="str">
        <x:f>"09521 1009047"</x:f>
        <x:v>09521 1009047</x:v>
      </x:c>
      <x:c r="D295" s="68" t="str">
        <x:v>NGUYEN DaC AN</x:v>
      </x:c>
      <x:c r="E295" s="68" t="str"/>
      <x:c r="F295" s="68" t="str">
        <x:v>04/06/201 1</x:v>
      </x:c>
      <x:c r="G295" s="68" t="str">
        <x:v>Kinh</x:v>
      </x:c>
      <x:c r="H295" s="68" t="str">
        <x:v>Xa Phudc Long</x:v>
      </x:c>
      <x:c r="I295" s="68" t="str">
        <x:v>THCS Phu6c Long</x:v>
      </x:c>
      <x:c r="J295" s="68" t="str">
        <x:v>XX Phu a Long</x:v>
      </x:c>
      <x:c r="K295" s="68" t="str">
        <x:v>32.8</x:v>
      </x:c>
      <x:c r="L295" s="68" t="str">
        <x:v>38</x:v>
      </x:c>
      <x:c r="M295" s="68" t="str"/>
      <x:c r="N295" s="68" t="str"/>
      <x:c r="O295" s="68" t="str">
        <x:v>70.8</x:v>
      </x:c>
      <x:c r="P295" s="68" t="str"/>
    </x:row>
    <x:row r="296">
      <x:c r="A296" s="106" t="n">
        <x:v>9</x:v>
      </x:c>
      <x:c r="B296" s="106" t="str">
        <x:v>295</x:v>
      </x:c>
      <x:c r="C296" s="167" t="str">
        <x:f>"0953 1 1000 139"</x:f>
        <x:v>0953 1 1000 139</x:v>
      </x:c>
      <x:c r="D296" s="68" t="str">
        <x:v>TRAN THI GLA NGHI</x:v>
      </x:c>
      <x:c r="E296" s="68" t="str">
        <x:v>X</x:v>
      </x:c>
      <x:c r="F296" s="68" t="str">
        <x:v>27/12/201 1</x:v>
      </x:c>
      <x:c r="G296" s="68" t="str">
        <x:v>Kinh</x:v>
      </x:c>
      <x:c r="H296" s="68" t="str">
        <x:v>Xa Phudc Long</x:v>
      </x:c>
      <x:c r="I296" s="68" t="str">
        <x:v>THCS Vuang Hfru Nhan</x:v>
      </x:c>
      <x:c r="J296" s="68" t="str">
        <x:v>Xa Phu6c Long</x:v>
      </x:c>
      <x:c r="K296" s="68" t="str">
        <x:v>32.8</x:v>
      </x:c>
      <x:c r="L296" s="68" t="str">
        <x:v>38</x:v>
      </x:c>
      <x:c r="M296" s="68" t="str"/>
      <x:c r="N296" s="68" t="str"/>
      <x:c r="O296" s="68" t="str">
        <x:v>70.8</x:v>
      </x:c>
      <x:c r="P296" s="68" t="str"/>
    </x:row>
    <x:row r="297">
      <x:c r="A297" s="106" t="n">
        <x:v>9</x:v>
      </x:c>
      <x:c r="B297" s="106" t="str">
        <x:v>296</x:v>
      </x:c>
      <x:c r="C297" s="167" t="str">
        <x:f>"0953 1 1009000"</x:f>
        <x:v>0953 1 1009000</x:v>
      </x:c>
      <x:c r="D297" s="68" t="str">
        <x:v>PHAM KHANH BANG</x:v>
      </x:c>
      <x:c r="E297" s="68" t="str">
        <x:v>X</x:v>
      </x:c>
      <x:c r="F297" s="68" t="str">
        <x:v>03/05/2011</x:v>
      </x:c>
      <x:c r="G297" s="68" t="str">
        <x:v>Kinh</x:v>
      </x:c>
      <x:c r="H297" s="68" t="str">
        <x:v>Xa VTnh Phu6c</x:v>
      </x:c>
      <x:c r="I297" s="68" t="str">
        <x:v>THCS Vinh Pha Tay</x:v>
      </x:c>
      <x:c r="J297" s="68" t="str">
        <x:v>Xa Vrnh phudc</x:v>
      </x:c>
      <x:c r="K297" s="68" t="str">
        <x:v>32.7</x:v>
      </x:c>
      <x:c r="L297" s="68" t="str">
        <x:v>38</x:v>
      </x:c>
      <x:c r="M297" s="68" t="str"/>
      <x:c r="N297" s="68" t="str"/>
      <x:c r="O297" s="68" t="str">
        <x:v>70.7</x:v>
      </x:c>
      <x:c r="P297" s="68" t="str"/>
    </x:row>
    <x:row r="298">
      <x:c r="A298" s="106" t="n">
        <x:v>9</x:v>
      </x:c>
      <x:c r="B298" s="106" t="str">
        <x:v>297</x:v>
      </x:c>
      <x:c r="C298" s="167" t="str">
        <x:f>"0953 1 100833 1"</x:f>
        <x:v>0953 1 100833 1</x:v>
      </x:c>
      <x:c r="D298" s="68" t="str">
        <x:v>LE GLA HAN</x:v>
      </x:c>
      <x:c r="E298" s="68" t="str">
        <x:v>X</x:v>
      </x:c>
      <x:c r="F298" s="68" t="str">
        <x:v>13/03/201 1</x:v>
      </x:c>
      <x:c r="G298" s="68" t="str">
        <x:v>Kinh</x:v>
      </x:c>
      <x:c r="H298" s="68" t="str">
        <x:v>Xa Vinh Thanh</x:v>
      </x:c>
      <x:c r="I298" s="68" t="str">
        <x:v>THCS Hung Phd</x:v>
      </x:c>
      <x:c r="J298" s="68" t="str">
        <x:v>Xa Fmh Thanh</x:v>
      </x:c>
      <x:c r="K298" s="68" t="str">
        <x:v>32.7</x:v>
      </x:c>
      <x:c r="L298" s="68" t="str">
        <x:v>38</x:v>
      </x:c>
      <x:c r="M298" s="68" t="str"/>
      <x:c r="N298" s="68" t="str"/>
      <x:c r="O298" s="68" t="str">
        <x:v>70.7</x:v>
      </x:c>
      <x:c r="P298" s="68" t="str"/>
    </x:row>
    <x:row r="299">
      <x:c r="A299" s="106" t="n">
        <x:v>9</x:v>
      </x:c>
      <x:c r="B299" s="106" t="str">
        <x:v>298</x:v>
      </x:c>
      <x:c r="C299" s="167" t="str">
        <x:f>"095311008519"</x:f>
        <x:v>095311008519</x:v>
      </x:c>
      <x:c r="D299" s="68" t="str">
        <x:v>ONG THI K[M</x:v>
      </x:c>
      <x:c r="E299" s="68" t="str">
        <x:v>X</x:v>
      </x:c>
      <x:c r="F299" s="68" t="str">
        <x:v>30/12/201 1</x:v>
      </x:c>
      <x:c r="G299" s="68" t="str">
        <x:v>Kinh</x:v>
      </x:c>
      <x:c r="H299" s="68" t="str">
        <x:v>Xa Vinh phu6c</x:v>
      </x:c>
      <x:c r="I299" s="68" t="str">
        <x:v>THCS Phu6c Long</x:v>
      </x:c>
      <x:c r="J299" s="68" t="str">
        <x:v>Xg Vinh phudc</x:v>
      </x:c>
      <x:c r="K299" s="68" t="str">
        <x:v>32.7</x:v>
      </x:c>
      <x:c r="L299" s="68" t="str">
        <x:v>37</x:v>
      </x:c>
      <x:c r="M299" s="68" t="str">
        <x:v>1.0</x:v>
      </x:c>
      <x:c r="N299" s="68" t="str"/>
      <x:c r="O299" s="68" t="str">
        <x:v>70.7</x:v>
      </x:c>
      <x:c r="P299" s="68" t="str"/>
    </x:row>
    <x:row r="300">
      <x:c r="A300" s="106" t="n">
        <x:v>9</x:v>
      </x:c>
      <x:c r="B300" s="106" t="str">
        <x:v>299</x:v>
      </x:c>
      <x:c r="C300" s="167" t="str">
        <x:f>"09531 1003672"</x:f>
        <x:v>09531 1003672</x:v>
      </x:c>
      <x:c r="D300" s="68" t="str">
        <x:v>NGUYEN THI THANH THAO</x:v>
      </x:c>
      <x:c r="E300" s="68" t="str">
        <x:v>X</x:v>
      </x:c>
      <x:c r="F300" s="68" t="str">
        <x:v>03/08/2011</x:v>
      </x:c>
      <x:c r="G300" s="68" t="str">
        <x:v>Kinh</x:v>
      </x:c>
      <x:c r="H300" s="68" t="str">
        <x:v>XI VTnh Phudc</x:v>
      </x:c>
      <x:c r="I300" s="68" t="str">
        <x:v>THCS Vinh Pha Tay</x:v>
      </x:c>
      <x:c r="J300" s="68" t="str">
        <x:v>Xa Vinh Phu6c</x:v>
      </x:c>
      <x:c r="K300" s="68" t="str">
        <x:v>33.7</x:v>
      </x:c>
      <x:c r="L300" s="68" t="str">
        <x:v>37</x:v>
      </x:c>
      <x:c r="M300" s="68" t="str"/>
      <x:c r="N300" s="68" t="str"/>
      <x:c r="O300" s="68" t="str">
        <x:v>70.7</x:v>
      </x:c>
      <x:c r="P300" s="68" t="str"/>
    </x:row>
    <x:row r="301">
      <x:c r="A301" s="106" t="n">
        <x:v>9</x:v>
      </x:c>
      <x:c r="B301" s="106" t="str">
        <x:v>300</x:v>
      </x:c>
      <x:c r="C301" s="167" t="str">
        <x:f>"0953 1 1002368"</x:f>
        <x:v>0953 1 1002368</x:v>
      </x:c>
      <x:c r="D301" s="68" t="str">
        <x:v>CHAU NGUYEN TMa NGOAN</x:v>
      </x:c>
      <x:c r="E301" s="68" t="str">
        <x:v>X</x:v>
      </x:c>
      <x:c r="F301" s="68" t="str">
        <x:v>26/1 1/2011</x:v>
      </x:c>
      <x:c r="G301" s="68" t="str">
        <x:v>Kinh</x:v>
      </x:c>
      <x:c r="H301" s="68" t="str">
        <x:v>Xa Vrnh Thanh</x:v>
      </x:c>
      <x:c r="I301" s="68" t="str">
        <x:v>THCS Hung Pha</x:v>
      </x:c>
      <x:c r="J301" s="68" t="str">
        <x:v>Xa Vinh Thanh</x:v>
      </x:c>
      <x:c r="K301" s="68" t="str">
        <x:v>32.7</x:v>
      </x:c>
      <x:c r="L301" s="68" t="str">
        <x:v>38</x:v>
      </x:c>
      <x:c r="M301" s="68" t="str"/>
      <x:c r="N301" s="68" t="str"/>
      <x:c r="O301" s="68" t="str">
        <x:v>70.7</x:v>
      </x:c>
      <x:c r="P301" s="68" t="str"/>
    </x:row>
    <x:row r="302">
      <x:c r="A302" s="106" t="n">
        <x:v>10</x:v>
      </x:c>
      <x:c r="B302" s="106" t="str">
        <x:v>301</x:v>
      </x:c>
      <x:c r="C302" s="167" t="str">
        <x:f>"095311003725"</x:f>
        <x:v>095311003725</x:v>
      </x:c>
      <x:c r="D302" s="68" t="str">
        <x:v>NGUY£N THI MY DUYEN</x:v>
      </x:c>
      <x:c r="E302" s="68" t="str">
        <x:v>X</x:v>
      </x:c>
      <x:c r="F302" s="68" t="str">
        <x:v>15/12/2011</x:v>
      </x:c>
      <x:c r="G302" s="68" t="str">
        <x:v>Kinh</x:v>
      </x:c>
      <x:c r="H302" s="68" t="str">
        <x:v>Xa Phu6c Long</x:v>
      </x:c>
      <x:c r="I302" s="68" t="str">
        <x:v>THCS Vuang Hfru Nhan</x:v>
      </x:c>
      <x:c r="J302" s="68" t="str">
        <x:v>Xa Phu6c Long</x:v>
      </x:c>
      <x:c r="K302" s="68" t="str">
        <x:v>32.6</x:v>
      </x:c>
      <x:c r="L302" s="68" t="str">
        <x:v>38</x:v>
      </x:c>
      <x:c r="M302" s="68" t="str"/>
      <x:c r="N302" s="68" t="str"/>
      <x:c r="O302" s="68" t="str">
        <x:v>70.6</x:v>
      </x:c>
      <x:c r="P302" s="68" t="str"/>
    </x:row>
    <x:row r="303">
      <x:c r="A303" s="106" t="n">
        <x:v>10</x:v>
      </x:c>
      <x:c r="B303" s="106" t="str">
        <x:v>302</x:v>
      </x:c>
      <x:c r="C303" s="167" t="str">
        <x:f>"0953 1 1008548"</x:f>
        <x:v>0953 1 1008548</x:v>
      </x:c>
      <x:c r="D303" s="68" t="str">
        <x:v>HU+NII ANH THU</x:v>
      </x:c>
      <x:c r="E303" s="68" t="str">
        <x:v>X</x:v>
      </x:c>
      <x:c r="F303" s="68" t="str">
        <x:v>25/09/2011</x:v>
      </x:c>
      <x:c r="G303" s="68" t="str">
        <x:v>Kinh</x:v>
      </x:c>
      <x:c r="H303" s="68" t="str">
        <x:v>Xa Phu6c Long</x:v>
      </x:c>
      <x:c r="I303" s="68" t="str">
        <x:v>THCS Phu a Long</x:v>
      </x:c>
      <x:c r="J303" s="68" t="str">
        <x:v>Xa Phu6c Long</x:v>
      </x:c>
      <x:c r="K303" s="68" t="str">
        <x:v>33.5</x:v>
      </x:c>
      <x:c r="L303" s="68" t="str">
        <x:v>37</x:v>
      </x:c>
      <x:c r="M303" s="68" t="str"/>
      <x:c r="N303" s="68" t="str"/>
      <x:c r="O303" s="68" t="str">
        <x:v>70.5</x:v>
      </x:c>
      <x:c r="P303" s="68" t="str"/>
    </x:row>
    <x:row r="304">
      <x:c r="A304" s="106" t="n">
        <x:v>10</x:v>
      </x:c>
      <x:c r="B304" s="106" t="str">
        <x:v>303</x:v>
      </x:c>
      <x:c r="C304" s="167" t="str">
        <x:f>"0953 1 10093 1 1"</x:f>
        <x:v>0953 1 10093 1 1</x:v>
      </x:c>
      <x:c r="D304" s="68" t="str">
        <x:v>NGUY£N THI BiCH CHAM</x:v>
      </x:c>
      <x:c r="E304" s="68" t="str">
        <x:v>X</x:v>
      </x:c>
      <x:c r="F304" s="68" t="str">
        <x:v>29/1 1/2011</x:v>
      </x:c>
      <x:c r="G304" s="68" t="str">
        <x:v>Kinh</x:v>
      </x:c>
      <x:c r="H304" s="68" t="str">
        <x:v>Xa Vinh Thanh</x:v>
      </x:c>
      <x:c r="I304" s="68" t="str">
        <x:v>THCS Hung Phd</x:v>
      </x:c>
      <x:c r="J304" s="68" t="str">
        <x:v>Xa VTnh Thanh</x:v>
      </x:c>
      <x:c r="K304" s="68" t="str">
        <x:v>32.5</x:v>
      </x:c>
      <x:c r="L304" s="68" t="str">
        <x:v>38</x:v>
      </x:c>
      <x:c r="M304" s="68" t="str"/>
      <x:c r="N304" s="68" t="str"/>
      <x:c r="O304" s="68" t="str">
        <x:v>70.5</x:v>
      </x:c>
      <x:c r="P304" s="68" t="str"/>
    </x:row>
    <x:row r="305">
      <x:c r="A305" s="106" t="n">
        <x:v>10</x:v>
      </x:c>
      <x:c r="B305" s="106" t="str">
        <x:v>304</x:v>
      </x:c>
      <x:c r="C305" s="167" t="str">
        <x:f>"095211001584"</x:f>
        <x:v>095211001584</x:v>
      </x:c>
      <x:c r="D305" s="68" t="str">
        <x:v>HUtNH NHAT HUY</x:v>
      </x:c>
      <x:c r="E305" s="68" t="str"/>
      <x:c r="F305" s="68" t="str">
        <x:v>09/11/2011</x:v>
      </x:c>
      <x:c r="G305" s="68" t="str">
        <x:v>Kinh</x:v>
      </x:c>
      <x:c r="H305" s="68" t="str">
        <x:v>Xa Vinh Thanh</x:v>
      </x:c>
      <x:c r="I305" s="68" t="str">
        <x:v>THCS Hung Phd</x:v>
      </x:c>
      <x:c r="J305" s="68" t="str">
        <x:v>Xa VTnh Thanh</x:v>
      </x:c>
      <x:c r="K305" s="68" t="str">
        <x:v>32.5</x:v>
      </x:c>
      <x:c r="L305" s="68" t="str">
        <x:v>38</x:v>
      </x:c>
      <x:c r="M305" s="68" t="str"/>
      <x:c r="N305" s="68" t="str"/>
      <x:c r="O305" s="68" t="str">
        <x:v>70.5</x:v>
      </x:c>
      <x:c r="P305" s="68" t="str"/>
    </x:row>
    <x:row r="306">
      <x:c r="A306" s="106" t="n">
        <x:v>10</x:v>
      </x:c>
      <x:c r="B306" s="106" t="str">
        <x:v>305</x:v>
      </x:c>
      <x:c r="C306" s="167" t="str">
        <x:f>"09521 101 0005"</x:f>
        <x:v>09521 101 0005</x:v>
      </x:c>
      <x:c r="D306" s="68" t="str">
        <x:v>NGUYeN NHAT NAM</x:v>
      </x:c>
      <x:c r="E306" s="68" t="str"/>
      <x:c r="F306" s="68" t="str">
        <x:v>25/04/201 1</x:v>
      </x:c>
      <x:c r="G306" s="68" t="str">
        <x:v>Kinh</x:v>
      </x:c>
      <x:c r="H306" s="68" t="str">
        <x:v>Xa Wnh Thanh</x:v>
      </x:c>
      <x:c r="I306" s="68" t="str">
        <x:v>THCS Vinh Thanh</x:v>
      </x:c>
      <x:c r="J306" s="68" t="str">
        <x:v>Xa Wmh Thanh</x:v>
      </x:c>
      <x:c r="K306" s="68" t="str">
        <x:v>33.5</x:v>
      </x:c>
      <x:c r="L306" s="68" t="str">
        <x:v>37</x:v>
      </x:c>
      <x:c r="M306" s="68" t="str"/>
      <x:c r="N306" s="68" t="str"/>
      <x:c r="O306" s="68" t="str">
        <x:v>70.5</x:v>
      </x:c>
      <x:c r="P306" s="68" t="str"/>
    </x:row>
    <x:row r="307">
      <x:c r="A307" s="106" t="n">
        <x:v>10</x:v>
      </x:c>
      <x:c r="B307" s="106" t="str">
        <x:v>306</x:v>
      </x:c>
      <x:c r="C307" s="167" t="str">
        <x:f>"095211001707"</x:f>
        <x:v>095211001707</x:v>
      </x:c>
      <x:c r="D307" s="68" t="str">
        <x:v>LE DOC ANH</x:v>
      </x:c>
      <x:c r="E307" s="68" t="str"/>
      <x:c r="F307" s="68" t="str">
        <x:v>09/11/2011</x:v>
      </x:c>
      <x:c r="G307" s="68" t="str">
        <x:v>Kinh</x:v>
      </x:c>
      <x:c r="H307" s="68" t="str">
        <x:v>Xa Vinh Thanh</x:v>
      </x:c>
      <x:c r="I307" s="68" t="str">
        <x:v>THCS Hung Phd</x:v>
      </x:c>
      <x:c r="J307" s="68" t="str">
        <x:v>Xa Vmh Thanh</x:v>
      </x:c>
      <x:c r="K307" s="68" t="str">
        <x:v>33.4</x:v>
      </x:c>
      <x:c r="L307" s="68" t="str">
        <x:v>37</x:v>
      </x:c>
      <x:c r="M307" s="68" t="str"/>
      <x:c r="N307" s="68" t="str"/>
      <x:c r="O307" s="68" t="str">
        <x:v>70.4</x:v>
      </x:c>
      <x:c r="P307" s="68" t="str"/>
    </x:row>
    <x:row r="308">
      <x:c r="A308" s="106" t="n">
        <x:v>10</x:v>
      </x:c>
      <x:c r="B308" s="106" t="str">
        <x:v>307</x:v>
      </x:c>
      <x:c r="C308" s="167" t="str">
        <x:f>"095211004683"</x:f>
        <x:v>095211004683</x:v>
      </x:c>
      <x:c r="D308" s="68" t="str">
        <x:v>NGUYEN TRQNG QUY£N</x:v>
      </x:c>
      <x:c r="E308" s="68" t="str"/>
      <x:c r="F308" s="68" t="str">
        <x:v>14/12/201 1</x:v>
      </x:c>
      <x:c r="G308" s="68" t="str">
        <x:v>Kinh</x:v>
      </x:c>
      <x:c r="H308" s="68" t="str">
        <x:v>Xa Phu6c Long</x:v>
      </x:c>
      <x:c r="I308" s="68" t="str">
        <x:v>THCS Vuang Hfru Nhan</x:v>
      </x:c>
      <x:c r="J308" s="68" t="str">
        <x:v>Xa Phu6c Long</x:v>
      </x:c>
      <x:c r="K308" s="68" t="str">
        <x:v>32.9</x:v>
      </x:c>
      <x:c r="L308" s="68" t="str">
        <x:v>37</x:v>
      </x:c>
      <x:c r="M308" s="68" t="str"/>
      <x:c r="N308" s="68" t="str">
        <x:v>0.5</x:v>
      </x:c>
      <x:c r="O308" s="68" t="str">
        <x:v>70.4</x:v>
      </x:c>
      <x:c r="P308" s="68" t="str"/>
    </x:row>
    <x:row r="309">
      <x:c r="A309" s="106" t="n">
        <x:v>10</x:v>
      </x:c>
      <x:c r="B309" s="106" t="str">
        <x:v>308</x:v>
      </x:c>
      <x:c r="C309" s="167" t="str">
        <x:f>"095209011049"</x:f>
        <x:v>095209011049</x:v>
      </x:c>
      <x:c r="D309" s="68" t="str">
        <x:v>SO’TnANH TH6NG</x:v>
      </x:c>
      <x:c r="E309" s="68" t="str"/>
      <x:c r="F309" s="68" t="str">
        <x:v>28/1 1/2009</x:v>
      </x:c>
      <x:c r="G309" s="68" t="str">
        <x:v>Kinh</x:v>
      </x:c>
      <x:c r="H309" s="68" t="str">
        <x:v>Xa VTnh Phudc</x:v>
      </x:c>
      <x:c r="I309" s="68" t="str">
        <x:v>THCS Vinh Pha Tay</x:v>
      </x:c>
      <x:c r="J309" s="68" t="str">
        <x:v>Xa Vinh Phu6c</x:v>
      </x:c>
      <x:c r="K309" s="68" t="str">
        <x:v>32.3</x:v>
      </x:c>
      <x:c r="L309" s="68" t="str">
        <x:v>37</x:v>
      </x:c>
      <x:c r="M309" s="68" t="str">
        <x:v>1.0</x:v>
      </x:c>
      <x:c r="N309" s="68" t="str"/>
      <x:c r="O309" s="68" t="str">
        <x:v>70.3</x:v>
      </x:c>
      <x:c r="P309" s="68" t="str"/>
    </x:row>
    <x:row r="310">
      <x:c r="A310" s="106" t="n">
        <x:v>10</x:v>
      </x:c>
      <x:c r="B310" s="106" t="str">
        <x:v>309</x:v>
      </x:c>
      <x:c r="C310" s="167" t="str">
        <x:f>"095211007113"</x:f>
        <x:v>095211007113</x:v>
      </x:c>
      <x:c r="D310" s="68" t="str">
        <x:v>HUYNH THANH TAI</x:v>
      </x:c>
      <x:c r="E310" s="68" t="str"/>
      <x:c r="F310" s="68" t="str">
        <x:v>14/10/2011</x:v>
      </x:c>
      <x:c r="G310" s="68" t="str">
        <x:v>Kinh</x:v>
      </x:c>
      <x:c r="H310" s="68" t="str">
        <x:v>Xa VTnh Thanh</x:v>
      </x:c>
      <x:c r="I310" s="68" t="str">
        <x:v>THCS Hung Pha</x:v>
      </x:c>
      <x:c r="J310" s="68" t="str">
        <x:v>Xa Vinh Thanh</x:v>
      </x:c>
      <x:c r="K310" s="68" t="str">
        <x:v>32.3</x:v>
      </x:c>
      <x:c r="L310" s="68" t="str">
        <x:v>38</x:v>
      </x:c>
      <x:c r="M310" s="68" t="str"/>
      <x:c r="N310" s="68" t="str"/>
      <x:c r="O310" s="68" t="str">
        <x:v>70.3</x:v>
      </x:c>
      <x:c r="P310" s="68" t="str"/>
    </x:row>
    <x:row r="311">
      <x:c r="A311" s="106" t="n">
        <x:v>10</x:v>
      </x:c>
      <x:c r="B311" s="106" t="str">
        <x:v>310</x:v>
      </x:c>
      <x:c r="C311" s="167" t="str">
        <x:f>"095311001579 :"</x:f>
        <x:v>095311001579 :</x:v>
      </x:c>
      <x:c r="D311" s="68" t="str">
        <x:v>LE THEJY MIN</x:v>
      </x:c>
      <x:c r="E311" s="68" t="str">
        <x:v>X</x:v>
      </x:c>
      <x:c r="F311" s="68" t="str">
        <x:v>01/05/201 1</x:v>
      </x:c>
      <x:c r="G311" s="68" t="str">
        <x:v>Kinh</x:v>
      </x:c>
      <x:c r="H311" s="68" t="str">
        <x:v>Xa Vinh Thanh</x:v>
      </x:c>
      <x:c r="I311" s="68" t="str">
        <x:v>THCS Hung Pha</x:v>
      </x:c>
      <x:c r="J311" s="68" t="str">
        <x:v>Xg Vinh Thanh</x:v>
      </x:c>
      <x:c r="K311" s="68" t="str">
        <x:v>32.3</x:v>
      </x:c>
      <x:c r="L311" s="68" t="str">
        <x:v>38</x:v>
      </x:c>
      <x:c r="M311" s="68" t="str"/>
      <x:c r="N311" s="68" t="str"/>
      <x:c r="O311" s="68" t="str">
        <x:v>70.3</x:v>
      </x:c>
      <x:c r="P311" s="68" t="str"/>
    </x:row>
    <x:row r="312">
      <x:c r="A312" s="106" t="n">
        <x:v>10</x:v>
      </x:c>
      <x:c r="B312" s="106" t="str">
        <x:v>311</x:v>
      </x:c>
      <x:c r="C312" s="167" t="str">
        <x:f>"095311005600"</x:f>
        <x:v>095311005600</x:v>
      </x:c>
      <x:c r="D312" s="68" t="str">
        <x:v>DtlONGNGQC KnANH</x:v>
      </x:c>
      <x:c r="E312" s="68" t="str">
        <x:v>X</x:v>
      </x:c>
      <x:c r="F312" s="68" t="str">
        <x:v>11/10/2011</x:v>
      </x:c>
      <x:c r="G312" s="68" t="str">
        <x:v>Kinh</x:v>
      </x:c>
      <x:c r="H312" s="68" t="str">
        <x:v>Xa Vinh Thanh</x:v>
      </x:c>
      <x:c r="I312" s="68" t="str">
        <x:v>THCS Hung Pha</x:v>
      </x:c>
      <x:c r="J312" s="68" t="str">
        <x:v>Xg VTnh Thanh</x:v>
      </x:c>
      <x:c r="K312" s="68" t="str">
        <x:v>32.3</x:v>
      </x:c>
      <x:c r="L312" s="68" t="str">
        <x:v>38</x:v>
      </x:c>
      <x:c r="M312" s="68" t="str"/>
      <x:c r="N312" s="68" t="str"/>
      <x:c r="O312" s="68" t="str">
        <x:v>70.3</x:v>
      </x:c>
      <x:c r="P312" s="68" t="str"/>
    </x:row>
    <x:row r="313">
      <x:c r="A313" s="106" t="n">
        <x:v>10</x:v>
      </x:c>
      <x:c r="B313" s="106" t="str">
        <x:v>312</x:v>
      </x:c>
      <x:c r="C313" s="167" t="str">
        <x:f>"0953 1 1007896"</x:f>
        <x:v>0953 1 1007896</x:v>
      </x:c>
      <x:c r="D313" s="68" t="str">
        <x:v>LAM THI TU'6NG VY</x:v>
      </x:c>
      <x:c r="E313" s="68" t="str">
        <x:v>X</x:v>
      </x:c>
      <x:c r="F313" s="68" t="str">
        <x:v>05/04/2011</x:v>
      </x:c>
      <x:c r="G313" s="68" t="str">
        <x:v>Khmerl</x:v>
      </x:c>
      <x:c r="H313" s="68" t="str">
        <x:v>Xa VTnh Thanh</x:v>
      </x:c>
      <x:c r="I313" s="68" t="str">
        <x:v>THCS VTnh Thanh</x:v>
      </x:c>
      <x:c r="J313" s="68" t="str">
        <x:v>Xa Vinh Thanh</x:v>
      </x:c>
      <x:c r="K313" s="68" t="str">
        <x:v>31.3</x:v>
      </x:c>
      <x:c r="L313" s="68" t="str">
        <x:v>38</x:v>
      </x:c>
      <x:c r="M313" s="68" t="str">
        <x:v>1.0</x:v>
      </x:c>
      <x:c r="N313" s="68" t="str"/>
      <x:c r="O313" s="68" t="str">
        <x:v>70.3</x:v>
      </x:c>
      <x:c r="P313" s="68" t="str"/>
    </x:row>
    <x:row r="314">
      <x:c r="A314" s="106" t="n">
        <x:v>10</x:v>
      </x:c>
      <x:c r="B314" s="106" t="str">
        <x:v>313</x:v>
      </x:c>
      <x:c r="C314" s="167" t="str">
        <x:f>"0873 1 1014965"</x:f>
        <x:v>0873 1 1014965</x:v>
      </x:c>
      <x:c r="D314" s="68" t="str">
        <x:v>NGUY£N THI XUAN THCJY</x:v>
      </x:c>
      <x:c r="E314" s="68" t="str">
        <x:v>X</x:v>
      </x:c>
      <x:c r="F314" s="68" t="str">
        <x:v>15/1 1/2011</x:v>
      </x:c>
      <x:c r="G314" s="68" t="str">
        <x:v>Kinh</x:v>
      </x:c>
      <x:c r="H314" s="68" t="str">
        <x:v>Xa Phudc Long</x:v>
      </x:c>
      <x:c r="I314" s="68" t="str">
        <x:v>THCS Vuang Hnu Nhan</x:v>
      </x:c>
      <x:c r="J314" s="68" t="str">
        <x:v>Xa Phu6c Long</x:v>
      </x:c>
      <x:c r="K314" s="68" t="str">
        <x:v>32.3</x:v>
      </x:c>
      <x:c r="L314" s="68" t="str">
        <x:v>38</x:v>
      </x:c>
      <x:c r="M314" s="68" t="str"/>
      <x:c r="N314" s="68" t="str"/>
      <x:c r="O314" s="68" t="str">
        <x:v>70.3</x:v>
      </x:c>
      <x:c r="P314" s="68" t="str"/>
    </x:row>
    <x:row r="315">
      <x:c r="A315" s="106" t="n">
        <x:v>10</x:v>
      </x:c>
      <x:c r="B315" s="106" t="str">
        <x:v>314</x:v>
      </x:c>
      <x:c r="C315" s="167" t="str">
        <x:f>"09531 1004105"</x:f>
        <x:v>09531 1004105</x:v>
      </x:c>
      <x:c r="D315" s="68" t="str">
        <x:v>HUYNH cAM DUY£N</x:v>
      </x:c>
      <x:c r="E315" s="68" t="str">
        <x:v>X</x:v>
      </x:c>
      <x:c r="F315" s="68" t="str">
        <x:v>19/05/201 1</x:v>
      </x:c>
      <x:c r="G315" s="68" t="str">
        <x:v>Kinh</x:v>
      </x:c>
      <x:c r="H315" s="68" t="str">
        <x:v>Xa Phu6c Long</x:v>
      </x:c>
      <x:c r="I315" s="68" t="str">
        <x:v>THCS Phudc Long</x:v>
      </x:c>
      <x:c r="J315" s="68" t="str">
        <x:v>Xa Phudc Long</x:v>
      </x:c>
      <x:c r="K315" s="68" t="str">
        <x:v>33.2</x:v>
      </x:c>
      <x:c r="L315" s="68" t="str">
        <x:v>37</x:v>
      </x:c>
      <x:c r="M315" s="68" t="str"/>
      <x:c r="N315" s="68" t="str"/>
      <x:c r="O315" s="68" t="str">
        <x:v>70.2</x:v>
      </x:c>
      <x:c r="P315" s="68" t="str"/>
    </x:row>
    <x:row r="316">
      <x:c r="A316" s="106" t="n">
        <x:v>10</x:v>
      </x:c>
      <x:c r="B316" s="106" t="str">
        <x:v>315</x:v>
      </x:c>
      <x:c r="C316" s="167" t="str">
        <x:f>"09531 1003085"</x:f>
        <x:v>09531 1003085</x:v>
      </x:c>
      <x:c r="D316" s="68" t="str">
        <x:v>NGUYiN THI ANH TFIU'</x:v>
      </x:c>
      <x:c r="E316" s="68" t="str">
        <x:v>X</x:v>
      </x:c>
      <x:c r="F316" s="68" t="str">
        <x:v>02/12/201 1</x:v>
      </x:c>
      <x:c r="G316" s="68" t="str">
        <x:v>Kinh</x:v>
      </x:c>
      <x:c r="H316" s="68" t="str">
        <x:v>Xa Phudc Long</x:v>
      </x:c>
      <x:c r="I316" s="68" t="str">
        <x:v>THCS Phu6c Long</x:v>
      </x:c>
      <x:c r="J316" s="68" t="str">
        <x:v>Xa Phu6c Long</x:v>
      </x:c>
      <x:c r="K316" s="68" t="str">
        <x:v>32.2</x:v>
      </x:c>
      <x:c r="L316" s="68" t="str">
        <x:v>38</x:v>
      </x:c>
      <x:c r="M316" s="68" t="str"/>
      <x:c r="N316" s="68" t="str"/>
      <x:c r="O316" s="68" t="str">
        <x:v>70.2</x:v>
      </x:c>
      <x:c r="P316" s="68" t="str"/>
    </x:row>
    <x:row r="317">
      <x:c r="A317" s="106" t="n">
        <x:v>10</x:v>
      </x:c>
      <x:c r="B317" s="106" t="str">
        <x:v>316</x:v>
      </x:c>
      <x:c r="C317" s="167" t="str">
        <x:f>"095311003359"</x:f>
        <x:v>095311003359</x:v>
      </x:c>
      <x:c r="D317" s="68" t="str">
        <x:v>TRAN THI MONG NGHI</x:v>
      </x:c>
      <x:c r="E317" s="68" t="str">
        <x:v>X</x:v>
      </x:c>
      <x:c r="F317" s="68" t="str">
        <x:v>17/06/201 1</x:v>
      </x:c>
      <x:c r="G317" s="68" t="str">
        <x:v>Kinh</x:v>
      </x:c>
      <x:c r="H317" s="68" t="str">
        <x:v>Xa VTnh Thanh</x:v>
      </x:c>
      <x:c r="I317" s="68" t="str">
        <x:v>THCS Hung Phd</x:v>
      </x:c>
      <x:c r="J317" s="68" t="str">
        <x:v>Xa VTnh Thanh</x:v>
      </x:c>
      <x:c r="K317" s="68" t="str">
        <x:v>33.2</x:v>
      </x:c>
      <x:c r="L317" s="68" t="str">
        <x:v>37</x:v>
      </x:c>
      <x:c r="M317" s="68" t="str"/>
      <x:c r="N317" s="68" t="str"/>
      <x:c r="O317" s="68" t="str">
        <x:v>70.2</x:v>
      </x:c>
      <x:c r="P317" s="68" t="str"/>
    </x:row>
    <x:row r="318">
      <x:c r="A318" s="106" t="n">
        <x:v>10</x:v>
      </x:c>
      <x:c r="B318" s="106" t="str">
        <x:v>317</x:v>
      </x:c>
      <x:c r="C318" s="167" t="str">
        <x:f>"095311003898"</x:f>
        <x:v>095311003898</x:v>
      </x:c>
      <x:c r="D318" s="68" t="str">
        <x:v>TRAN HA VI</x:v>
      </x:c>
      <x:c r="E318" s="68" t="str">
        <x:v>X</x:v>
      </x:c>
      <x:c r="F318" s="68" t="str">
        <x:v>20/10/2011</x:v>
      </x:c>
      <x:c r="G318" s="68" t="str">
        <x:v>Kinh</x:v>
      </x:c>
      <x:c r="H318" s="68" t="str">
        <x:v>Xa Phudc Long</x:v>
      </x:c>
      <x:c r="I318" s="68" t="str">
        <x:v>THCS Phudc Long</x:v>
      </x:c>
      <x:c r="J318" s="68" t="str">
        <x:v>Xa Phu6c Long</x:v>
      </x:c>
      <x:c r="K318" s="68" t="str">
        <x:v>32. 1</x:v>
      </x:c>
      <x:c r="L318" s="68" t="str">
        <x:v>38</x:v>
      </x:c>
      <x:c r="M318" s="68" t="str"/>
      <x:c r="N318" s="68" t="str"/>
      <x:c r="O318" s="68" t="str">
        <x:v>70. 1</x:v>
      </x:c>
      <x:c r="P318" s="68" t="str"/>
    </x:row>
    <x:row r="319">
      <x:c r="A319" s="106" t="n">
        <x:v>10</x:v>
      </x:c>
      <x:c r="B319" s="106" t="str">
        <x:v>318</x:v>
      </x:c>
      <x:c r="C319" s="167" t="str">
        <x:f>"091211000591"</x:f>
        <x:v>091211000591</x:v>
      </x:c>
      <x:c r="D319" s="68" t="str">
        <x:v>Li PH(J sT</x:v>
      </x:c>
      <x:c r="E319" s="68" t="str"/>
      <x:c r="F319" s="68" t="str">
        <x:v>17/01/2011</x:v>
      </x:c>
      <x:c r="G319" s="68" t="str">
        <x:v>Kinh</x:v>
      </x:c>
      <x:c r="H319" s="68" t="str">
        <x:v>Xa VTnh phu6c</x:v>
      </x:c>
      <x:c r="I319" s="68" t="str">
        <x:v>THCS VTnh Pha Tay</x:v>
      </x:c>
      <x:c r="J319" s="68" t="str">
        <x:v>Xa Vmh Phu6c</x:v>
      </x:c>
      <x:c r="K319" s="68" t="str">
        <x:v>33.1</x:v>
      </x:c>
      <x:c r="L319" s="68" t="str">
        <x:v>37</x:v>
      </x:c>
      <x:c r="M319" s="68" t="str"/>
      <x:c r="N319" s="68" t="str"/>
      <x:c r="O319" s="68" t="str">
        <x:v>70. 1</x:v>
      </x:c>
      <x:c r="P319" s="68" t="str"/>
    </x:row>
    <x:row r="320">
      <x:c r="A320" s="106" t="n">
        <x:v>10</x:v>
      </x:c>
      <x:c r="B320" s="106" t="str">
        <x:v>319</x:v>
      </x:c>
      <x:c r="C320" s="167" t="str">
        <x:f>"09521 1005521"</x:f>
        <x:v>09521 1005521</x:v>
      </x:c>
      <x:c r="D320" s="68" t="str">
        <x:v>NGUYEN TRi NGUYEN</x:v>
      </x:c>
      <x:c r="E320" s="68" t="str"/>
      <x:c r="F320" s="68" t="str">
        <x:v>24/09/2011</x:v>
      </x:c>
      <x:c r="G320" s="68" t="str">
        <x:v>Kinh</x:v>
      </x:c>
      <x:c r="H320" s="68" t="str">
        <x:v>Xa VTnh Phu6c</x:v>
      </x:c>
      <x:c r="I320" s="68" t="str">
        <x:v>THCS Wnh Pha Tay</x:v>
      </x:c>
      <x:c r="J320" s="68" t="str">
        <x:v>Xa VTnh Phudc</x:v>
      </x:c>
      <x:c r="K320" s="68" t="str">
        <x:v>33.1</x:v>
      </x:c>
      <x:c r="L320" s="68" t="str">
        <x:v>37</x:v>
      </x:c>
      <x:c r="M320" s="68" t="str"/>
      <x:c r="N320" s="68" t="str"/>
      <x:c r="O320" s="68" t="str">
        <x:v>70. 1</x:v>
      </x:c>
      <x:c r="P320" s="68" t="str"/>
    </x:row>
    <x:row r="321">
      <x:c r="A321" s="106" t="n">
        <x:v>10</x:v>
      </x:c>
      <x:c r="B321" s="106" t="str">
        <x:v>320</x:v>
      </x:c>
      <x:c r="C321" s="167" t="str">
        <x:f>"0953 1 1003636"</x:f>
        <x:v>0953 1 1003636</x:v>
      </x:c>
      <x:c r="D321" s="68" t="str">
        <x:v>DO THI NGQC DOI</x:v>
      </x:c>
      <x:c r="E321" s="68" t="str">
        <x:v>X</x:v>
      </x:c>
      <x:c r="F321" s="68" t="str">
        <x:v>17/10/2011</x:v>
      </x:c>
      <x:c r="G321" s="68" t="str">
        <x:v>Kinh</x:v>
      </x:c>
      <x:c r="H321" s="68" t="str">
        <x:v>Xa Vinh Thanh</x:v>
      </x:c>
      <x:c r="I321" s="68" t="str">
        <x:v>THCS Hung Phd</x:v>
      </x:c>
      <x:c r="J321" s="68" t="str">
        <x:v>Xa -Vinh Thanh</x:v>
      </x:c>
      <x:c r="K321" s="68" t="str">
        <x:v>33.1</x:v>
      </x:c>
      <x:c r="L321" s="68" t="str">
        <x:v>37</x:v>
      </x:c>
      <x:c r="M321" s="68" t="str"/>
      <x:c r="N321" s="68" t="str"/>
      <x:c r="O321" s="68" t="str">
        <x:v>70. 1</x:v>
      </x:c>
      <x:c r="P321" s="68" t="str"/>
    </x:row>
    <x:row r="322">
      <x:c r="A322" s="106" t="n">
        <x:v>10</x:v>
      </x:c>
      <x:c r="B322" s="106" t="str">
        <x:v>321</x:v>
      </x:c>
      <x:c r="C322" s="167" t="str">
        <x:f>"09531 1003403"</x:f>
        <x:v>09531 1003403</x:v>
      </x:c>
      <x:c r="D322" s="68" t="str">
        <x:v>LE THI NHIJt</x:v>
      </x:c>
      <x:c r="E322" s="68" t="str">
        <x:v>X</x:v>
      </x:c>
      <x:c r="F322" s="68" t="str">
        <x:v>23/12/201 1</x:v>
      </x:c>
      <x:c r="G322" s="68" t="str">
        <x:v>Kinh</x:v>
      </x:c>
      <x:c r="H322" s="68" t="str">
        <x:v>Xa VTnh Phu6c</x:v>
      </x:c>
      <x:c r="I322" s="68" t="str">
        <x:v>THCS Vrnh Thanh</x:v>
      </x:c>
      <x:c r="J322" s="68" t="str">
        <x:v>Xa Vinh Thanh</x:v>
      </x:c>
      <x:c r="K322" s="68" t="str">
        <x:v>32.1</x:v>
      </x:c>
      <x:c r="L322" s="68" t="str">
        <x:v>37</x:v>
      </x:c>
      <x:c r="M322" s="68" t="str">
        <x:v>1.0</x:v>
      </x:c>
      <x:c r="N322" s="68" t="str"/>
      <x:c r="O322" s="68" t="str">
        <x:v>70. 1</x:v>
      </x:c>
      <x:c r="P322" s="68" t="str"/>
    </x:row>
    <x:row r="323">
      <x:c r="A323" s="106" t="n">
        <x:v>10</x:v>
      </x:c>
      <x:c r="B323" s="106" t="str">
        <x:v>322</x:v>
      </x:c>
      <x:c r="C323" s="167" t="str">
        <x:f>"09531 1007680"</x:f>
        <x:v>09531 1007680</x:v>
      </x:c>
      <x:c r="D323" s="68" t="str">
        <x:v>va cATTUdNG</x:v>
      </x:c>
      <x:c r="E323" s="68" t="str">
        <x:v>X</x:v>
      </x:c>
      <x:c r="F323" s="68" t="str">
        <x:v>26/06/2011</x:v>
      </x:c>
      <x:c r="G323" s="68" t="str">
        <x:v>Kinh</x:v>
      </x:c>
      <x:c r="H323" s="68" t="str">
        <x:v>Xa Vinh Thanh</x:v>
      </x:c>
      <x:c r="I323" s="68" t="str">
        <x:v>THCS Vmh Thanh</x:v>
      </x:c>
      <x:c r="J323" s="68" t="str">
        <x:v>Xa Vmh Thanh</x:v>
      </x:c>
      <x:c r="K323" s="68" t="str">
        <x:v>32. 1</x:v>
      </x:c>
      <x:c r="L323" s="68" t="str">
        <x:v>38</x:v>
      </x:c>
      <x:c r="M323" s="68" t="str"/>
      <x:c r="N323" s="68" t="str"/>
      <x:c r="O323" s="68" t="str">
        <x:v>70. 1</x:v>
      </x:c>
      <x:c r="P323" s="68" t="str"/>
    </x:row>
    <x:row r="324">
      <x:c r="A324" s="106" t="n">
        <x:v>10</x:v>
      </x:c>
      <x:c r="B324" s="106" t="str">
        <x:v>323</x:v>
      </x:c>
      <x:c r="C324" s="167" t="str">
        <x:f>"095210002099"</x:f>
        <x:v>095210002099</x:v>
      </x:c>
      <x:c r="D324" s="68" t="str">
        <x:v>TRAN QU6C KHer</x:v>
      </x:c>
      <x:c r="E324" s="68" t="str"/>
      <x:c r="F324" s="68" t="str">
        <x:v>11/10/2010</x:v>
      </x:c>
      <x:c r="G324" s="68" t="str">
        <x:v>Kinh</x:v>
      </x:c>
      <x:c r="H324" s="68" t="str">
        <x:v>Xa VTnh Phudc</x:v>
      </x:c>
      <x:c r="I324" s="68" t="str">
        <x:v>THCS Phudc Long</x:v>
      </x:c>
      <x:c r="J324" s="68" t="str">
        <x:v>Xa VTnh Phudc</x:v>
      </x:c>
      <x:c r="K324" s="68" t="str">
        <x:v>32.1</x:v>
      </x:c>
      <x:c r="L324" s="68" t="str">
        <x:v>37</x:v>
      </x:c>
      <x:c r="M324" s="68" t="str">
        <x:v>1.0</x:v>
      </x:c>
      <x:c r="N324" s="68" t="str"/>
      <x:c r="O324" s="68" t="str">
        <x:v>70.1</x:v>
      </x:c>
      <x:c r="P324" s="68" t="str"/>
    </x:row>
    <x:row r="325">
      <x:c r="A325" s="106" t="n">
        <x:v>10</x:v>
      </x:c>
      <x:c r="B325" s="106" t="str">
        <x:v>324</x:v>
      </x:c>
      <x:c r="C325" s="167" t="str">
        <x:f>"09531 1002701"</x:f>
        <x:v>09531 1002701</x:v>
      </x:c>
      <x:c r="D325" s="68" t="str">
        <x:v>NGUYBN THI Nnu QUtNH</x:v>
      </x:c>
      <x:c r="E325" s="68" t="str">
        <x:v>X</x:v>
      </x:c>
      <x:c r="F325" s="68" t="str">
        <x:v>30/1 1/2011</x:v>
      </x:c>
      <x:c r="G325" s="68" t="str">
        <x:v>Khmerl</x:v>
      </x:c>
      <x:c r="H325" s="68" t="str">
        <x:v>Xa Phudc Long</x:v>
      </x:c>
      <x:c r="I325" s="68" t="str">
        <x:v>THCS Tnrang VTnh KV</x:v>
      </x:c>
      <x:c r="J325" s="68" t="str">
        <x:v>Xa H6ng Dan</x:v>
      </x:c>
      <x:c r="K325" s="68" t="str">
        <x:v>32. 1</x:v>
      </x:c>
      <x:c r="L325" s="68" t="str">
        <x:v>37</x:v>
      </x:c>
      <x:c r="M325" s="68" t="str">
        <x:v>1.0</x:v>
      </x:c>
      <x:c r="N325" s="68" t="str"/>
      <x:c r="O325" s="68" t="str">
        <x:v>70. 1</x:v>
      </x:c>
      <x:c r="P325" s="68" t="str"/>
    </x:row>
    <x:row r="326">
      <x:c r="A326" s="106" t="n">
        <x:v>10</x:v>
      </x:c>
      <x:c r="B326" s="106" t="str">
        <x:v>325</x:v>
      </x:c>
      <x:c r="C326" s="167" t="str">
        <x:f>"0953 1 1003 1 12"</x:f>
        <x:v>0953 1 1003 1 12</x:v>
      </x:c>
      <x:c r="D326" s="68" t="str">
        <x:v>NG6 DIEP vAN KHANH</x:v>
      </x:c>
      <x:c r="E326" s="68" t="str">
        <x:v>X</x:v>
      </x:c>
      <x:c r="F326" s="68" t="str">
        <x:v>16/02/201 1</x:v>
      </x:c>
      <x:c r="G326" s="68" t="str">
        <x:v>Kinh</x:v>
      </x:c>
      <x:c r="H326" s="68" t="str">
        <x:v>Xg Phu a Long</x:v>
      </x:c>
      <x:c r="I326" s="68" t="str">
        <x:v>THCS Phu6c Long</x:v>
      </x:c>
      <x:c r="J326" s="68" t="str">
        <x:v>Xa Phudc Long</x:v>
      </x:c>
      <x:c r="K326" s="68" t="str">
        <x:v>33.0</x:v>
      </x:c>
      <x:c r="L326" s="68" t="str">
        <x:v>37</x:v>
      </x:c>
      <x:c r="M326" s="68" t="str"/>
      <x:c r="N326" s="68" t="str"/>
      <x:c r="O326" s="68" t="str">
        <x:v>70.0</x:v>
      </x:c>
      <x:c r="P326" s="68" t="str"/>
    </x:row>
    <x:row r="327">
      <x:c r="A327" s="106" t="n">
        <x:v>10</x:v>
      </x:c>
      <x:c r="B327" s="106" t="str">
        <x:v>326</x:v>
      </x:c>
      <x:c r="C327" s="167" t="str">
        <x:f>"095211001648"</x:f>
        <x:v>095211001648</x:v>
      </x:c>
      <x:c r="D327" s="68" t="str">
        <x:v>NGUYEN DUY AN</x:v>
      </x:c>
      <x:c r="E327" s="68" t="str"/>
      <x:c r="F327" s="68" t="str">
        <x:v>17/02/201 1</x:v>
      </x:c>
      <x:c r="G327" s="68" t="str">
        <x:v>Khmer I</x:v>
      </x:c>
      <x:c r="H327" s="68" t="str">
        <x:v>Xa Phudc Long</x:v>
      </x:c>
      <x:c r="I327" s="68" t="str">
        <x:v>THCS Phua Long</x:v>
      </x:c>
      <x:c r="J327" s="68" t="str">
        <x:v>Xa Phudc Long</x:v>
      </x:c>
      <x:c r="K327" s="68" t="str">
        <x:v>32.0</x:v>
      </x:c>
      <x:c r="L327" s="68" t="str">
        <x:v>37</x:v>
      </x:c>
      <x:c r="M327" s="68" t="str">
        <x:v>1.0</x:v>
      </x:c>
      <x:c r="N327" s="68" t="str"/>
      <x:c r="O327" s="68" t="str">
        <x:v>70.0</x:v>
      </x:c>
      <x:c r="P327" s="68" t="str"/>
    </x:row>
    <x:row r="328">
      <x:c r="A328" s="106" t="n">
        <x:v>10</x:v>
      </x:c>
      <x:c r="B328" s="106" t="str">
        <x:v>327</x:v>
      </x:c>
      <x:c r="C328" s="167" t="str">
        <x:f>"095311002357"</x:f>
        <x:v>095311002357</x:v>
      </x:c>
      <x:c r="D328" s="68" t="str">
        <x:v>NGUYeN THI MAI QUtNH</x:v>
      </x:c>
      <x:c r="E328" s="68" t="str">
        <x:v>X</x:v>
      </x:c>
      <x:c r="F328" s="68" t="str">
        <x:v>11/08/2011</x:v>
      </x:c>
      <x:c r="G328" s="68" t="str">
        <x:v>Kinh</x:v>
      </x:c>
      <x:c r="H328" s="68" t="str">
        <x:v>Xa Vrnh Phu6c</x:v>
      </x:c>
      <x:c r="I328" s="68" t="str">
        <x:v>THCS VTnh Pha Tay</x:v>
      </x:c>
      <x:c r="J328" s="68" t="str">
        <x:v>Xa Vinh Phu6c</x:v>
      </x:c>
      <x:c r="K328" s="68" t="str">
        <x:v>32.0</x:v>
      </x:c>
      <x:c r="L328" s="68" t="str">
        <x:v>37</x:v>
      </x:c>
      <x:c r="M328" s="68" t="str">
        <x:v>1.0</x:v>
      </x:c>
      <x:c r="N328" s="68" t="str"/>
      <x:c r="O328" s="68" t="str">
        <x:v>70.0</x:v>
      </x:c>
      <x:c r="P328" s="68" t="str"/>
    </x:row>
    <x:row r="329">
      <x:c r="A329" s="106" t="n">
        <x:v>10</x:v>
      </x:c>
      <x:c r="B329" s="106" t="str">
        <x:v>328</x:v>
      </x:c>
      <x:c r="C329" s="167" t="str">
        <x:f>"09521 1004021"</x:f>
        <x:v>09521 1004021</x:v>
      </x:c>
      <x:c r="D329" s="68" t="str">
        <x:v>NGUY£N GLA BAO</x:v>
      </x:c>
      <x:c r="E329" s="68" t="str"/>
      <x:c r="F329" s="68" t="str">
        <x:v>28/02/201 1</x:v>
      </x:c>
      <x:c r="G329" s="68" t="str">
        <x:v>Kinh</x:v>
      </x:c>
      <x:c r="H329" s="68" t="str">
        <x:v>Xa Phu6c Long</x:v>
      </x:c>
      <x:c r="I329" s="68" t="str">
        <x:v>THCS Vmh Thanh</x:v>
      </x:c>
      <x:c r="J329" s="68" t="str">
        <x:v>Xa Vrnh Thanh</x:v>
      </x:c>
      <x:c r="K329" s="68" t="str">
        <x:v>32.0</x:v>
      </x:c>
      <x:c r="L329" s="68" t="str">
        <x:v>38</x:v>
      </x:c>
      <x:c r="M329" s="68" t="str"/>
      <x:c r="N329" s="68" t="str"/>
      <x:c r="O329" s="68" t="str">
        <x:v>70.0</x:v>
      </x:c>
      <x:c r="P329" s="68" t="str"/>
    </x:row>
    <x:row r="330">
      <x:c r="A330" s="106" t="n">
        <x:v>10</x:v>
      </x:c>
      <x:c r="B330" s="106" t="str">
        <x:v>329</x:v>
      </x:c>
      <x:c r="C330" s="167" t="str">
        <x:f>"095311001783"</x:f>
        <x:v>095311001783</x:v>
      </x:c>
      <x:c r="D330" s="68" t="str">
        <x:v>TRAN THI PHI cAT</x:v>
      </x:c>
      <x:c r="E330" s="68" t="str">
        <x:v>X</x:v>
      </x:c>
      <x:c r="F330" s="68" t="str">
        <x:v>06/07/2011</x:v>
      </x:c>
      <x:c r="G330" s="68" t="str">
        <x:v>Kinh</x:v>
      </x:c>
      <x:c r="H330" s="68" t="str">
        <x:v>Xa Ninh Thgnh Lqi</x:v>
      </x:c>
      <x:c r="I330" s="68" t="str">
        <x:v>THCS Phu a Long</x:v>
      </x:c>
      <x:c r="J330" s="68" t="str">
        <x:v>Xa VTnh phu6c</x:v>
      </x:c>
      <x:c r="K330" s="68" t="str">
        <x:v>32.0</x:v>
      </x:c>
      <x:c r="L330" s="68" t="str">
        <x:v>37</x:v>
      </x:c>
      <x:c r="M330" s="68" t="str">
        <x:v>1.0</x:v>
      </x:c>
      <x:c r="N330" s="68" t="str"/>
      <x:c r="O330" s="68" t="str">
        <x:v>70.0</x:v>
      </x:c>
      <x:c r="P330" s="68" t="str"/>
    </x:row>
    <x:row r="331">
      <x:c r="A331" s="106" t="n">
        <x:v>10</x:v>
      </x:c>
      <x:c r="B331" s="106" t="str">
        <x:v>330</x:v>
      </x:c>
      <x:c r="C331" s="167" t="str">
        <x:f>"0953 1 1001869"</x:f>
        <x:v>0953 1 1001869</x:v>
      </x:c>
      <x:c r="D331" s="68" t="str">
        <x:v>NGUYEN THI NHUNGQC</x:v>
      </x:c>
      <x:c r="E331" s="68" t="str">
        <x:v>X</x:v>
      </x:c>
      <x:c r="F331" s="68" t="str">
        <x:v>10/10/2011</x:v>
      </x:c>
      <x:c r="G331" s="68" t="str">
        <x:v>Kinh</x:v>
      </x:c>
      <x:c r="H331" s="68" t="str">
        <x:v>Xa Phu6c Long</x:v>
      </x:c>
      <x:c r="I331" s="68" t="str">
        <x:v>THCS Phu6c Long</x:v>
      </x:c>
      <x:c r="J331" s="68" t="str">
        <x:v>Xa Phu6c Long</x:v>
      </x:c>
      <x:c r="K331" s="68" t="str">
        <x:v>32.9</x:v>
      </x:c>
      <x:c r="L331" s="68" t="str">
        <x:v>37</x:v>
      </x:c>
      <x:c r="M331" s="68" t="str"/>
      <x:c r="N331" s="68" t="str"/>
      <x:c r="O331" s="68" t="str">
        <x:v>69.9</x:v>
      </x:c>
      <x:c r="P331" s="68" t="str"/>
    </x:row>
    <x:row r="332">
      <x:c r="A332" s="106" t="n">
        <x:v>10</x:v>
      </x:c>
      <x:c r="B332" s="106" t="str">
        <x:v>331</x:v>
      </x:c>
      <x:c r="C332" s="167" t="str">
        <x:f>"0953 1 1000458"</x:f>
        <x:v>0953 1 1000458</x:v>
      </x:c>
      <x:c r="D332" s="68" t="str">
        <x:v>NGUYEN THI VIET TRnqH</x:v>
      </x:c>
      <x:c r="E332" s="68" t="str">
        <x:v>X</x:v>
      </x:c>
      <x:c r="F332" s="68" t="str">
        <x:v>15/1 1/2011</x:v>
      </x:c>
      <x:c r="G332" s="68" t="str">
        <x:v>Kinh</x:v>
      </x:c>
      <x:c r="H332" s="68" t="str">
        <x:v>Xa Phudc Long</x:v>
      </x:c>
      <x:c r="I332" s="68" t="str">
        <x:v>THCS Phudc Long</x:v>
      </x:c>
      <x:c r="J332" s="68" t="str">
        <x:v>Xa Phu6c Long</x:v>
      </x:c>
      <x:c r="K332" s="68" t="str">
        <x:v>31.9</x:v>
      </x:c>
      <x:c r="L332" s="68" t="str">
        <x:v>38</x:v>
      </x:c>
      <x:c r="M332" s="68" t="str"/>
      <x:c r="N332" s="68" t="str"/>
      <x:c r="O332" s="68" t="str">
        <x:v>69.9</x:v>
      </x:c>
      <x:c r="P332" s="68" t="str"/>
    </x:row>
    <x:row r="333">
      <x:c r="A333" s="106" t="n">
        <x:v>10</x:v>
      </x:c>
      <x:c r="B333" s="106" t="str">
        <x:v>332</x:v>
      </x:c>
      <x:c r="C333" s="167" t="str">
        <x:f>"095311002127"</x:f>
        <x:v>095311002127</x:v>
      </x:c>
      <x:c r="D333" s="68" t="str">
        <x:v>Btn THI THRO NGUYEN</x:v>
      </x:c>
      <x:c r="E333" s="68" t="str">
        <x:v>X</x:v>
      </x:c>
      <x:c r="F333" s="68" t="str">
        <x:v>10/08/2011</x:v>
      </x:c>
      <x:c r="G333" s="68" t="str">
        <x:v>Kinh</x:v>
      </x:c>
      <x:c r="H333" s="68" t="str">
        <x:v>Xa VTnh Phudc</x:v>
      </x:c>
      <x:c r="I333" s="68" t="str">
        <x:v>THCS VTnh Pha Tay</x:v>
      </x:c>
      <x:c r="J333" s="68" t="str">
        <x:v>Xa Vmh Phu6c</x:v>
      </x:c>
      <x:c r="K333" s="68" t="str">
        <x:v>31.9</x:v>
      </x:c>
      <x:c r="L333" s="68" t="str">
        <x:v>37</x:v>
      </x:c>
      <x:c r="M333" s="68" t="str">
        <x:v>1.0</x:v>
      </x:c>
      <x:c r="N333" s="68" t="str"/>
      <x:c r="O333" s="68" t="str">
        <x:v>69.9</x:v>
      </x:c>
      <x:c r="P333" s="68" t="str"/>
    </x:row>
    <x:row r="334">
      <x:c r="A334" s="106" t="n">
        <x:v>10</x:v>
      </x:c>
      <x:c r="B334" s="106" t="str">
        <x:v>333</x:v>
      </x:c>
      <x:c r="C334" s="167" t="str">
        <x:f>"09531 1004161"</x:f>
        <x:v>09531 1004161</x:v>
      </x:c>
      <x:c r="D334" s="68" t="str">
        <x:v>NGUYEN TROY AN</x:v>
      </x:c>
      <x:c r="E334" s="68" t="str">
        <x:v>X</x:v>
      </x:c>
      <x:c r="F334" s="68" t="str">
        <x:v>07/07/2011</x:v>
      </x:c>
      <x:c r="G334" s="68" t="str">
        <x:v>Kinh</x:v>
      </x:c>
      <x:c r="H334" s="68" t="str">
        <x:v>Xa Phu6c Long</x:v>
      </x:c>
      <x:c r="I334" s="68" t="str">
        <x:v>THCS VTnh Thanh</x:v>
      </x:c>
      <x:c r="J334" s="68" t="str">
        <x:v>Xa Vinh Thanh</x:v>
      </x:c>
      <x:c r="K334" s="68" t="str">
        <x:v>31.9</x:v>
      </x:c>
      <x:c r="L334" s="68" t="str">
        <x:v>38</x:v>
      </x:c>
      <x:c r="M334" s="68" t="str"/>
      <x:c r="N334" s="68" t="str"/>
      <x:c r="O334" s="68" t="str">
        <x:v>69.9</x:v>
      </x:c>
      <x:c r="P334" s="68" t="str"/>
    </x:row>
    <x:row r="335">
      <x:c r="A335" s="106" t="n">
        <x:v>10</x:v>
      </x:c>
      <x:c r="B335" s="106" t="str">
        <x:v>334</x:v>
      </x:c>
      <x:c r="C335" s="167" t="str">
        <x:f>"09531 1007244"</x:f>
        <x:v>09531 1007244</x:v>
      </x:c>
      <x:c r="D335" s="68" t="str">
        <x:v>TRUaNGNGQC TnUAN</x:v>
      </x:c>
      <x:c r="E335" s="68" t="str">
        <x:v>X</x:v>
      </x:c>
      <x:c r="F335" s="68" t="str">
        <x:v>07/12/2011</x:v>
      </x:c>
      <x:c r="G335" s="68" t="str">
        <x:v>Kinh</x:v>
      </x:c>
      <x:c r="H335" s="68" t="str">
        <x:v>Xa Phu6c Long</x:v>
      </x:c>
      <x:c r="I335" s="68" t="str">
        <x:v>THCS Truang Wnh KV</x:v>
      </x:c>
      <x:c r="J335" s="68" t="str">
        <x:v>Xa Hang Dan</x:v>
      </x:c>
      <x:c r="K335" s="68" t="str">
        <x:v>32.9</x:v>
      </x:c>
      <x:c r="L335" s="68" t="str">
        <x:v>37</x:v>
      </x:c>
      <x:c r="M335" s="68" t="str"/>
      <x:c r="N335" s="68" t="str"/>
      <x:c r="O335" s="68" t="str">
        <x:v>69.9</x:v>
      </x:c>
      <x:c r="P335" s="68" t="str"/>
    </x:row>
    <x:row r="336">
      <x:c r="A336" s="106" t="n">
        <x:v>11</x:v>
      </x:c>
      <x:c r="B336" s="106" t="str">
        <x:v>335</x:v>
      </x:c>
      <x:c r="C336" s="167" t="str">
        <x:f>"0953 1 10043 14"</x:f>
        <x:v>0953 1 10043 14</x:v>
      </x:c>
      <x:c r="D336" s="68" t="str">
        <x:v>H6 Km TnAO</x:v>
      </x:c>
      <x:c r="E336" s="68" t="str">
        <x:v>X</x:v>
      </x:c>
      <x:c r="F336" s="68" t="str">
        <x:v>30/03/2011</x:v>
      </x:c>
      <x:c r="G336" s="68" t="str">
        <x:v>Kinh</x:v>
      </x:c>
      <x:c r="H336" s="68" t="str">
        <x:v>Xa Vinh phu6c</x:v>
      </x:c>
      <x:c r="I336" s="68" t="str">
        <x:v>THCS Wnh Pha Tay</x:v>
      </x:c>
      <x:c r="J336" s="68" t="str">
        <x:v>Xa VTnh Phudc</x:v>
      </x:c>
      <x:c r="K336" s="68" t="str">
        <x:v>32.8</x:v>
      </x:c>
      <x:c r="L336" s="68" t="str">
        <x:v>37</x:v>
      </x:c>
      <x:c r="M336" s="68" t="str"/>
      <x:c r="N336" s="68" t="str"/>
      <x:c r="O336" s="68" t="str">
        <x:v>69.8</x:v>
      </x:c>
      <x:c r="P336" s="68" t="str"/>
    </x:row>
    <x:row r="337">
      <x:c r="A337" s="106" t="n">
        <x:v>11</x:v>
      </x:c>
      <x:c r="B337" s="106" t="str">
        <x:v>336</x:v>
      </x:c>
      <x:c r="C337" s="167" t="str">
        <x:f>"0953 1 1006365"</x:f>
        <x:v>0953 1 1006365</x:v>
      </x:c>
      <x:c r="D337" s="68" t="str">
        <x:v>LU'U KHA BANG</x:v>
      </x:c>
      <x:c r="E337" s="68" t="str">
        <x:v>X</x:v>
      </x:c>
      <x:c r="F337" s="68" t="str">
        <x:v>11/04/20 11</x:v>
      </x:c>
      <x:c r="G337" s="68" t="str">
        <x:v>Kinh</x:v>
      </x:c>
      <x:c r="H337" s="68" t="str">
        <x:v>Xa Vinh Thanh</x:v>
      </x:c>
      <x:c r="I337" s="68" t="str">
        <x:v>THCS Hung Phd</x:v>
      </x:c>
      <x:c r="J337" s="68" t="str">
        <x:v>Xa VTnh Thanh</x:v>
      </x:c>
      <x:c r="K337" s="68" t="str">
        <x:v>32.8</x:v>
      </x:c>
      <x:c r="L337" s="68" t="str">
        <x:v>37</x:v>
      </x:c>
      <x:c r="M337" s="68" t="str"/>
      <x:c r="N337" s="68" t="str"/>
      <x:c r="O337" s="68" t="str">
        <x:v>69.8</x:v>
      </x:c>
      <x:c r="P337" s="68" t="str"/>
    </x:row>
    <x:row r="338">
      <x:c r="A338" s="106" t="n">
        <x:v>11</x:v>
      </x:c>
      <x:c r="B338" s="106" t="str">
        <x:v>337</x:v>
      </x:c>
      <x:c r="C338" s="167" t="str">
        <x:f>"0953 1 1007234"</x:f>
        <x:v>0953 1 1007234</x:v>
      </x:c>
      <x:c r="D338" s="68" t="str">
        <x:v>L£ NCQC THAO</x:v>
      </x:c>
      <x:c r="E338" s="68" t="str">
        <x:v>X</x:v>
      </x:c>
      <x:c r="F338" s="68" t="str">
        <x:v>31/05/2011</x:v>
      </x:c>
      <x:c r="G338" s="68" t="str">
        <x:v>Kinh</x:v>
      </x:c>
      <x:c r="H338" s="68" t="str">
        <x:v>Xa Vinh Thanh</x:v>
      </x:c>
      <x:c r="I338" s="68" t="str">
        <x:v>THCS Hung Phd</x:v>
      </x:c>
      <x:c r="J338" s="68" t="str">
        <x:v>Xa Vinh Thanh</x:v>
      </x:c>
      <x:c r="K338" s="68" t="str">
        <x:v>32.8</x:v>
      </x:c>
      <x:c r="L338" s="68" t="str">
        <x:v>37</x:v>
      </x:c>
      <x:c r="M338" s="68" t="str"/>
      <x:c r="N338" s="68" t="str"/>
      <x:c r="O338" s="68" t="str">
        <x:v>69.8</x:v>
      </x:c>
      <x:c r="P338" s="68" t="str"/>
    </x:row>
    <x:row r="339">
      <x:c r="A339" s="106" t="n">
        <x:v>11</x:v>
      </x:c>
      <x:c r="B339" s="106" t="str">
        <x:v>338</x:v>
      </x:c>
      <x:c r="C339" s="167" t="str">
        <x:f>"09531 1006799"</x:f>
        <x:v>09531 1006799</x:v>
      </x:c>
      <x:c r="D339" s="68" t="str">
        <x:v>KrEu THI ANH THU</x:v>
      </x:c>
      <x:c r="E339" s="68" t="str">
        <x:v>X</x:v>
      </x:c>
      <x:c r="F339" s="68" t="str">
        <x:v>10/09/201 1</x:v>
      </x:c>
      <x:c r="G339" s="68" t="str">
        <x:v>Kinh</x:v>
      </x:c>
      <x:c r="H339" s="68" t="str">
        <x:v>Xa Vmh Thanh</x:v>
      </x:c>
      <x:c r="I339" s="68" t="str">
        <x:v>THCS \anh Thanh</x:v>
      </x:c>
      <x:c r="J339" s="68" t="str">
        <x:v>Xa VTnh Thanh</x:v>
      </x:c>
      <x:c r="K339" s="68" t="str">
        <x:v>32.7</x:v>
      </x:c>
      <x:c r="L339" s="68" t="str">
        <x:v>37</x:v>
      </x:c>
      <x:c r="M339" s="68" t="str"/>
      <x:c r="N339" s="68" t="str"/>
      <x:c r="O339" s="68" t="str">
        <x:v>69.7</x:v>
      </x:c>
      <x:c r="P339" s="68" t="str"/>
    </x:row>
    <x:row r="340">
      <x:c r="A340" s="106" t="n">
        <x:v>11</x:v>
      </x:c>
      <x:c r="B340" s="106" t="str">
        <x:v>339</x:v>
      </x:c>
      <x:c r="C340" s="167" t="str">
        <x:f>"09521 1003885"</x:f>
        <x:v>09521 1003885</x:v>
      </x:c>
      <x:c r="D340" s="68" t="str">
        <x:v>LAM Qu6c DUY</x:v>
      </x:c>
      <x:c r="E340" s="68" t="str"/>
      <x:c r="F340" s="68" t="str">
        <x:v>19/04/201 1</x:v>
      </x:c>
      <x:c r="G340" s="68" t="str">
        <x:v>Kinh</x:v>
      </x:c>
      <x:c r="H340" s="68" t="str">
        <x:v>Xa VTnh phu6c</x:v>
      </x:c>
      <x:c r="I340" s="68" t="str">
        <x:v>THCS Wnh Phi Tay</x:v>
      </x:c>
      <x:c r="J340" s="68" t="str">
        <x:v>Xa VTnh phu6c</x:v>
      </x:c>
      <x:c r="K340" s="68" t="str">
        <x:v>31.6</x:v>
      </x:c>
      <x:c r="L340" s="68" t="str">
        <x:v>37</x:v>
      </x:c>
      <x:c r="M340" s="68" t="str">
        <x:v>1.0</x:v>
      </x:c>
      <x:c r="N340" s="68" t="str"/>
      <x:c r="O340" s="68" t="str">
        <x:v>69.6</x:v>
      </x:c>
      <x:c r="P340" s="68" t="str"/>
    </x:row>
    <x:row r="341">
      <x:c r="A341" s="106" t="n">
        <x:v>11</x:v>
      </x:c>
      <x:c r="B341" s="106" t="str">
        <x:v>340</x:v>
      </x:c>
      <x:c r="C341" s="167" t="str">
        <x:f>"09521 1004748"</x:f>
        <x:v>09521 1004748</x:v>
      </x:c>
      <x:c r="D341" s="68" t="str">
        <x:v>L£ HOANG GIA</x:v>
      </x:c>
      <x:c r="E341" s="68" t="str"/>
      <x:c r="F341" s="68" t="str">
        <x:v>09/04/201 1</x:v>
      </x:c>
      <x:c r="G341" s="68" t="str">
        <x:v>Kinh</x:v>
      </x:c>
      <x:c r="H341" s="68" t="str">
        <x:v>Xa Vinh Thanh</x:v>
      </x:c>
      <x:c r="I341" s="68" t="str">
        <x:v>THCS Hung Phd</x:v>
      </x:c>
      <x:c r="J341" s="68" t="str">
        <x:v>Xa Vinh Thanh</x:v>
      </x:c>
      <x:c r="K341" s="68" t="str">
        <x:v>32.6</x:v>
      </x:c>
      <x:c r="L341" s="68" t="str">
        <x:v>37</x:v>
      </x:c>
      <x:c r="M341" s="68" t="str"/>
      <x:c r="N341" s="68" t="str"/>
      <x:c r="O341" s="68" t="str">
        <x:v>69.6</x:v>
      </x:c>
      <x:c r="P341" s="68" t="str"/>
    </x:row>
    <x:row r="342">
      <x:c r="A342" s="106" t="n">
        <x:v>11</x:v>
      </x:c>
      <x:c r="B342" s="106" t="str">
        <x:v>341</x:v>
      </x:c>
      <x:c r="C342" s="167" t="str">
        <x:f>"0953 1 1003539"</x:f>
        <x:v>0953 1 1003539</x:v>
      </x:c>
      <x:c r="D342" s="68" t="str">
        <x:v>DANH THI NGQC TRAM</x:v>
      </x:c>
      <x:c r="E342" s="68" t="str">
        <x:v>X</x:v>
      </x:c>
      <x:c r="F342" s="68" t="str">
        <x:v>24/05/201 1</x:v>
      </x:c>
      <x:c r="G342" s="68" t="str">
        <x:v>Khmerl</x:v>
      </x:c>
      <x:c r="H342" s="68" t="str">
        <x:v>Xa Phudc Long</x:v>
      </x:c>
      <x:c r="I342" s="68" t="str">
        <x:v>THCS Phudc Long</x:v>
      </x:c>
      <x:c r="J342" s="68" t="str">
        <x:v>Xa VTnh phu6c</x:v>
      </x:c>
      <x:c r="K342" s="68" t="str">
        <x:v>31.6</x:v>
      </x:c>
      <x:c r="L342" s="68" t="str">
        <x:v>37</x:v>
      </x:c>
      <x:c r="M342" s="68" t="str">
        <x:v>1.0</x:v>
      </x:c>
      <x:c r="N342" s="68" t="str"/>
      <x:c r="O342" s="68" t="str">
        <x:v>69.6</x:v>
      </x:c>
      <x:c r="P342" s="68" t="str"/>
    </x:row>
    <x:row r="343">
      <x:c r="A343" s="106" t="n">
        <x:v>11</x:v>
      </x:c>
      <x:c r="B343" s="106" t="str">
        <x:v>342</x:v>
      </x:c>
      <x:c r="C343" s="167" t="str">
        <x:f>"095211007432"</x:f>
        <x:v>095211007432</x:v>
      </x:c>
      <x:c r="D343" s="68" t="str">
        <x:v>PHAN TR(PNG PHUC</x:v>
      </x:c>
      <x:c r="E343" s="68" t="str"/>
      <x:c r="F343" s="68" t="str">
        <x:v>03/1 1/2011</x:v>
      </x:c>
      <x:c r="G343" s="68" t="str">
        <x:v>Kinh</x:v>
      </x:c>
      <x:c r="H343" s="68" t="str">
        <x:v>Xa Phudc Long</x:v>
      </x:c>
      <x:c r="I343" s="68" t="str">
        <x:v>THCS Vuang Hau Nhan</x:v>
      </x:c>
      <x:c r="J343" s="68" t="str">
        <x:v>Xa Phu6c Long</x:v>
      </x:c>
      <x:c r="K343" s="68" t="str">
        <x:v>32,6</x:v>
      </x:c>
      <x:c r="L343" s="68" t="str">
        <x:v>37</x:v>
      </x:c>
      <x:c r="M343" s="68" t="str"/>
      <x:c r="N343" s="68" t="str"/>
      <x:c r="O343" s="68" t="str">
        <x:v>69.6</x:v>
      </x:c>
      <x:c r="P343" s="68" t="str"/>
    </x:row>
    <x:row r="344">
      <x:c r="A344" s="106" t="n">
        <x:v>11</x:v>
      </x:c>
      <x:c r="B344" s="106" t="str">
        <x:v>343</x:v>
      </x:c>
      <x:c r="C344" s="167" t="str">
        <x:f>"0953 1 1003896"</x:f>
        <x:v>0953 1 1003896</x:v>
      </x:c>
      <x:c r="D344" s="68" t="str">
        <x:v>LA NGUYEN GLA HAN</x:v>
      </x:c>
      <x:c r="E344" s="68" t="str">
        <x:v>X</x:v>
      </x:c>
      <x:c r="F344" s="68" t="str">
        <x:v>09/10/201 1</x:v>
      </x:c>
      <x:c r="G344" s="68" t="str">
        <x:v>Kinh</x:v>
      </x:c>
      <x:c r="H344" s="68" t="str">
        <x:v>Xa Vmh Phu6c</x:v>
      </x:c>
      <x:c r="I344" s="68" t="str">
        <x:v>THCS Phudc Long</x:v>
      </x:c>
      <x:c r="J344" s="68" t="str">
        <x:v>Xa Phu6c Long</x:v>
      </x:c>
      <x:c r="K344" s="68" t="str">
        <x:v>32.5</x:v>
      </x:c>
      <x:c r="L344" s="68" t="str">
        <x:v>37</x:v>
      </x:c>
      <x:c r="M344" s="68" t="str"/>
      <x:c r="N344" s="68" t="str"/>
      <x:c r="O344" s="68" t="str">
        <x:v>69.5</x:v>
      </x:c>
      <x:c r="P344" s="68" t="str"/>
    </x:row>
    <x:row r="345">
      <x:c r="A345" s="106" t="n">
        <x:v>11</x:v>
      </x:c>
      <x:c r="B345" s="106" t="str">
        <x:v>344</x:v>
      </x:c>
      <x:c r="C345" s="167" t="str">
        <x:f>"0953 1 1001149"</x:f>
        <x:v>0953 1 1001149</x:v>
      </x:c>
      <x:c r="D345" s="68" t="str">
        <x:v>HA KIM QUY£N</x:v>
      </x:c>
      <x:c r="E345" s="68" t="str">
        <x:v>X</x:v>
      </x:c>
      <x:c r="F345" s="68" t="str">
        <x:v>13/03/2011</x:v>
      </x:c>
      <x:c r="G345" s="68" t="str">
        <x:v>Kinh</x:v>
      </x:c>
      <x:c r="H345" s="68" t="str">
        <x:v>Xa Vinh Phu6c</x:v>
      </x:c>
      <x:c r="I345" s="68" t="str">
        <x:v>THCS Vinh Pha Tay</x:v>
      </x:c>
      <x:c r="J345" s="68" t="str">
        <x:v>Xa Vinh phu6c</x:v>
      </x:c>
      <x:c r="K345" s="68" t="str">
        <x:v>31.5</x:v>
      </x:c>
      <x:c r="L345" s="68" t="str">
        <x:v>37</x:v>
      </x:c>
      <x:c r="M345" s="68" t="str">
        <x:v>1.0</x:v>
      </x:c>
      <x:c r="N345" s="68" t="str"/>
      <x:c r="O345" s="68" t="str">
        <x:v>69.5</x:v>
      </x:c>
      <x:c r="P345" s="68" t="str"/>
    </x:row>
    <x:row r="346">
      <x:c r="A346" s="106" t="n">
        <x:v>11</x:v>
      </x:c>
      <x:c r="B346" s="106" t="str">
        <x:v>345</x:v>
      </x:c>
      <x:c r="C346" s="167" t="str">
        <x:f>"09531 1007490"</x:f>
        <x:v>09531 1007490</x:v>
      </x:c>
      <x:c r="D346" s="68" t="str">
        <x:v>va Tt/dNC VY</x:v>
      </x:c>
      <x:c r="E346" s="68" t="str">
        <x:v>X</x:v>
      </x:c>
      <x:c r="F346" s="68" t="str">
        <x:v>05/02/2011</x:v>
      </x:c>
      <x:c r="G346" s="68" t="str">
        <x:v>Kinh</x:v>
      </x:c>
      <x:c r="H346" s="68" t="str">
        <x:v>Xa VTnh Thanh</x:v>
      </x:c>
      <x:c r="I346" s="68" t="str">
        <x:v>THCS Hung Phd</x:v>
      </x:c>
      <x:c r="J346" s="68" t="str">
        <x:v>Xa Vinh Thanh</x:v>
      </x:c>
      <x:c r="K346" s="68" t="str">
        <x:v>32.5</x:v>
      </x:c>
      <x:c r="L346" s="68" t="str">
        <x:v>37</x:v>
      </x:c>
      <x:c r="M346" s="68" t="str"/>
      <x:c r="N346" s="68" t="str"/>
      <x:c r="O346" s="68" t="str">
        <x:v>69.5</x:v>
      </x:c>
      <x:c r="P346" s="68" t="str"/>
    </x:row>
    <x:row r="347">
      <x:c r="A347" s="106" t="n">
        <x:v>11</x:v>
      </x:c>
      <x:c r="B347" s="106" t="str">
        <x:v>346</x:v>
      </x:c>
      <x:c r="C347" s="167" t="str">
        <x:f>"0963 1 1009250"</x:f>
        <x:v>0963 1 1009250</x:v>
      </x:c>
      <x:c r="D347" s="68" t="str">
        <x:v>NGUY£N THI cAM LY</x:v>
      </x:c>
      <x:c r="E347" s="68" t="str">
        <x:v>X</x:v>
      </x:c>
      <x:c r="F347" s="68" t="str">
        <x:v>14/06/201 1</x:v>
      </x:c>
      <x:c r="G347" s="68" t="str">
        <x:v>Kinh</x:v>
      </x:c>
      <x:c r="H347" s="68" t="str">
        <x:v>Xa H6ng Dan</x:v>
      </x:c>
      <x:c r="I347" s="68" t="str">
        <x:v>THCS Phudc Long</x:v>
      </x:c>
      <x:c r="J347" s="68" t="str">
        <x:v>Xa Vinh phudc</x:v>
      </x:c>
      <x:c r="K347" s="68" t="str">
        <x:v>32.5</x:v>
      </x:c>
      <x:c r="L347" s="68" t="str">
        <x:v>37</x:v>
      </x:c>
      <x:c r="M347" s="68" t="str"/>
      <x:c r="N347" s="68" t="str"/>
      <x:c r="O347" s="68" t="str">
        <x:v>69.5</x:v>
      </x:c>
      <x:c r="P347" s="68" t="str"/>
    </x:row>
    <x:row r="348">
      <x:c r="A348" s="106" t="n">
        <x:v>11</x:v>
      </x:c>
      <x:c r="B348" s="106" t="str">
        <x:v>347</x:v>
      </x:c>
      <x:c r="C348" s="167" t="str">
        <x:f>"09521 1004650"</x:f>
        <x:v>09521 1004650</x:v>
      </x:c>
      <x:c r="D348" s="68" t="str">
        <x:v>L£ vAN DANG</x:v>
      </x:c>
      <x:c r="E348" s="68" t="str"/>
      <x:c r="F348" s="68" t="str">
        <x:v>17/07/2011</x:v>
      </x:c>
      <x:c r="G348" s="68" t="str">
        <x:v>Kinh</x:v>
      </x:c>
      <x:c r="H348" s="68" t="str">
        <x:v>Xa H6ng Dan</x:v>
      </x:c>
      <x:c r="I348" s="68" t="str">
        <x:v>THCS Phudc Long</x:v>
      </x:c>
      <x:c r="J348" s="68" t="str">
        <x:v>Xa VTnh Phu6c</x:v>
      </x:c>
      <x:c r="K348" s="68" t="str">
        <x:v>32.5</x:v>
      </x:c>
      <x:c r="L348" s="68" t="str">
        <x:v>37</x:v>
      </x:c>
      <x:c r="M348" s="68" t="str"/>
      <x:c r="N348" s="68" t="str"/>
      <x:c r="O348" s="68" t="str">
        <x:v>69.5</x:v>
      </x:c>
      <x:c r="P348" s="68" t="str"/>
    </x:row>
    <x:row r="349">
      <x:c r="A349" s="106" t="n">
        <x:v>11</x:v>
      </x:c>
      <x:c r="B349" s="106" t="str">
        <x:v>348</x:v>
      </x:c>
      <x:c r="C349" s="167" t="str">
        <x:f>"09521 1009710"</x:f>
        <x:v>09521 1009710</x:v>
      </x:c>
      <x:c r="D349" s="68" t="str">
        <x:v>PnAN vAN HaN</x:v>
      </x:c>
      <x:c r="E349" s="68" t="str"/>
      <x:c r="F349" s="68" t="str">
        <x:v>02/05/2011</x:v>
      </x:c>
      <x:c r="G349" s="68" t="str">
        <x:v>Kinh</x:v>
      </x:c>
      <x:c r="H349" s="68" t="str">
        <x:v>Xa Phudc Long</x:v>
      </x:c>
      <x:c r="I349" s="68" t="str">
        <x:v>THCS Vuang Hnu Nhan</x:v>
      </x:c>
      <x:c r="J349" s="68" t="str">
        <x:v>Xa Phudc Long</x:v>
      </x:c>
      <x:c r="K349" s="68" t="str">
        <x:v>32.5</x:v>
      </x:c>
      <x:c r="L349" s="68" t="str">
        <x:v>37</x:v>
      </x:c>
      <x:c r="M349" s="68" t="str"/>
      <x:c r="N349" s="68" t="str"/>
      <x:c r="O349" s="68" t="str">
        <x:v>69.5</x:v>
      </x:c>
      <x:c r="P349" s="68" t="str"/>
    </x:row>
    <x:row r="350">
      <x:c r="A350" s="106" t="n">
        <x:v>11</x:v>
      </x:c>
      <x:c r="B350" s="106" t="str">
        <x:v>349</x:v>
      </x:c>
      <x:c r="C350" s="167" t="str">
        <x:f>"09521 1007348"</x:f>
        <x:v>09521 1007348</x:v>
      </x:c>
      <x:c r="D350" s="68" t="str">
        <x:v>DUONG TAN DAT</x:v>
      </x:c>
      <x:c r="E350" s="68" t="str"/>
      <x:c r="F350" s="68" t="str">
        <x:v>30/01/2011</x:v>
      </x:c>
      <x:c r="G350" s="68" t="str">
        <x:v>Kinh</x:v>
      </x:c>
      <x:c r="H350" s="68" t="str">
        <x:v>Xa Vinh Phudc</x:v>
      </x:c>
      <x:c r="I350" s="68" t="str">
        <x:v>THCS Phudc Long</x:v>
      </x:c>
      <x:c r="J350" s="68" t="str">
        <x:v>Xa Phudc Long</x:v>
      </x:c>
      <x:c r="K350" s="68" t="str">
        <x:v>32.4</x:v>
      </x:c>
      <x:c r="L350" s="68" t="str">
        <x:v>37</x:v>
      </x:c>
      <x:c r="M350" s="68" t="str"/>
      <x:c r="N350" s="68" t="str"/>
      <x:c r="O350" s="68" t="str">
        <x:v>69.4</x:v>
      </x:c>
      <x:c r="P350" s="68" t="str"/>
    </x:row>
    <x:row r="351">
      <x:c r="A351" s="106" t="n">
        <x:v>11</x:v>
      </x:c>
      <x:c r="B351" s="106" t="str">
        <x:v>350</x:v>
      </x:c>
      <x:c r="C351" s="167" t="str">
        <x:f>"0963 1 10005 18"</x:f>
        <x:v>0963 1 10005 18</x:v>
      </x:c>
      <x:c r="D351" s="68" t="str">
        <x:v>DOAN L£ NGQC MAI</x:v>
      </x:c>
      <x:c r="E351" s="68" t="str">
        <x:v>X</x:v>
      </x:c>
      <x:c r="F351" s="68" t="str">
        <x:v>24/07/2011</x:v>
      </x:c>
      <x:c r="G351" s="68" t="str">
        <x:v>Kinh</x:v>
      </x:c>
      <x:c r="H351" s="68" t="str">
        <x:v>Xa Phu6c Long</x:v>
      </x:c>
      <x:c r="I351" s="68" t="str">
        <x:v>THCS Phudc Long</x:v>
      </x:c>
      <x:c r="J351" s="68" t="str">
        <x:v>Xa Phu6c Long</x:v>
      </x:c>
      <x:c r="K351" s="68" t="str">
        <x:v>32.4</x:v>
      </x:c>
      <x:c r="L351" s="68" t="str">
        <x:v>37</x:v>
      </x:c>
      <x:c r="M351" s="68" t="str"/>
      <x:c r="N351" s="68" t="str"/>
      <x:c r="O351" s="68" t="str">
        <x:v>69.4</x:v>
      </x:c>
      <x:c r="P351" s="68" t="str"/>
    </x:row>
    <x:row r="352">
      <x:c r="A352" s="106" t="n">
        <x:v>11</x:v>
      </x:c>
      <x:c r="B352" s="106" t="str">
        <x:v>351</x:v>
      </x:c>
      <x:c r="C352" s="167" t="str">
        <x:f>"09531 1003064 Lt"</x:f>
        <x:v>09531 1003064 Lt</x:v>
      </x:c>
      <x:c r="D352" s="68" t="str">
        <x:v>TO ANH</x:v>
      </x:c>
      <x:c r="E352" s="68" t="str">
        <x:v>X</x:v>
      </x:c>
      <x:c r="F352" s="68" t="str">
        <x:v>24/03/2011</x:v>
      </x:c>
      <x:c r="G352" s="68" t="str">
        <x:v>Khmer I</x:v>
      </x:c>
      <x:c r="H352" s="68" t="str">
        <x:v>Xa VTnh phu6c</x:v>
      </x:c>
      <x:c r="I352" s="68" t="str">
        <x:v>THCS VTnh Pha Tay</x:v>
      </x:c>
      <x:c r="J352" s="68" t="str">
        <x:v>Xa VTnh Phu6c</x:v>
      </x:c>
      <x:c r="K352" s="68" t="str">
        <x:v>3 1 .4</x:v>
      </x:c>
      <x:c r="L352" s="68" t="str">
        <x:v>37</x:v>
      </x:c>
      <x:c r="M352" s="68" t="str">
        <x:v>1.0</x:v>
      </x:c>
      <x:c r="N352" s="68" t="str"/>
      <x:c r="O352" s="68" t="str">
        <x:v>69.4</x:v>
      </x:c>
      <x:c r="P352" s="68" t="str"/>
    </x:row>
    <x:row r="353">
      <x:c r="A353" s="106" t="n">
        <x:v>11</x:v>
      </x:c>
      <x:c r="B353" s="106" t="str">
        <x:v>352</x:v>
      </x:c>
      <x:c r="C353" s="167" t="str">
        <x:f>"09521 1004576"</x:f>
        <x:v>09521 1004576</x:v>
      </x:c>
      <x:c r="D353" s="68" t="str">
        <x:v>NGUYEN TMN DAT</x:v>
      </x:c>
      <x:c r="E353" s="68" t="str"/>
      <x:c r="F353" s="68" t="str">
        <x:v>20/09/2011</x:v>
      </x:c>
      <x:c r="G353" s="68" t="str">
        <x:v>Kinh</x:v>
      </x:c>
      <x:c r="H353" s="68" t="str">
        <x:v>Xa Vinh Thanh</x:v>
      </x:c>
      <x:c r="I353" s="68" t="str">
        <x:v>THCS Hung Phd</x:v>
      </x:c>
      <x:c r="J353" s="68" t="str">
        <x:v>Xa Vinh Thanh</x:v>
      </x:c>
      <x:c r="K353" s="68" t="str">
        <x:v>32.4</x:v>
      </x:c>
      <x:c r="L353" s="68" t="str">
        <x:v>37</x:v>
      </x:c>
      <x:c r="M353" s="68" t="str"/>
      <x:c r="N353" s="68" t="str"/>
      <x:c r="O353" s="68" t="str">
        <x:v>69.4</x:v>
      </x:c>
      <x:c r="P353" s="68" t="str"/>
    </x:row>
    <x:row r="354">
      <x:c r="A354" s="106" t="n">
        <x:v>11</x:v>
      </x:c>
      <x:c r="B354" s="106" t="str">
        <x:v>353</x:v>
      </x:c>
      <x:c r="C354" s="167" t="str">
        <x:f>"09521 1000053"</x:f>
        <x:v>09521 1000053</x:v>
      </x:c>
      <x:c r="D354" s="68" t="str">
        <x:v>NGUY£N TRAN THAI ANH</x:v>
      </x:c>
      <x:c r="E354" s="68" t="str"/>
      <x:c r="F354" s="68" t="str">
        <x:v>12/08/201 1</x:v>
      </x:c>
      <x:c r="G354" s="68" t="str">
        <x:v>Kinh</x:v>
      </x:c>
      <x:c r="H354" s="68" t="str">
        <x:v>Xa Phu6c Long THCS</x:v>
      </x:c>
      <x:c r="I354" s="68" t="str">
        <x:v>Vuang Hnu Nhan</x:v>
      </x:c>
      <x:c r="J354" s="68" t="str">
        <x:v>Xi Phu6c Long</x:v>
      </x:c>
      <x:c r="K354" s="68" t="str">
        <x:v>32.4</x:v>
      </x:c>
      <x:c r="L354" s="68" t="str">
        <x:v>37</x:v>
      </x:c>
      <x:c r="M354" s="68" t="str"/>
      <x:c r="N354" s="68" t="str"/>
      <x:c r="O354" s="68" t="str">
        <x:v>69.4</x:v>
      </x:c>
      <x:c r="P354" s="68" t="str"/>
    </x:row>
    <x:row r="355">
      <x:c r="A355" s="106" t="n">
        <x:v>11</x:v>
      </x:c>
      <x:c r="B355" s="106" t="str">
        <x:v>354</x:v>
      </x:c>
      <x:c r="C355" s="167" t="str">
        <x:f>"0953 1 1008575"</x:f>
        <x:v>0953 1 1008575</x:v>
      </x:c>
      <x:c r="D355" s="68" t="str">
        <x:v>NGUY£N KTM TRaC</x:v>
      </x:c>
      <x:c r="E355" s="68" t="str">
        <x:v>X</x:v>
      </x:c>
      <x:c r="F355" s="68" t="str">
        <x:v>21/03/201 1</x:v>
      </x:c>
      <x:c r="G355" s="68" t="str">
        <x:v>Kinh</x:v>
      </x:c>
      <x:c r="H355" s="68" t="str">
        <x:v>Xa Phu6c Long</x:v>
      </x:c>
      <x:c r="I355" s="68" t="str">
        <x:v>THCS PhMc Long</x:v>
      </x:c>
      <x:c r="J355" s="68" t="str">
        <x:v>Xa Phudc Long</x:v>
      </x:c>
      <x:c r="K355" s="68" t="str">
        <x:v>32.3</x:v>
      </x:c>
      <x:c r="L355" s="68" t="str">
        <x:v>37</x:v>
      </x:c>
      <x:c r="M355" s="68" t="str"/>
      <x:c r="N355" s="68" t="str"/>
      <x:c r="O355" s="68" t="str">
        <x:v>69.3</x:v>
      </x:c>
      <x:c r="P355" s="68" t="str"/>
    </x:row>
    <x:row r="356">
      <x:c r="A356" s="106" t="n">
        <x:v>11</x:v>
      </x:c>
      <x:c r="B356" s="106" t="str">
        <x:v>355</x:v>
      </x:c>
      <x:c r="C356" s="167" t="str">
        <x:f>"095211007320"</x:f>
        <x:v>095211007320</x:v>
      </x:c>
      <x:c r="D356" s="68" t="str">
        <x:v>PHAN THANH TAM</x:v>
      </x:c>
      <x:c r="E356" s="68" t="str"/>
      <x:c r="F356" s="68" t="str">
        <x:v>01/1 1/2011</x:v>
      </x:c>
      <x:c r="G356" s="68" t="str">
        <x:v>Kinh</x:v>
      </x:c>
      <x:c r="H356" s="68" t="str">
        <x:v>Xa PhMc Long</x:v>
      </x:c>
      <x:c r="I356" s="68" t="str">
        <x:v>THCS Phudc Long</x:v>
      </x:c>
      <x:c r="J356" s="68" t="str">
        <x:v>Xa Phudc Long</x:v>
      </x:c>
      <x:c r="K356" s="68" t="str">
        <x:v>31.3</x:v>
      </x:c>
      <x:c r="L356" s="68" t="str">
        <x:v>38</x:v>
      </x:c>
      <x:c r="M356" s="68" t="str"/>
      <x:c r="N356" s="68" t="str"/>
      <x:c r="O356" s="68" t="str">
        <x:v>69.3</x:v>
      </x:c>
      <x:c r="P356" s="68" t="str"/>
    </x:row>
    <x:row r="357">
      <x:c r="A357" s="106" t="n">
        <x:v>11</x:v>
      </x:c>
      <x:c r="B357" s="106" t="str">
        <x:v>356</x:v>
      </x:c>
      <x:c r="C357" s="167" t="str">
        <x:f>"0953 1 1003633"</x:f>
        <x:v>0953 1 1003633</x:v>
      </x:c>
      <x:c r="D357" s="68" t="str">
        <x:v>TRAN THI cAM TaN</x:v>
      </x:c>
      <x:c r="E357" s="68" t="str">
        <x:v>X</x:v>
      </x:c>
      <x:c r="F357" s="68" t="str">
        <x:v>02/06/201 1</x:v>
      </x:c>
      <x:c r="G357" s="68" t="str">
        <x:v>Kinh</x:v>
      </x:c>
      <x:c r="H357" s="68" t="str">
        <x:v>Xa Phu6c Long</x:v>
      </x:c>
      <x:c r="I357" s="68" t="str">
        <x:v>THCS Phu a Long</x:v>
      </x:c>
      <x:c r="J357" s="68" t="str">
        <x:v>Xa Phu6c Long</x:v>
      </x:c>
      <x:c r="K357" s="68" t="str">
        <x:v>31.3</x:v>
      </x:c>
      <x:c r="L357" s="68" t="str">
        <x:v>38</x:v>
      </x:c>
      <x:c r="M357" s="68" t="str"/>
      <x:c r="N357" s="68" t="str"/>
      <x:c r="O357" s="68" t="str">
        <x:v>69.3</x:v>
      </x:c>
      <x:c r="P357" s="68" t="str"/>
    </x:row>
    <x:row r="358">
      <x:c r="A358" s="106" t="n">
        <x:v>11</x:v>
      </x:c>
      <x:c r="B358" s="106" t="str">
        <x:v>357</x:v>
      </x:c>
      <x:c r="C358" s="167" t="str">
        <x:f>"09531 1000466"</x:f>
        <x:v>09531 1000466</x:v>
      </x:c>
      <x:c r="D358" s="68" t="str">
        <x:v>TO THI CHOC</x:v>
      </x:c>
      <x:c r="E358" s="68" t="str">
        <x:v>X</x:v>
      </x:c>
      <x:c r="F358" s="68" t="str">
        <x:v>22/02/2011</x:v>
      </x:c>
      <x:c r="G358" s="68" t="str">
        <x:v>Kinh</x:v>
      </x:c>
      <x:c r="H358" s="68" t="str">
        <x:v>Xa Vinh Thanh</x:v>
      </x:c>
      <x:c r="I358" s="68" t="str">
        <x:v>THCS Hung Phd</x:v>
      </x:c>
      <x:c r="J358" s="68" t="str">
        <x:v>Xa Wnh Thanh</x:v>
      </x:c>
      <x:c r="K358" s="68" t="str">
        <x:v>32.3</x:v>
      </x:c>
      <x:c r="L358" s="68" t="str">
        <x:v>37</x:v>
      </x:c>
      <x:c r="M358" s="68" t="str"/>
      <x:c r="N358" s="68" t="str"/>
      <x:c r="O358" s="68" t="str">
        <x:v>69.3</x:v>
      </x:c>
      <x:c r="P358" s="68" t="str"/>
    </x:row>
    <x:row r="359">
      <x:c r="A359" s="106" t="n">
        <x:v>11</x:v>
      </x:c>
      <x:c r="B359" s="106" t="str">
        <x:v>358</x:v>
      </x:c>
      <x:c r="C359" s="167" t="str">
        <x:f>"09531 1009568"</x:f>
        <x:v>09531 1009568</x:v>
      </x:c>
      <x:c r="D359" s="68" t="str">
        <x:v>DOAN THI Al LAM</x:v>
      </x:c>
      <x:c r="E359" s="68" t="str">
        <x:v>X</x:v>
      </x:c>
      <x:c r="F359" s="68" t="str">
        <x:v>08/03/201 1</x:v>
      </x:c>
      <x:c r="G359" s="68" t="str">
        <x:v>Kinh</x:v>
      </x:c>
      <x:c r="H359" s="68" t="str">
        <x:v>Xa VTnh Thanh</x:v>
      </x:c>
      <x:c r="I359" s="68" t="str">
        <x:v>THCS Hung Pha</x:v>
      </x:c>
      <x:c r="J359" s="68" t="str">
        <x:v>Xa VTnh Thanh</x:v>
      </x:c>
      <x:c r="K359" s="68" t="str">
        <x:v>32.3</x:v>
      </x:c>
      <x:c r="L359" s="68" t="str">
        <x:v>37</x:v>
      </x:c>
      <x:c r="M359" s="68" t="str"/>
      <x:c r="N359" s="68" t="str"/>
      <x:c r="O359" s="68" t="str">
        <x:v>69.3</x:v>
      </x:c>
      <x:c r="P359" s="68" t="str"/>
    </x:row>
    <x:row r="360">
      <x:c r="A360" s="106" t="n">
        <x:v>11</x:v>
      </x:c>
      <x:c r="B360" s="106" t="str">
        <x:v>359</x:v>
      </x:c>
      <x:c r="C360" s="167" t="str">
        <x:f>"09521 1005708"</x:f>
        <x:v>09521 1005708</x:v>
      </x:c>
      <x:c r="D360" s="68" t="str">
        <x:v>PHAN sT ANH</x:v>
      </x:c>
      <x:c r="E360" s="68" t="str"/>
      <x:c r="F360" s="68" t="str">
        <x:v>07/1 1/2011</x:v>
      </x:c>
      <x:c r="G360" s="68" t="str">
        <x:v>Kinh</x:v>
      </x:c>
      <x:c r="H360" s="68" t="str">
        <x:v>Xa Vinh Thanh</x:v>
      </x:c>
      <x:c r="I360" s="68" t="str">
        <x:v>THCS Hung Phd</x:v>
      </x:c>
      <x:c r="J360" s="68" t="str">
        <x:v>Xa Vinh Thanh</x:v>
      </x:c>
      <x:c r="K360" s="68" t="str">
        <x:v>32.3</x:v>
      </x:c>
      <x:c r="L360" s="68" t="str">
        <x:v>37</x:v>
      </x:c>
      <x:c r="M360" s="68" t="str"/>
      <x:c r="N360" s="68" t="str"/>
      <x:c r="O360" s="68" t="str">
        <x:v>69.3</x:v>
      </x:c>
      <x:c r="P360" s="68" t="str"/>
    </x:row>
    <x:row r="361">
      <x:c r="A361" s="106" t="n">
        <x:v>11</x:v>
      </x:c>
      <x:c r="B361" s="106" t="str">
        <x:v>360</x:v>
      </x:c>
      <x:c r="C361" s="167" t="str">
        <x:f>"09521 1003342"</x:f>
        <x:v>09521 1003342</x:v>
      </x:c>
      <x:c r="D361" s="68" t="str">
        <x:v>THACH HOANG THAI</x:v>
      </x:c>
      <x:c r="E361" s="68" t="str"/>
      <x:c r="F361" s="68" t="str">
        <x:v>09/10/2011</x:v>
      </x:c>
      <x:c r="G361" s="68" t="str">
        <x:v>Khmerl</x:v>
      </x:c>
      <x:c r="H361" s="68" t="str">
        <x:v>Xa VTnh Thanh</x:v>
      </x:c>
      <x:c r="I361" s="68" t="str">
        <x:v>THCS Hung Phd</x:v>
      </x:c>
      <x:c r="J361" s="68" t="str">
        <x:v>Xa Vinh Thanh</x:v>
      </x:c>
      <x:c r="K361" s="68" t="str">
        <x:v>31.3</x:v>
      </x:c>
      <x:c r="L361" s="68" t="str">
        <x:v>37</x:v>
      </x:c>
      <x:c r="M361" s="68" t="str">
        <x:v>1.0</x:v>
      </x:c>
      <x:c r="N361" s="68" t="str"/>
      <x:c r="O361" s="68" t="str">
        <x:v>69.3</x:v>
      </x:c>
      <x:c r="P361" s="68" t="str"/>
    </x:row>
    <x:row r="362">
      <x:c r="A362" s="106" t="n">
        <x:v>11</x:v>
      </x:c>
      <x:c r="B362" s="106" t="str">
        <x:v>361</x:v>
      </x:c>
      <x:c r="C362" s="167" t="str">
        <x:f>"0953 1 1002032"</x:f>
        <x:v>0953 1 1002032</x:v>
      </x:c>
      <x:c r="D362" s="68" t="str">
        <x:v>NGUYEN TH(JY VY</x:v>
      </x:c>
      <x:c r="E362" s="68" t="str">
        <x:v>X</x:v>
      </x:c>
      <x:c r="F362" s="68" t="str">
        <x:v>08/08/2011</x:v>
      </x:c>
      <x:c r="G362" s="68" t="str">
        <x:v>Kinh</x:v>
      </x:c>
      <x:c r="H362" s="68" t="str">
        <x:v>Xa VTnh Thanh</x:v>
      </x:c>
      <x:c r="I362" s="68" t="str">
        <x:v>THCS VTnh Thanh</x:v>
      </x:c>
      <x:c r="J362" s="68" t="str">
        <x:v>Xa Wnh Thanh</x:v>
      </x:c>
      <x:c r="K362" s="68" t="str">
        <x:v>32.3</x:v>
      </x:c>
      <x:c r="L362" s="68" t="str">
        <x:v>37</x:v>
      </x:c>
      <x:c r="M362" s="68" t="str"/>
      <x:c r="N362" s="68" t="str"/>
      <x:c r="O362" s="68" t="str">
        <x:v>69.3</x:v>
      </x:c>
      <x:c r="P362" s="68" t="str"/>
    </x:row>
    <x:row r="363">
      <x:c r="A363" s="106" t="n">
        <x:v>11</x:v>
      </x:c>
      <x:c r="B363" s="106" t="str">
        <x:v>362</x:v>
      </x:c>
      <x:c r="C363" s="167" t="str">
        <x:f>"0953 1 1001705"</x:f>
        <x:v>0953 1 1001705</x:v>
      </x:c>
      <x:c r="D363" s="68" t="str">
        <x:v>LE THAO DUY</x:v>
      </x:c>
      <x:c r="E363" s="68" t="str">
        <x:v>X</x:v>
      </x:c>
      <x:c r="F363" s="68" t="str">
        <x:v>12/1 1/2011</x:v>
      </x:c>
      <x:c r="G363" s="68" t="str">
        <x:v>Kinh</x:v>
      </x:c>
      <x:c r="H363" s="68" t="str">
        <x:v>Xa H6ng Dan</x:v>
      </x:c>
      <x:c r="I363" s="68" t="str">
        <x:v>THCS Truang VTnh KV</x:v>
      </x:c>
      <x:c r="J363" s="68" t="str">
        <x:v>Xa H6ng Dan</x:v>
      </x:c>
      <x:c r="K363" s="68" t="str">
        <x:v>32.3</x:v>
      </x:c>
      <x:c r="L363" s="68" t="str">
        <x:v>37</x:v>
      </x:c>
      <x:c r="M363" s="68" t="str"/>
      <x:c r="N363" s="68" t="str"/>
      <x:c r="O363" s="68" t="str">
        <x:v>69.3</x:v>
      </x:c>
      <x:c r="P363" s="68" t="str"/>
    </x:row>
    <x:row r="364">
      <x:c r="A364" s="106" t="n">
        <x:v>11</x:v>
      </x:c>
      <x:c r="B364" s="106" t="str">
        <x:v>363</x:v>
      </x:c>
      <x:c r="C364" s="167" t="str">
        <x:f>"0953 1 1008763"</x:f>
        <x:v>0953 1 1008763</x:v>
      </x:c>
      <x:c r="D364" s="68" t="str">
        <x:v>LB Mt PFrVNG</x:v>
      </x:c>
      <x:c r="E364" s="68" t="str">
        <x:v>X</x:v>
      </x:c>
      <x:c r="F364" s="68" t="str">
        <x:v>03/01/201 1</x:v>
      </x:c>
      <x:c r="G364" s="68" t="str">
        <x:v>Kinh</x:v>
      </x:c>
      <x:c r="H364" s="68" t="str">
        <x:v>Xa VTnh phu6c THCS</x:v>
      </x:c>
      <x:c r="I364" s="68" t="str">
        <x:v>Vuang Hall Nhan</x:v>
      </x:c>
      <x:c r="J364" s="68" t="str">
        <x:v>Xa Phudc Long</x:v>
      </x:c>
      <x:c r="K364" s="68" t="str">
        <x:v>32.3</x:v>
      </x:c>
      <x:c r="L364" s="68" t="str">
        <x:v>37</x:v>
      </x:c>
      <x:c r="M364" s="68" t="str"/>
      <x:c r="N364" s="68" t="str"/>
      <x:c r="O364" s="68" t="str">
        <x:v>69.3</x:v>
      </x:c>
      <x:c r="P364" s="68" t="str"/>
    </x:row>
    <x:row r="365">
      <x:c r="A365" s="106" t="n">
        <x:v>11</x:v>
      </x:c>
      <x:c r="B365" s="106" t="str">
        <x:v>364</x:v>
      </x:c>
      <x:c r="C365" s="167" t="str">
        <x:f>"095211003964"</x:f>
        <x:v>095211003964</x:v>
      </x:c>
      <x:c r="D365" s="68" t="str">
        <x:v>va NGUYEN TRUdNG GIANG</x:v>
      </x:c>
      <x:c r="E365" s="68" t="str"/>
      <x:c r="F365" s="68" t="str">
        <x:v>06/0 1/2011</x:v>
      </x:c>
      <x:c r="G365" s="68" t="str">
        <x:v>Kinh</x:v>
      </x:c>
      <x:c r="H365" s="68" t="str">
        <x:v>Xa Phudc Long</x:v>
      </x:c>
      <x:c r="I365" s="68" t="str">
        <x:v>THCS Pbuh Long</x:v>
      </x:c>
      <x:c r="J365" s="68" t="str">
        <x:v>Xa Phu6c Long</x:v>
      </x:c>
      <x:c r="K365" s="68" t="str">
        <x:v>32.2</x:v>
      </x:c>
      <x:c r="L365" s="68" t="str">
        <x:v>37</x:v>
      </x:c>
      <x:c r="M365" s="68" t="str"/>
      <x:c r="N365" s="68" t="str"/>
      <x:c r="O365" s="68" t="str">
        <x:v>69.2</x:v>
      </x:c>
      <x:c r="P365" s="68" t="str"/>
    </x:row>
    <x:row r="366">
      <x:c r="A366" s="106" t="n">
        <x:v>11</x:v>
      </x:c>
      <x:c r="B366" s="106" t="str">
        <x:v>365</x:v>
      </x:c>
      <x:c r="C366" s="167" t="str">
        <x:f>"0952 1 1005776"</x:f>
        <x:v>0952 1 1005776</x:v>
      </x:c>
      <x:c r="D366" s="68" t="str">
        <x:v>PnAN vAN NHUT</x:v>
      </x:c>
      <x:c r="E366" s="68" t="str"/>
      <x:c r="F366" s="68" t="str">
        <x:v>30/10/201 1</x:v>
      </x:c>
      <x:c r="G366" s="68" t="str">
        <x:v>Kinh</x:v>
      </x:c>
      <x:c r="H366" s="68" t="str">
        <x:v>Xa Phu6c Long</x:v>
      </x:c>
      <x:c r="I366" s="68" t="str">
        <x:v>THCS Phu6c Long</x:v>
      </x:c>
      <x:c r="J366" s="68" t="str">
        <x:v>Xa Phu6c Long</x:v>
      </x:c>
      <x:c r="K366" s="68" t="str">
        <x:v>32.2</x:v>
      </x:c>
      <x:c r="L366" s="68" t="str">
        <x:v>37</x:v>
      </x:c>
      <x:c r="M366" s="68" t="str"/>
      <x:c r="N366" s="68" t="str"/>
      <x:c r="O366" s="68" t="str">
        <x:v>69.2</x:v>
      </x:c>
      <x:c r="P366" s="68" t="str"/>
    </x:row>
    <x:row r="367">
      <x:c r="A367" s="106" t="n">
        <x:v>11</x:v>
      </x:c>
      <x:c r="B367" s="106" t="str">
        <x:v>366</x:v>
      </x:c>
      <x:c r="C367" s="167" t="str">
        <x:f>"0953 1 1004778"</x:f>
        <x:v>0953 1 1004778</x:v>
      </x:c>
      <x:c r="D367" s="68" t="str">
        <x:v>LE TntIY DUY</x:v>
      </x:c>
      <x:c r="E367" s="68" t="str">
        <x:v>X</x:v>
      </x:c>
      <x:c r="F367" s="68" t="str">
        <x:v>13/03/201 1</x:v>
      </x:c>
      <x:c r="G367" s="68" t="str">
        <x:v>Khmerl</x:v>
      </x:c>
      <x:c r="H367" s="68" t="str">
        <x:v>Xa Wnh Phu6c</x:v>
      </x:c>
      <x:c r="I367" s="68" t="str">
        <x:v>THCS Wnh Pha Tay</x:v>
      </x:c>
      <x:c r="J367" s="68" t="str">
        <x:v>Xa Wnh Phudc</x:v>
      </x:c>
      <x:c r="K367" s="68" t="str">
        <x:v>31.2</x:v>
      </x:c>
      <x:c r="L367" s="68" t="str">
        <x:v>37</x:v>
      </x:c>
      <x:c r="M367" s="68" t="str">
        <x:v>1.0</x:v>
      </x:c>
      <x:c r="N367" s="68" t="str"/>
      <x:c r="O367" s="68" t="str">
        <x:v>69.2</x:v>
      </x:c>
      <x:c r="P367" s="68" t="str"/>
    </x:row>
    <x:row r="368">
      <x:c r="A368" s="106" t="n">
        <x:v>11</x:v>
      </x:c>
      <x:c r="B368" s="106" t="str">
        <x:v>367</x:v>
      </x:c>
      <x:c r="C368" s="167" t="str">
        <x:f>"095211005167"</x:f>
        <x:v>095211005167</x:v>
      </x:c>
      <x:c r="D368" s="68" t="str">
        <x:v>NGUYEN }iau DAT</x:v>
      </x:c>
      <x:c r="E368" s="68" t="str"/>
      <x:c r="F368" s="68" t="str">
        <x:v>02/04/201 1</x:v>
      </x:c>
      <x:c r="G368" s="68" t="str">
        <x:v>Kinh</x:v>
      </x:c>
      <x:c r="H368" s="68" t="str">
        <x:v>Xa Vlnh Thanh</x:v>
      </x:c>
      <x:c r="I368" s="68" t="str">
        <x:v>THCS Hung Phi</x:v>
      </x:c>
      <x:c r="J368" s="68" t="str">
        <x:v>Xa VTnh Thanh</x:v>
      </x:c>
      <x:c r="K368" s="68" t="str">
        <x:v>32.2</x:v>
      </x:c>
      <x:c r="L368" s="68" t="str">
        <x:v>37</x:v>
      </x:c>
      <x:c r="M368" s="68" t="str"/>
      <x:c r="N368" s="68" t="str"/>
      <x:c r="O368" s="68" t="str">
        <x:v>69.2</x:v>
      </x:c>
      <x:c r="P368" s="68" t="str"/>
    </x:row>
    <x:row r="369">
      <x:c r="A369" s="106" t="n">
        <x:v>11</x:v>
      </x:c>
      <x:c r="B369" s="106" t="str">
        <x:v>368</x:v>
      </x:c>
      <x:c r="C369" s="167" t="str">
        <x:f>"09531 1001587"</x:f>
        <x:v>09531 1001587</x:v>
      </x:c>
      <x:c r="D369" s="68" t="str">
        <x:v>NGUYEN NGQC HAN</x:v>
      </x:c>
      <x:c r="E369" s="68" t="str">
        <x:v>X</x:v>
      </x:c>
      <x:c r="F369" s="68" t="str">
        <x:v>21/01/2011</x:v>
      </x:c>
      <x:c r="G369" s="68" t="str">
        <x:v>Kinh</x:v>
      </x:c>
      <x:c r="H369" s="68" t="str">
        <x:v>Xa Phudc Long THCS</x:v>
      </x:c>
      <x:c r="I369" s="68" t="str">
        <x:v>Vuang Hau Nhan</x:v>
      </x:c>
      <x:c r="J369" s="68" t="str">
        <x:v>Xa Phudc Long</x:v>
      </x:c>
      <x:c r="K369" s="68" t="str">
        <x:v>31.7</x:v>
      </x:c>
      <x:c r="L369" s="68" t="str">
        <x:v>36</x:v>
      </x:c>
      <x:c r="M369" s="68" t="str"/>
      <x:c r="N369" s="68" t="str">
        <x:v>1.5</x:v>
      </x:c>
      <x:c r="O369" s="68" t="str">
        <x:v>69.2</x:v>
      </x:c>
      <x:c r="P369" s="68" t="str"/>
    </x:row>
    <x:row r="370">
      <x:c r="A370" s="106" t="n">
        <x:v>12</x:v>
      </x:c>
      <x:c r="B370" s="106" t="str">
        <x:v>369</x:v>
      </x:c>
      <x:c r="C370" s="167" t="str">
        <x:f>"0953 1 1003 1 8 1"</x:f>
        <x:v>0953 1 1003 1 8 1</x:v>
      </x:c>
      <x:c r="D370" s="68" t="str">
        <x:v>va THI NGQC nAN</x:v>
      </x:c>
      <x:c r="E370" s="68" t="str">
        <x:v>X</x:v>
      </x:c>
      <x:c r="F370" s="68" t="str">
        <x:v>25/10/201 1</x:v>
      </x:c>
      <x:c r="G370" s="68" t="str">
        <x:v>Kinh</x:v>
      </x:c>
      <x:c r="H370" s="68" t="str">
        <x:v>Xa Phudc Long</x:v>
      </x:c>
      <x:c r="I370" s="68" t="str">
        <x:v>THCS Vuang Htru Nhan</x:v>
      </x:c>
      <x:c r="J370" s="68" t="str">
        <x:v>Xa Phu6c Long</x:v>
      </x:c>
      <x:c r="K370" s="68" t="str">
        <x:v>32.2</x:v>
      </x:c>
      <x:c r="L370" s="68" t="str">
        <x:v>37</x:v>
      </x:c>
      <x:c r="M370" s="68" t="str"/>
      <x:c r="N370" s="68" t="str"/>
      <x:c r="O370" s="68" t="str">
        <x:v>69.2</x:v>
      </x:c>
      <x:c r="P370" s="68" t="str"/>
    </x:row>
    <x:row r="371">
      <x:c r="A371" s="106" t="n">
        <x:v>12</x:v>
      </x:c>
      <x:c r="B371" s="106" t="str">
        <x:v>370</x:v>
      </x:c>
      <x:c r="C371" s="167" t="str">
        <x:f>"095211001112"</x:f>
        <x:v>095211001112</x:v>
      </x:c>
      <x:c r="D371" s="68" t="str">
        <x:v>DIEP HOANG VQNG</x:v>
      </x:c>
      <x:c r="E371" s="68" t="str"/>
      <x:c r="F371" s="68" t="str">
        <x:v>13/07/201 1</x:v>
      </x:c>
      <x:c r="G371" s="68" t="str">
        <x:v>Kinh</x:v>
      </x:c>
      <x:c r="H371" s="68" t="str">
        <x:v>Xa Wnh Thanh</x:v>
      </x:c>
      <x:c r="I371" s="68" t="str">
        <x:v>THCS Hung Pha</x:v>
      </x:c>
      <x:c r="J371" s="68" t="str">
        <x:v>Xa Vinh Thanh</x:v>
      </x:c>
      <x:c r="K371" s="68" t="str">
        <x:v>32. 1</x:v>
      </x:c>
      <x:c r="L371" s="68" t="str">
        <x:v>37</x:v>
      </x:c>
      <x:c r="M371" s="68" t="str"/>
      <x:c r="N371" s="68" t="str"/>
      <x:c r="O371" s="68" t="str">
        <x:v>69. 1</x:v>
      </x:c>
      <x:c r="P371" s="68" t="str"/>
    </x:row>
    <x:row r="372">
      <x:c r="A372" s="106" t="n">
        <x:v>12</x:v>
      </x:c>
      <x:c r="B372" s="106" t="str">
        <x:v>371</x:v>
      </x:c>
      <x:c r="C372" s="167" t="str">
        <x:f>"0953 1 100623 1"</x:f>
        <x:v>0953 1 100623 1</x:v>
      </x:c>
      <x:c r="D372" s="68" t="str">
        <x:v>THAI NGQC Al</x:v>
      </x:c>
      <x:c r="E372" s="68" t="str">
        <x:v>X</x:v>
      </x:c>
      <x:c r="F372" s="68" t="str">
        <x:v>25/06/201 1</x:v>
      </x:c>
      <x:c r="G372" s="68" t="str">
        <x:v>Kinh</x:v>
      </x:c>
      <x:c r="H372" s="68" t="str">
        <x:v>Xa Vinh Thanh</x:v>
      </x:c>
      <x:c r="I372" s="68" t="str">
        <x:v>THCS VTnh Thanh</x:v>
      </x:c>
      <x:c r="J372" s="68" t="str">
        <x:v>Xa VTnh Thanh</x:v>
      </x:c>
      <x:c r="K372" s="68" t="str">
        <x:v>32. 1</x:v>
      </x:c>
      <x:c r="L372" s="68" t="str">
        <x:v>37</x:v>
      </x:c>
      <x:c r="M372" s="68" t="str"/>
      <x:c r="N372" s="68" t="str"/>
      <x:c r="O372" s="68" t="str">
        <x:v>69. 1</x:v>
      </x:c>
      <x:c r="P372" s="68" t="str"/>
    </x:row>
    <x:row r="373">
      <x:c r="A373" s="106" t="n">
        <x:v>12</x:v>
      </x:c>
      <x:c r="B373" s="106" t="str">
        <x:v>372</x:v>
      </x:c>
      <x:c r="C373" s="167" t="str">
        <x:f>"09521 1007484"</x:f>
        <x:v>09521 1007484</x:v>
      </x:c>
      <x:c r="D373" s="68" t="str">
        <x:v>NGUY£N TAN LOC</x:v>
      </x:c>
      <x:c r="E373" s="68" t="str"/>
      <x:c r="F373" s="68" t="str">
        <x:v>08/03/201 1</x:v>
      </x:c>
      <x:c r="G373" s="68" t="str">
        <x:v>Kinh</x:v>
      </x:c>
      <x:c r="H373" s="68" t="str">
        <x:v>Xa Phu6c Long</x:v>
      </x:c>
      <x:c r="I373" s="68" t="str">
        <x:v>THCS Vuang Hall Nhan</x:v>
      </x:c>
      <x:c r="J373" s="68" t="str">
        <x:v>Xa Phudc Long</x:v>
      </x:c>
      <x:c r="K373" s="68" t="str">
        <x:v>32. 1</x:v>
      </x:c>
      <x:c r="L373" s="68" t="str">
        <x:v>37</x:v>
      </x:c>
      <x:c r="M373" s="68" t="str"/>
      <x:c r="N373" s="68" t="str"/>
      <x:c r="O373" s="68" t="str">
        <x:v>69.1</x:v>
      </x:c>
      <x:c r="P373" s="68" t="str"/>
    </x:row>
    <x:row r="374">
      <x:c r="A374" s="106" t="n">
        <x:v>12</x:v>
      </x:c>
      <x:c r="B374" s="106" t="str">
        <x:v>373</x:v>
      </x:c>
      <x:c r="C374" s="167" t="str">
        <x:f>"0953 1 1006022"</x:f>
        <x:v>0953 1 1006022</x:v>
      </x:c>
      <x:c r="D374" s="68" t="str">
        <x:v>NGUYEN TRAN KIM LINH</x:v>
      </x:c>
      <x:c r="E374" s="68" t="str">
        <x:v>X</x:v>
      </x:c>
      <x:c r="F374" s="68" t="str">
        <x:v>07/10/201 1</x:v>
      </x:c>
      <x:c r="G374" s="68" t="str">
        <x:v>Kinh</x:v>
      </x:c>
      <x:c r="H374" s="68" t="str">
        <x:v>Xa Phu6c Long</x:v>
      </x:c>
      <x:c r="I374" s="68" t="str">
        <x:v>THCS Vuang HBu Nhan</x:v>
      </x:c>
      <x:c r="J374" s="68" t="str">
        <x:v>Xa Phu(tc Long</x:v>
      </x:c>
      <x:c r="K374" s="68" t="str">
        <x:v>32. 1</x:v>
      </x:c>
      <x:c r="L374" s="68" t="str">
        <x:v>37</x:v>
      </x:c>
      <x:c r="M374" s="68" t="str"/>
      <x:c r="N374" s="68" t="str"/>
      <x:c r="O374" s="68" t="str">
        <x:v>69. 1</x:v>
      </x:c>
      <x:c r="P374" s="68" t="str"/>
    </x:row>
    <x:row r="375">
      <x:c r="A375" s="106" t="n">
        <x:v>12</x:v>
      </x:c>
      <x:c r="B375" s="106" t="str">
        <x:v>374</x:v>
      </x:c>
      <x:c r="C375" s="167" t="str">
        <x:f>"0953 1 1008809"</x:f>
        <x:v>0953 1 1008809</x:v>
      </x:c>
      <x:c r="D375" s="68" t="str">
        <x:v>THAI T6 LNH</x:v>
      </x:c>
      <x:c r="E375" s="68" t="str">
        <x:v>X</x:v>
      </x:c>
      <x:c r="F375" s="68" t="str">
        <x:v>23/09/201 1</x:v>
      </x:c>
      <x:c r="G375" s="68" t="str">
        <x:v>Kinh</x:v>
      </x:c>
      <x:c r="H375" s="68" t="str">
        <x:v>Xa Vinh Phu6c</x:v>
      </x:c>
      <x:c r="I375" s="68" t="str">
        <x:v>THCS Wnh Pha Tay</x:v>
      </x:c>
      <x:c r="J375" s="68" t="str">
        <x:v>Xa VTnh Phu6c</x:v>
      </x:c>
      <x:c r="K375" s="68" t="str">
        <x:v>32.0</x:v>
      </x:c>
      <x:c r="L375" s="68" t="str">
        <x:v>37</x:v>
      </x:c>
      <x:c r="M375" s="68" t="str"/>
      <x:c r="N375" s="68" t="str"/>
      <x:c r="O375" s="68" t="str">
        <x:v>69,0</x:v>
      </x:c>
      <x:c r="P375" s="68" t="str"/>
    </x:row>
    <x:row r="376">
      <x:c r="A376" s="106" t="n">
        <x:v>12</x:v>
      </x:c>
      <x:c r="B376" s="106" t="str">
        <x:v>375</x:v>
      </x:c>
      <x:c r="C376" s="167" t="str">
        <x:f>"095211004249"</x:f>
        <x:v>095211004249</x:v>
      </x:c>
      <x:c r="D376" s="68" t="str">
        <x:v>NGUYEN THANH vl</x:v>
      </x:c>
      <x:c r="E376" s="68" t="str"/>
      <x:c r="F376" s="68" t="str">
        <x:v>06/01/201 1</x:v>
      </x:c>
      <x:c r="G376" s="68" t="str">
        <x:v>Kinh</x:v>
      </x:c>
      <x:c r="H376" s="68" t="str">
        <x:v>Xa Vinh Thanh</x:v>
      </x:c>
      <x:c r="I376" s="68" t="str">
        <x:v>THCS Hung Phd</x:v>
      </x:c>
      <x:c r="J376" s="68" t="str">
        <x:v>Xa Vinh Tbanh</x:v>
      </x:c>
      <x:c r="K376" s="68" t="str">
        <x:v>32.0</x:v>
      </x:c>
      <x:c r="L376" s="68" t="str">
        <x:v>37</x:v>
      </x:c>
      <x:c r="M376" s="68" t="str"/>
      <x:c r="N376" s="68" t="str"/>
      <x:c r="O376" s="68" t="str">
        <x:v>69.0</x:v>
      </x:c>
      <x:c r="P376" s="68" t="str"/>
    </x:row>
    <x:row r="377">
      <x:c r="A377" s="106" t="n">
        <x:v>12</x:v>
      </x:c>
      <x:c r="B377" s="106" t="str">
        <x:v>376</x:v>
      </x:c>
      <x:c r="C377" s="167" t="str">
        <x:f>"09521 1004898"</x:f>
        <x:v>09521 1004898</x:v>
      </x:c>
      <x:c r="D377" s="68" t="str">
        <x:v>NGUY£N vO KHOA</x:v>
      </x:c>
      <x:c r="E377" s="68" t="str"/>
      <x:c r="F377" s="68" t="str">
        <x:v>11/01/201 1</x:v>
      </x:c>
      <x:c r="G377" s="68" t="str">
        <x:v>Kinh</x:v>
      </x:c>
      <x:c r="H377" s="68" t="str">
        <x:v>Xa Wrnh Thanh</x:v>
      </x:c>
      <x:c r="I377" s="68" t="str">
        <x:v>THCS Hung Pha</x:v>
      </x:c>
      <x:c r="J377" s="68" t="str">
        <x:v>Xa VTnh Thanh</x:v>
      </x:c>
      <x:c r="K377" s="68" t="str">
        <x:v>32.0</x:v>
      </x:c>
      <x:c r="L377" s="68" t="str">
        <x:v>37</x:v>
      </x:c>
      <x:c r="M377" s="68" t="str"/>
      <x:c r="N377" s="68" t="str"/>
      <x:c r="O377" s="68" t="str">
        <x:v>69.0</x:v>
      </x:c>
      <x:c r="P377" s="68" t="str"/>
    </x:row>
    <x:row r="378">
      <x:c r="A378" s="106" t="n">
        <x:v>12</x:v>
      </x:c>
      <x:c r="B378" s="106" t="str">
        <x:v>377</x:v>
      </x:c>
      <x:c r="C378" s="167" t="str">
        <x:f>"0953 1 1006872"</x:f>
        <x:v>0953 1 1006872</x:v>
      </x:c>
      <x:c r="D378" s="68" t="str">
        <x:v>DINH CHUC Nl</x:v>
      </x:c>
      <x:c r="E378" s="68" t="str">
        <x:v>X</x:v>
      </x:c>
      <x:c r="F378" s="68" t="str">
        <x:v>23/11/201 1</x:v>
      </x:c>
      <x:c r="G378" s="68" t="str">
        <x:v>Kinh</x:v>
      </x:c>
      <x:c r="H378" s="68" t="str">
        <x:v>Xa Phu6c Long</x:v>
      </x:c>
      <x:c r="I378" s="68" t="str">
        <x:v>THCS Hung Phd</x:v>
      </x:c>
      <x:c r="J378" s="68" t="str">
        <x:v>Xa Vinh Thanh</x:v>
      </x:c>
      <x:c r="K378" s="68" t="str">
        <x:v>32.0</x:v>
      </x:c>
      <x:c r="L378" s="68" t="str">
        <x:v>37</x:v>
      </x:c>
      <x:c r="M378" s="68" t="str"/>
      <x:c r="N378" s="68" t="str"/>
      <x:c r="O378" s="68" t="str">
        <x:v>69.0</x:v>
      </x:c>
      <x:c r="P378" s="68" t="str"/>
    </x:row>
    <x:row r="379">
      <x:c r="A379" s="106" t="n">
        <x:v>12</x:v>
      </x:c>
      <x:c r="B379" s="106" t="str">
        <x:v>378</x:v>
      </x:c>
      <x:c r="C379" s="167" t="str">
        <x:f>"0952 1 1002165"</x:f>
        <x:v>0952 1 1002165</x:v>
      </x:c>
      <x:c r="D379" s="68" t="str">
        <x:v>DU'ONG TRQNG KHANG</x:v>
      </x:c>
      <x:c r="E379" s="68" t="str"/>
      <x:c r="F379" s="68" t="str">
        <x:v>18/10/201 1</x:v>
      </x:c>
      <x:c r="G379" s="68" t="str">
        <x:v>Kinh</x:v>
      </x:c>
      <x:c r="H379" s="68" t="str">
        <x:v>Xa Vinh Thanh</x:v>
      </x:c>
      <x:c r="I379" s="68" t="str">
        <x:v>THCS Hung Phd</x:v>
      </x:c>
      <x:c r="J379" s="68" t="str">
        <x:v>Xa Vinh Thanh</x:v>
      </x:c>
      <x:c r="K379" s="68" t="str">
        <x:v>32.0</x:v>
      </x:c>
      <x:c r="L379" s="68" t="str">
        <x:v>37</x:v>
      </x:c>
      <x:c r="M379" s="68" t="str"/>
      <x:c r="N379" s="68" t="str"/>
      <x:c r="O379" s="68" t="str">
        <x:v>69.0</x:v>
      </x:c>
      <x:c r="P379" s="68" t="str"/>
    </x:row>
    <x:row r="380">
      <x:c r="A380" s="106" t="n">
        <x:v>12</x:v>
      </x:c>
      <x:c r="B380" s="106" t="str">
        <x:v>379</x:v>
      </x:c>
      <x:c r="C380" s="167" t="str">
        <x:f>"0953 1 1004021"</x:f>
        <x:v>0953 1 1004021</x:v>
      </x:c>
      <x:c r="D380" s="68" t="str">
        <x:v>NGUY£N THI TFrCJY GAM</x:v>
      </x:c>
      <x:c r="E380" s="68" t="str">
        <x:v>X</x:v>
      </x:c>
      <x:c r="F380" s="68" t="str">
        <x:v>04/01/20 1 1</x:v>
      </x:c>
      <x:c r="G380" s="68" t="str">
        <x:v>Kinh</x:v>
      </x:c>
      <x:c r="H380" s="68" t="str">
        <x:v>Xa PhMc Long</x:v>
      </x:c>
      <x:c r="I380" s="68" t="str">
        <x:v>THCS Vinh Thanh</x:v>
      </x:c>
      <x:c r="J380" s="68" t="str">
        <x:v>Xa Flnh Thanh</x:v>
      </x:c>
      <x:c r="K380" s="68" t="str">
        <x:v>32.0</x:v>
      </x:c>
      <x:c r="L380" s="68" t="str">
        <x:v>37</x:v>
      </x:c>
      <x:c r="M380" s="68" t="str"/>
      <x:c r="N380" s="68" t="str"/>
      <x:c r="O380" s="68" t="str">
        <x:v>69.0</x:v>
      </x:c>
      <x:c r="P380" s="68" t="str"/>
    </x:row>
    <x:row r="381">
      <x:c r="A381" s="106" t="n">
        <x:v>12</x:v>
      </x:c>
      <x:c r="B381" s="106" t="str">
        <x:v>380</x:v>
      </x:c>
      <x:c r="C381" s="167" t="str">
        <x:f>"0953 1 1007990"</x:f>
        <x:v>0953 1 1007990</x:v>
      </x:c>
      <x:c r="D381" s="68" t="str">
        <x:v>NGUYEN THI MV XUY£N</x:v>
      </x:c>
      <x:c r="E381" s="68" t="str">
        <x:v>X</x:v>
      </x:c>
      <x:c r="F381" s="68" t="str">
        <x:v>12/04/201 1</x:v>
      </x:c>
      <x:c r="G381" s="68" t="str">
        <x:v>Kinh</x:v>
      </x:c>
      <x:c r="H381" s="68" t="str">
        <x:v>Xa Phu6c Long</x:v>
      </x:c>
      <x:c r="I381" s="68" t="str">
        <x:v>THCS Phu(b Long</x:v>
      </x:c>
      <x:c r="J381" s="68" t="str">
        <x:v>Xa VTnh Phu6c</x:v>
      </x:c>
      <x:c r="K381" s="68" t="str">
        <x:v>33.0</x:v>
      </x:c>
      <x:c r="L381" s="68" t="str">
        <x:v>36</x:v>
      </x:c>
      <x:c r="M381" s="68" t="str"/>
      <x:c r="N381" s="68" t="str"/>
      <x:c r="O381" s="68" t="str">
        <x:v>69.0</x:v>
      </x:c>
      <x:c r="P381" s="68" t="str"/>
    </x:row>
    <x:row r="382">
      <x:c r="A382" s="106" t="n">
        <x:v>12</x:v>
      </x:c>
      <x:c r="B382" s="106" t="str">
        <x:v>381</x:v>
      </x:c>
      <x:c r="C382" s="167" t="str">
        <x:f>"095211005388"</x:f>
        <x:v>095211005388</x:v>
      </x:c>
      <x:c r="D382" s="68" t="str">
        <x:v>HutNH TAN HAI</x:v>
      </x:c>
      <x:c r="E382" s="68" t="str"/>
      <x:c r="F382" s="68" t="str">
        <x:v>11/08/201 1</x:v>
      </x:c>
      <x:c r="G382" s="68" t="str">
        <x:v>Kinh</x:v>
      </x:c>
      <x:c r="H382" s="68" t="str">
        <x:v>Xa Phu6c Long</x:v>
      </x:c>
      <x:c r="I382" s="68" t="str">
        <x:v>THCS Phu6c Long</x:v>
      </x:c>
      <x:c r="J382" s="68" t="str">
        <x:v>Xa Phudc Long</x:v>
      </x:c>
      <x:c r="K382" s="68" t="str">
        <x:v>32.4</x:v>
      </x:c>
      <x:c r="L382" s="68" t="str">
        <x:v>36</x:v>
      </x:c>
      <x:c r="M382" s="68" t="str"/>
      <x:c r="N382" s="68" t="str">
        <x:v>0.5</x:v>
      </x:c>
      <x:c r="O382" s="68" t="str">
        <x:v>68,9</x:v>
      </x:c>
      <x:c r="P382" s="68" t="str"/>
    </x:row>
    <x:row r="383">
      <x:c r="A383" s="106" t="n">
        <x:v>12</x:v>
      </x:c>
      <x:c r="B383" s="106" t="str">
        <x:v>382</x:v>
      </x:c>
      <x:c r="C383" s="167" t="str">
        <x:f>"0953 1 1005 194"</x:f>
        <x:v>0953 1 1005 194</x:v>
      </x:c>
      <x:c r="D383" s="68" t="str">
        <x:v>TRAN NGOC DEEP</x:v>
      </x:c>
      <x:c r="E383" s="68" t="str">
        <x:v>X</x:v>
      </x:c>
      <x:c r="F383" s="68" t="str">
        <x:v>16/10/201 1</x:v>
      </x:c>
      <x:c r="G383" s="68" t="str">
        <x:v>Kinh</x:v>
      </x:c>
      <x:c r="H383" s="68" t="str">
        <x:v>Xa Wnh Phu6c</x:v>
      </x:c>
      <x:c r="I383" s="68" t="str">
        <x:v>THCS Vinh Pha Tay</x:v>
      </x:c>
      <x:c r="J383" s="68" t="str">
        <x:v>Xa VTnh Phu6c</x:v>
      </x:c>
      <x:c r="K383" s="68" t="str">
        <x:v>30.9</x:v>
      </x:c>
      <x:c r="L383" s="68" t="str">
        <x:v>36</x:v>
      </x:c>
      <x:c r="M383" s="68" t="str">
        <x:v>1.o 1</x:v>
      </x:c>
      <x:c r="N383" s="68" t="str">
        <x:v>1.o</x:v>
      </x:c>
      <x:c r="O383" s="68" t="str">
        <x:v>68.9</x:v>
      </x:c>
      <x:c r="P383" s="68" t="str"/>
    </x:row>
    <x:row r="384">
      <x:c r="A384" s="106" t="n">
        <x:v>12</x:v>
      </x:c>
      <x:c r="B384" s="106" t="str">
        <x:v>383</x:v>
      </x:c>
      <x:c r="C384" s="167" t="str">
        <x:f>"0953 1 1003902"</x:f>
        <x:v>0953 1 1003902</x:v>
      </x:c>
      <x:c r="D384" s="68" t="str">
        <x:v>TRAN THI THAO AN</x:v>
      </x:c>
      <x:c r="E384" s="68" t="str">
        <x:v>X</x:v>
      </x:c>
      <x:c r="F384" s="68" t="str">
        <x:v>21/02/201 I</x:v>
      </x:c>
      <x:c r="G384" s="68" t="str">
        <x:v>Kinh Xa</x:v>
      </x:c>
      <x:c r="H384" s="68" t="str">
        <x:v>Ninh Th4nh Lai</x:v>
      </x:c>
      <x:c r="I384" s="68" t="str">
        <x:v>THCS Phudc Long</x:v>
      </x:c>
      <x:c r="J384" s="68" t="str">
        <x:v>Xa Wnh phu6c</x:v>
      </x:c>
      <x:c r="K384" s="68" t="str">
        <x:v>31.9</x:v>
      </x:c>
      <x:c r="L384" s="68" t="str">
        <x:v>36</x:v>
      </x:c>
      <x:c r="M384" s="68" t="str">
        <x:v>1.0</x:v>
      </x:c>
      <x:c r="N384" s="68" t="str"/>
      <x:c r="O384" s="68" t="str">
        <x:v>68.9</x:v>
      </x:c>
      <x:c r="P384" s="68" t="str"/>
    </x:row>
    <x:row r="385">
      <x:c r="A385" s="106" t="n">
        <x:v>12</x:v>
      </x:c>
      <x:c r="B385" s="106" t="str">
        <x:v>384</x:v>
      </x:c>
      <x:c r="C385" s="167" t="str">
        <x:f>"095211009102"</x:f>
        <x:v>095211009102</x:v>
      </x:c>
      <x:c r="D385" s="68" t="str">
        <x:v>TRU'ONG GLA MINH</x:v>
      </x:c>
      <x:c r="E385" s="68" t="str">
        <x:v>X</x:v>
      </x:c>
      <x:c r="F385" s="68" t="str">
        <x:v>26/07/201 1</x:v>
      </x:c>
      <x:c r="G385" s="68" t="str">
        <x:v>Kinh</x:v>
      </x:c>
      <x:c r="H385" s="68" t="str">
        <x:v>Xa Phu6c Long</x:v>
      </x:c>
      <x:c r="I385" s="68" t="str">
        <x:v>THCS Phu6c Long</x:v>
      </x:c>
      <x:c r="J385" s="68" t="str">
        <x:v>Xa Vinh Phu6c</x:v>
      </x:c>
      <x:c r="K385" s="68" t="str">
        <x:v>32.9</x:v>
      </x:c>
      <x:c r="L385" s="68" t="str">
        <x:v>36</x:v>
      </x:c>
      <x:c r="M385" s="68" t="str"/>
      <x:c r="N385" s="68" t="str"/>
      <x:c r="O385" s="68" t="str">
        <x:v>68.9</x:v>
      </x:c>
      <x:c r="P385" s="68" t="str"/>
    </x:row>
    <x:row r="386">
      <x:c r="A386" s="106" t="n">
        <x:v>12</x:v>
      </x:c>
      <x:c r="B386" s="106" t="str">
        <x:v>385</x:v>
      </x:c>
      <x:c r="C386" s="167" t="str">
        <x:f>"0953 1 1007711"</x:f>
        <x:v>0953 1 1007711</x:v>
      </x:c>
      <x:c r="D386" s="68" t="str">
        <x:v>TRAN THI DaM HANG</x:v>
      </x:c>
      <x:c r="E386" s="68" t="str">
        <x:v>X</x:v>
      </x:c>
      <x:c r="F386" s="68" t="str">
        <x:v>12/03/201 1</x:v>
      </x:c>
      <x:c r="G386" s="68" t="str">
        <x:v>Kinh</x:v>
      </x:c>
      <x:c r="H386" s="68" t="str">
        <x:v>Xa Phu6c Long</x:v>
      </x:c>
      <x:c r="I386" s="68" t="str">
        <x:v>THCS VTnh Thanh</x:v>
      </x:c>
      <x:c r="J386" s="68" t="str">
        <x:v>Xa VTnh Thanh</x:v>
      </x:c>
      <x:c r="K386" s="68" t="str">
        <x:v>31.8</x:v>
      </x:c>
      <x:c r="L386" s="68" t="str">
        <x:v>37</x:v>
      </x:c>
      <x:c r="M386" s="68" t="str"/>
      <x:c r="N386" s="68" t="str"/>
      <x:c r="O386" s="68" t="str">
        <x:v>68.8</x:v>
      </x:c>
      <x:c r="P386" s="68" t="str"/>
    </x:row>
    <x:row r="387">
      <x:c r="A387" s="106" t="n">
        <x:v>12</x:v>
      </x:c>
      <x:c r="B387" s="106" t="str">
        <x:v>386</x:v>
      </x:c>
      <x:c r="C387" s="167" t="str">
        <x:f>"0952 1 1007244"</x:f>
        <x:v>0952 1 1007244</x:v>
      </x:c>
      <x:c r="D387" s="68" t="str">
        <x:v>TRU'ONG HOANG Ltl</x:v>
      </x:c>
      <x:c r="E387" s="68" t="str"/>
      <x:c r="F387" s="68" t="str">
        <x:v>24/11/201 1</x:v>
      </x:c>
      <x:c r="G387" s="68" t="str">
        <x:v>Kinh</x:v>
      </x:c>
      <x:c r="H387" s="68" t="str">
        <x:v>Xa Phu6c Long</x:v>
      </x:c>
      <x:c r="I387" s="68" t="str">
        <x:v>THCS Vuang Hall Nhan</x:v>
      </x:c>
      <x:c r="J387" s="68" t="str">
        <x:v>Xa Phuttc Long</x:v>
      </x:c>
      <x:c r="K387" s="68" t="str">
        <x:v>32.8</x:v>
      </x:c>
      <x:c r="L387" s="68" t="str">
        <x:v>36</x:v>
      </x:c>
      <x:c r="M387" s="68" t="str"/>
      <x:c r="N387" s="68" t="str"/>
      <x:c r="O387" s="68" t="str">
        <x:v>68.8</x:v>
      </x:c>
      <x:c r="P387" s="68" t="str"/>
    </x:row>
    <x:row r="388">
      <x:c r="A388" s="106" t="n">
        <x:v>12</x:v>
      </x:c>
      <x:c r="B388" s="106" t="str">
        <x:v>387</x:v>
      </x:c>
      <x:c r="C388" s="167" t="str">
        <x:f>"0953 1 1006559"</x:f>
        <x:v>0953 1 1006559</x:v>
      </x:c>
      <x:c r="D388" s="68" t="str">
        <x:v>DANG PHUUNG VY</x:v>
      </x:c>
      <x:c r="E388" s="68" t="str">
        <x:v>X</x:v>
      </x:c>
      <x:c r="F388" s="68" t="str">
        <x:v>30/03/201 1</x:v>
      </x:c>
      <x:c r="G388" s="68" t="str">
        <x:v>Kinh</x:v>
      </x:c>
      <x:c r="H388" s="68" t="str">
        <x:v>Xa Phu6c Long</x:v>
      </x:c>
      <x:c r="I388" s="68" t="str">
        <x:v>THCS Phudc Long</x:v>
      </x:c>
      <x:c r="J388" s="68" t="str">
        <x:v>Xa Phu6c Long</x:v>
      </x:c>
      <x:c r="K388" s="68" t="str">
        <x:v>31.8</x:v>
      </x:c>
      <x:c r="L388" s="68" t="str">
        <x:v>37</x:v>
      </x:c>
      <x:c r="M388" s="68" t="str"/>
      <x:c r="N388" s="68" t="str"/>
      <x:c r="O388" s="68" t="str">
        <x:v>68.8</x:v>
      </x:c>
      <x:c r="P388" s="68" t="str"/>
    </x:row>
    <x:row r="389">
      <x:c r="A389" s="106" t="n">
        <x:v>12</x:v>
      </x:c>
      <x:c r="B389" s="106" t="str">
        <x:v>388</x:v>
      </x:c>
      <x:c r="C389" s="167" t="str">
        <x:f>"09521 1009286"</x:f>
        <x:v>09521 1009286</x:v>
      </x:c>
      <x:c r="D389" s="68" t="str">
        <x:v>NGUYEN GLA [ruY</x:v>
      </x:c>
      <x:c r="E389" s="68" t="str"/>
      <x:c r="F389" s="68" t="str">
        <x:v>10/04/201 1</x:v>
      </x:c>
      <x:c r="G389" s="68" t="str">
        <x:v>Kinh</x:v>
      </x:c>
      <x:c r="H389" s="68" t="str">
        <x:v>Xa VTnh Thanh</x:v>
      </x:c>
      <x:c r="I389" s="68" t="str">
        <x:v>THCS Hung Phd</x:v>
      </x:c>
      <x:c r="J389" s="68" t="str">
        <x:v>Xa Vinh Thanh</x:v>
      </x:c>
      <x:c r="K389" s="68" t="str">
        <x:v>31.8</x:v>
      </x:c>
      <x:c r="L389" s="68" t="str">
        <x:v>37</x:v>
      </x:c>
      <x:c r="M389" s="68" t="str"/>
      <x:c r="N389" s="68" t="str"/>
      <x:c r="O389" s="68" t="str">
        <x:v>68.8</x:v>
      </x:c>
      <x:c r="P389" s="68" t="str"/>
    </x:row>
    <x:row r="390">
      <x:c r="A390" s="106" t="n">
        <x:v>12</x:v>
      </x:c>
      <x:c r="B390" s="106" t="str">
        <x:v>389</x:v>
      </x:c>
      <x:c r="C390" s="167" t="str">
        <x:f>"09521 1008694"</x:f>
        <x:v>09521 1008694</x:v>
      </x:c>
      <x:c r="D390" s="68" t="str">
        <x:v>NC6 TRaC KnANG</x:v>
      </x:c>
      <x:c r="E390" s="68" t="str"/>
      <x:c r="F390" s="68" t="str">
        <x:v>07/05/201 1</x:v>
      </x:c>
      <x:c r="G390" s="68" t="str">
        <x:v>Kinh</x:v>
      </x:c>
      <x:c r="H390" s="68" t="str">
        <x:v>Xa Phu6c Long</x:v>
      </x:c>
      <x:c r="I390" s="68" t="str">
        <x:v>THCS Tnrang VTnh KV</x:v>
      </x:c>
      <x:c r="J390" s="68" t="str">
        <x:v>Xa Hang Dan</x:v>
      </x:c>
      <x:c r="K390" s="68" t="str">
        <x:v>31.8</x:v>
      </x:c>
      <x:c r="L390" s="68" t="str">
        <x:v>37</x:v>
      </x:c>
      <x:c r="M390" s="68" t="str"/>
      <x:c r="N390" s="68" t="str"/>
      <x:c r="O390" s="68" t="str">
        <x:v>68.8</x:v>
      </x:c>
      <x:c r="P390" s="68" t="str"/>
    </x:row>
    <x:row r="391">
      <x:c r="A391" s="106" t="n">
        <x:v>12</x:v>
      </x:c>
      <x:c r="B391" s="106" t="str">
        <x:v>390</x:v>
      </x:c>
      <x:c r="C391" s="167" t="str">
        <x:f>"09531 1006889"</x:f>
        <x:v>09531 1006889</x:v>
      </x:c>
      <x:c r="D391" s="68" t="str">
        <x:v>HOA NGQC TRAN</x:v>
      </x:c>
      <x:c r="E391" s="68" t="str">
        <x:v>X</x:v>
      </x:c>
      <x:c r="F391" s="68" t="str">
        <x:v>14/02/201 1</x:v>
      </x:c>
      <x:c r="G391" s="68" t="str">
        <x:v>Kinh</x:v>
      </x:c>
      <x:c r="H391" s="68" t="str">
        <x:v>Xa Phudc Long</x:v>
      </x:c>
      <x:c r="I391" s="68" t="str">
        <x:v>THCS Vuang Hau Nhan</x:v>
      </x:c>
      <x:c r="J391" s="68" t="str">
        <x:v>Xa Phudc Long</x:v>
      </x:c>
      <x:c r="K391" s="68" t="str">
        <x:v>31.8</x:v>
      </x:c>
      <x:c r="L391" s="68" t="str">
        <x:v>37</x:v>
      </x:c>
      <x:c r="M391" s="68" t="str"/>
      <x:c r="N391" s="68" t="str"/>
      <x:c r="O391" s="68" t="str">
        <x:v>68.8</x:v>
      </x:c>
      <x:c r="P391" s="68" t="str"/>
    </x:row>
    <x:row r="392">
      <x:c r="A392" s="106" t="n">
        <x:v>12</x:v>
      </x:c>
      <x:c r="B392" s="106" t="str">
        <x:v>391</x:v>
      </x:c>
      <x:c r="C392" s="167" t="str">
        <x:f>"075211002447"</x:f>
        <x:v>075211002447</x:v>
      </x:c>
      <x:c r="D392" s="68" t="str">
        <x:v>L£ THANH KHOA</x:v>
      </x:c>
      <x:c r="E392" s="68" t="str"/>
      <x:c r="F392" s="68" t="str">
        <x:v>27/08/201 1</x:v>
      </x:c>
      <x:c r="G392" s="68" t="str">
        <x:v>Kinh</x:v>
      </x:c>
      <x:c r="H392" s="68" t="str">
        <x:v>Xa VTnh Phu6c</x:v>
      </x:c>
      <x:c r="I392" s="68" t="str">
        <x:v>THCS Wnh Pha Tay</x:v>
      </x:c>
      <x:c r="J392" s="68" t="str">
        <x:v>Xa Vrnh Phtrdc</x:v>
      </x:c>
      <x:c r="K392" s="68" t="str">
        <x:v>32.7</x:v>
      </x:c>
      <x:c r="L392" s="68" t="str">
        <x:v>36</x:v>
      </x:c>
      <x:c r="M392" s="68" t="str"/>
      <x:c r="N392" s="68" t="str"/>
      <x:c r="O392" s="68" t="str">
        <x:v>68,7</x:v>
      </x:c>
      <x:c r="P392" s="68" t="str"/>
    </x:row>
    <x:row r="393">
      <x:c r="A393" s="106" t="n">
        <x:v>12</x:v>
      </x:c>
      <x:c r="B393" s="106" t="str">
        <x:v>392</x:v>
      </x:c>
      <x:c r="C393" s="167" t="str">
        <x:f>"09521 1006019"</x:f>
        <x:v>09521 1006019</x:v>
      </x:c>
      <x:c r="D393" s="68" t="str">
        <x:v>TRAN HOANG HUY</x:v>
      </x:c>
      <x:c r="E393" s="68" t="str"/>
      <x:c r="F393" s="68" t="str">
        <x:v>03/09/201 1</x:v>
      </x:c>
      <x:c r="G393" s="68" t="str">
        <x:v>Kinh</x:v>
      </x:c>
      <x:c r="H393" s="68" t="str">
        <x:v>Xa Vrnh Thanh</x:v>
      </x:c>
      <x:c r="I393" s="68" t="str">
        <x:v>THCS Hung Pha</x:v>
      </x:c>
      <x:c r="J393" s="68" t="str">
        <x:v>Xa Wnh Tllanh</x:v>
      </x:c>
      <x:c r="K393" s="68" t="str">
        <x:v>31.7</x:v>
      </x:c>
      <x:c r="L393" s="68" t="str">
        <x:v>37</x:v>
      </x:c>
      <x:c r="M393" s="68" t="str"/>
      <x:c r="N393" s="68" t="str"/>
      <x:c r="O393" s="68" t="str">
        <x:v>68.7</x:v>
      </x:c>
      <x:c r="P393" s="68" t="str"/>
    </x:row>
    <x:row r="394">
      <x:c r="A394" s="106" t="n">
        <x:v>12</x:v>
      </x:c>
      <x:c r="B394" s="106" t="str">
        <x:v>393</x:v>
      </x:c>
      <x:c r="C394" s="167" t="str">
        <x:f>"0953 1 1001880"</x:f>
        <x:v>0953 1 1001880</x:v>
      </x:c>
      <x:c r="D394" s="68" t="str">
        <x:v>NGUYEN DaM KLM LOAN</x:v>
      </x:c>
      <x:c r="E394" s="68" t="str">
        <x:v>X</x:v>
      </x:c>
      <x:c r="F394" s="68" t="str">
        <x:v>30/07/201 1</x:v>
      </x:c>
      <x:c r="G394" s="68" t="str">
        <x:v>Kinh</x:v>
      </x:c>
      <x:c r="H394" s="68" t="str">
        <x:v>Xa H6ng Dan</x:v>
      </x:c>
      <x:c r="I394" s="68" t="str">
        <x:v>THCS Phudc Long</x:v>
      </x:c>
      <x:c r="J394" s="68" t="str">
        <x:v>Xa Vinh Phu&amp;</x:v>
      </x:c>
      <x:c r="K394" s="68" t="str">
        <x:v>31.7</x:v>
      </x:c>
      <x:c r="L394" s="68" t="str">
        <x:v>37</x:v>
      </x:c>
      <x:c r="M394" s="68" t="str"/>
      <x:c r="N394" s="68" t="str"/>
      <x:c r="O394" s="68" t="str">
        <x:v>68.7</x:v>
      </x:c>
      <x:c r="P394" s="68" t="str"/>
    </x:row>
    <x:row r="395">
      <x:c r="A395" s="106" t="n">
        <x:v>12</x:v>
      </x:c>
      <x:c r="B395" s="106" t="str">
        <x:v>394</x:v>
      </x:c>
      <x:c r="C395" s="167" t="str">
        <x:f>"09531 1005954"</x:f>
        <x:v>09531 1005954</x:v>
      </x:c>
      <x:c r="D395" s="68" t="str">
        <x:v>NGUYgN THI Mt DUYEN</x:v>
      </x:c>
      <x:c r="E395" s="68" t="str">
        <x:v>X</x:v>
      </x:c>
      <x:c r="F395" s="68" t="str">
        <x:v>18/09/201 1</x:v>
      </x:c>
      <x:c r="G395" s="68" t="str">
        <x:v>Kinh</x:v>
      </x:c>
      <x:c r="H395" s="68" t="str">
        <x:v>Xa Phu6c Long</x:v>
      </x:c>
      <x:c r="I395" s="68" t="str">
        <x:v>THCS Vuang Hall Nhan</x:v>
      </x:c>
      <x:c r="J395" s="68" t="str">
        <x:v>Xa Phu6c Long</x:v>
      </x:c>
      <x:c r="K395" s="68" t="str">
        <x:v>31.7</x:v>
      </x:c>
      <x:c r="L395" s="68" t="str">
        <x:v>37</x:v>
      </x:c>
      <x:c r="M395" s="68" t="str"/>
      <x:c r="N395" s="68" t="str"/>
      <x:c r="O395" s="68" t="str">
        <x:v>68.7</x:v>
      </x:c>
      <x:c r="P395" s="68" t="str"/>
    </x:row>
    <x:row r="396">
      <x:c r="A396" s="106" t="n">
        <x:v>12</x:v>
      </x:c>
      <x:c r="B396" s="106" t="str">
        <x:v>395</x:v>
      </x:c>
      <x:c r="C396" s="167" t="str">
        <x:f>"09521 1006593"</x:f>
        <x:v>09521 1006593</x:v>
      </x:c>
      <x:c r="D396" s="68" t="str">
        <x:v>PFW4 MINH DUY</x:v>
      </x:c>
      <x:c r="E396" s="68" t="str"/>
      <x:c r="F396" s="68" t="str">
        <x:v>26/09/201 1</x:v>
      </x:c>
      <x:c r="G396" s="68" t="str">
        <x:v>Kinh</x:v>
      </x:c>
      <x:c r="H396" s="68" t="str">
        <x:v>Xa Phu6c Long</x:v>
      </x:c>
      <x:c r="I396" s="68" t="str">
        <x:v>THCS Phu6c Long</x:v>
      </x:c>
      <x:c r="J396" s="68" t="str">
        <x:v>Xa Phu6c Long</x:v>
      </x:c>
      <x:c r="K396" s="68" t="str">
        <x:v>31.6</x:v>
      </x:c>
      <x:c r="L396" s="68" t="str">
        <x:v>37</x:v>
      </x:c>
      <x:c r="M396" s="68" t="str"/>
      <x:c r="N396" s="68" t="str"/>
      <x:c r="O396" s="68" t="str">
        <x:v>68.6</x:v>
      </x:c>
      <x:c r="P396" s="68" t="str"/>
    </x:row>
    <x:row r="397">
      <x:c r="A397" s="106" t="n">
        <x:v>12</x:v>
      </x:c>
      <x:c r="B397" s="106" t="str">
        <x:v>396</x:v>
      </x:c>
      <x:c r="C397" s="167" t="str">
        <x:f>"0953 1 1004284"</x:f>
        <x:v>0953 1 1004284</x:v>
      </x:c>
      <x:c r="D397" s="68" t="str">
        <x:v>NGUY£N THEEN KIM</x:v>
      </x:c>
      <x:c r="E397" s="68" t="str">
        <x:v>X</x:v>
      </x:c>
      <x:c r="F397" s="68" t="str">
        <x:v>11/05/201 1</x:v>
      </x:c>
      <x:c r="G397" s="68" t="str">
        <x:v>Kinh</x:v>
      </x:c>
      <x:c r="H397" s="68" t="str">
        <x:v>Xa Phudc Long</x:v>
      </x:c>
      <x:c r="I397" s="68" t="str">
        <x:v>THCS Phu6c Long</x:v>
      </x:c>
      <x:c r="J397" s="68" t="str">
        <x:v>Xa Phu6c Long</x:v>
      </x:c>
      <x:c r="K397" s="68" t="str">
        <x:v>31.6</x:v>
      </x:c>
      <x:c r="L397" s="68" t="str">
        <x:v>37</x:v>
      </x:c>
      <x:c r="M397" s="68" t="str"/>
      <x:c r="N397" s="68" t="str"/>
      <x:c r="O397" s="68" t="str">
        <x:v>68.6</x:v>
      </x:c>
      <x:c r="P397" s="68" t="str"/>
    </x:row>
    <x:row r="398">
      <x:c r="A398" s="106" t="n">
        <x:v>12</x:v>
      </x:c>
      <x:c r="B398" s="106" t="str">
        <x:v>397</x:v>
      </x:c>
      <x:c r="C398" s="167" t="str">
        <x:f>"0953 1 1006608"</x:f>
        <x:v>0953 1 1006608</x:v>
      </x:c>
      <x:c r="D398" s="68" t="str">
        <x:v>TRAN THI YiN NHI</x:v>
      </x:c>
      <x:c r="E398" s="68" t="str">
        <x:v>X</x:v>
      </x:c>
      <x:c r="F398" s="68" t="str">
        <x:v>23/10/201 1</x:v>
      </x:c>
      <x:c r="G398" s="68" t="str">
        <x:v>Kinh</x:v>
      </x:c>
      <x:c r="H398" s="68" t="str">
        <x:v>Xa Wnh Phudc</x:v>
      </x:c>
      <x:c r="I398" s="68" t="str">
        <x:v>THCS Wnh Pha Tay</x:v>
      </x:c>
      <x:c r="J398" s="68" t="str">
        <x:v>Xa VTnh Phu6c</x:v>
      </x:c>
      <x:c r="K398" s="68" t="str">
        <x:v>31.6</x:v>
      </x:c>
      <x:c r="L398" s="68" t="str">
        <x:v>37</x:v>
      </x:c>
      <x:c r="M398" s="68" t="str"/>
      <x:c r="N398" s="68" t="str"/>
      <x:c r="O398" s="68" t="str">
        <x:v>68.6</x:v>
      </x:c>
      <x:c r="P398" s="68" t="str"/>
    </x:row>
    <x:row r="399">
      <x:c r="A399" s="106" t="n">
        <x:v>12</x:v>
      </x:c>
      <x:c r="B399" s="106" t="str">
        <x:v>398</x:v>
      </x:c>
      <x:c r="C399" s="167" t="str">
        <x:f>"0953 1 100665 1"</x:f>
        <x:v>0953 1 100665 1</x:v>
      </x:c>
      <x:c r="D399" s="68" t="str">
        <x:v>DU'ONG HUtNH BAO NGQC</x:v>
      </x:c>
      <x:c r="E399" s="68" t="str">
        <x:v>X</x:v>
      </x:c>
      <x:c r="F399" s="68" t="str">
        <x:v>24/ 11/201 1</x:v>
      </x:c>
      <x:c r="G399" s="68" t="str">
        <x:v>Kinh</x:v>
      </x:c>
      <x:c r="H399" s="68" t="str">
        <x:v>Xa Wnh Thanh</x:v>
      </x:c>
      <x:c r="I399" s="68" t="str">
        <x:v>THCS Hung Phd</x:v>
      </x:c>
      <x:c r="J399" s="68" t="str">
        <x:v>Xa Wnh Thanh</x:v>
      </x:c>
      <x:c r="K399" s="68" t="str">
        <x:v>31.6</x:v>
      </x:c>
      <x:c r="L399" s="68" t="str">
        <x:v>37</x:v>
      </x:c>
      <x:c r="M399" s="68" t="str"/>
      <x:c r="N399" s="68" t="str"/>
      <x:c r="O399" s="68" t="str">
        <x:v>68.6</x:v>
      </x:c>
      <x:c r="P399" s="68" t="str"/>
    </x:row>
    <x:row r="400">
      <x:c r="A400" s="106" t="n">
        <x:v>12</x:v>
      </x:c>
      <x:c r="B400" s="106" t="str">
        <x:v>399</x:v>
      </x:c>
      <x:c r="C400" s="167" t="str">
        <x:f>"095211006560"</x:f>
        <x:v>095211006560</x:v>
      </x:c>
      <x:c r="D400" s="68" t="str">
        <x:v>Li GLA HAO</x:v>
      </x:c>
      <x:c r="E400" s="68" t="str">
        <x:v>1</x:v>
      </x:c>
      <x:c r="F400" s="68" t="str">
        <x:v>27/12/2011 1 1</x:v>
      </x:c>
      <x:c r="G400" s="68" t="str">
        <x:v>Kinh Kinh I</x:v>
      </x:c>
      <x:c r="H400" s="68" t="str">
        <x:v>Xa VTnh Thanh</x:v>
      </x:c>
      <x:c r="I400" s="68" t="str">
        <x:v>THCS Hung Phd</x:v>
      </x:c>
      <x:c r="J400" s="68" t="str">
        <x:v>Xa VTnh Thanh</x:v>
      </x:c>
      <x:c r="K400" s="68" t="str">
        <x:v>31.6</x:v>
      </x:c>
      <x:c r="L400" s="68" t="str">
        <x:v>37</x:v>
      </x:c>
      <x:c r="M400" s="68" t="str"/>
      <x:c r="N400" s="68" t="str"/>
      <x:c r="O400" s="68" t="str">
        <x:v>68.6</x:v>
      </x:c>
      <x:c r="P400" s="68" t="str"/>
    </x:row>
    <x:row r="401">
      <x:c r="A401" s="106" t="n">
        <x:v>12</x:v>
      </x:c>
      <x:c r="B401" s="106" t="str">
        <x:v>400</x:v>
      </x:c>
      <x:c r="C401" s="167" t="str">
        <x:f>"0953 1 1005906"</x:f>
        <x:v>0953 1 1005906</x:v>
      </x:c>
      <x:c r="D401" s="68" t="str">
        <x:v>H6 LUaNG cAM THY 1</x:v>
      </x:c>
      <x:c r="E401" s="68" t="str">
        <x:v>x X 1</x:v>
      </x:c>
      <x:c r="F401" s="68" t="str">
        <x:v>11/06/2011 1 1</x:v>
      </x:c>
      <x:c r="G401" s="68" t="str">
        <x:v>Kinh Kinh I</x:v>
      </x:c>
      <x:c r="H401" s="68" t="str">
        <x:v>XaPhudc Xa PhMc Long Long I</x:v>
      </x:c>
      <x:c r="I401" s="68" t="str">
        <x:v>TI-ICSVrnhThanh THCS Vlnh Thanh I</x:v>
      </x:c>
      <x:c r="J401" s="68" t="str">
        <x:v>Xa VTnh Thanh</x:v>
      </x:c>
      <x:c r="K401" s="68" t="str">
        <x:v>31.6</x:v>
      </x:c>
      <x:c r="L401" s="68" t="str">
        <x:v>37</x:v>
      </x:c>
      <x:c r="M401" s="68" t="str"/>
      <x:c r="N401" s="68" t="str"/>
      <x:c r="O401" s="68" t="str">
        <x:v>68.6</x:v>
      </x:c>
      <x:c r="P401" s="68" t="str"/>
    </x:row>
    <x:row r="402">
      <x:c r="A402" s="106" t="n">
        <x:v>12</x:v>
      </x:c>
      <x:c r="B402" s="106" t="str">
        <x:v>401</x:v>
      </x:c>
      <x:c r="C402" s="167" t="str">
        <x:f>"0953 1 1004283"</x:f>
        <x:v>0953 1 1004283</x:v>
      </x:c>
      <x:c r="D402" s="68" t="str">
        <x:v>PHAN THI NHA QUtNH</x:v>
      </x:c>
      <x:c r="E402" s="68" t="str">
        <x:v>X</x:v>
      </x:c>
      <x:c r="F402" s="68" t="str">
        <x:v>23/12/201 I</x:v>
      </x:c>
      <x:c r="G402" s="68" t="str">
        <x:v>Kinh</x:v>
      </x:c>
      <x:c r="H402" s="68" t="str">
        <x:v>Xa Phudc Long</x:v>
      </x:c>
      <x:c r="I402" s="68" t="str">
        <x:v>THCS Vuong Hall Nhan</x:v>
      </x:c>
      <x:c r="J402" s="68" t="str">
        <x:v>Xa Phudc Long</x:v>
      </x:c>
      <x:c r="K402" s="68" t="str">
        <x:v>31.6</x:v>
      </x:c>
      <x:c r="L402" s="68" t="str">
        <x:v>37</x:v>
      </x:c>
      <x:c r="M402" s="68" t="str"/>
      <x:c r="N402" s="68" t="str"/>
      <x:c r="O402" s="68" t="str">
        <x:v>68.6</x:v>
      </x:c>
      <x:c r="P402" s="68" t="str"/>
    </x:row>
    <x:row r="403">
      <x:c r="A403" s="106" t="n">
        <x:v>12</x:v>
      </x:c>
      <x:c r="B403" s="106" t="str">
        <x:v>402</x:v>
      </x:c>
      <x:c r="C403" s="167" t="str">
        <x:f>"0953 1 1004660"</x:f>
        <x:v>0953 1 1004660</x:v>
      </x:c>
      <x:c r="D403" s="68" t="str">
        <x:v>D6NG NGUY£N THANH TRaC</x:v>
      </x:c>
      <x:c r="E403" s="68" t="str">
        <x:v>X 1</x:v>
      </x:c>
      <x:c r="F403" s="68" t="str">
        <x:v>27/09/2011 1 1</x:v>
      </x:c>
      <x:c r="G403" s="68" t="str">
        <x:v>Kinh Kinh I</x:v>
      </x:c>
      <x:c r="H403" s="68" t="str">
        <x:v>XaVTnh XaVTnh L6c LOc I</x:v>
      </x:c>
      <x:c r="I403" s="68" t="str">
        <x:v>THCS THCS Wnh VTnh Lac LOc I</x:v>
      </x:c>
      <x:c r="J403" s="68" t="str">
        <x:v>Xa Vinh LOc</x:v>
      </x:c>
      <x:c r="K403" s="68" t="str">
        <x:v>31.6</x:v>
      </x:c>
      <x:c r="L403" s="68" t="str">
        <x:v>37</x:v>
      </x:c>
      <x:c r="M403" s="68" t="str"/>
      <x:c r="N403" s="68" t="str"/>
      <x:c r="O403" s="68" t="str">
        <x:v>68.6</x:v>
      </x:c>
      <x:c r="P403" s="68" t="str"/>
    </x:row>
    <x:row r="404">
      <x:c r="A404" s="106" t="n">
        <x:v>13</x:v>
      </x:c>
      <x:c r="B404" s="106" t="str">
        <x:v>403</x:v>
      </x:c>
      <x:c r="C404" s="167" t="str">
        <x:f>"095311001218"</x:f>
        <x:v>095311001218</x:v>
      </x:c>
      <x:c r="D404" s="68" t="str">
        <x:v>NGUYEN TRAN NGQC ANH</x:v>
      </x:c>
      <x:c r="E404" s="68" t="str">
        <x:v>X</x:v>
      </x:c>
      <x:c r="F404" s="68" t="str">
        <x:v>28/10/201 1</x:v>
      </x:c>
      <x:c r="G404" s="68" t="str">
        <x:v>Kinh</x:v>
      </x:c>
      <x:c r="H404" s="68" t="str">
        <x:v>Xa Phudc Long</x:v>
      </x:c>
      <x:c r="I404" s="68" t="str">
        <x:v>THCS Phu6c Long</x:v>
      </x:c>
      <x:c r="J404" s="68" t="str">
        <x:v>Xa Phudc Long</x:v>
      </x:c>
      <x:c r="K404" s="68" t="str">
        <x:v>32.5</x:v>
      </x:c>
      <x:c r="L404" s="68" t="str">
        <x:v>36</x:v>
      </x:c>
      <x:c r="M404" s="68" t="str"/>
      <x:c r="N404" s="68" t="str"/>
      <x:c r="O404" s="68" t="str">
        <x:v>68.5</x:v>
      </x:c>
      <x:c r="P404" s="68" t="str"/>
    </x:row>
    <x:row r="405">
      <x:c r="A405" s="106" t="n">
        <x:v>13</x:v>
      </x:c>
      <x:c r="B405" s="106" t="str">
        <x:v>404</x:v>
      </x:c>
      <x:c r="C405" s="167" t="str">
        <x:f>"09521 1005488"</x:f>
        <x:v>09521 1005488</x:v>
      </x:c>
      <x:c r="D405" s="68" t="str">
        <x:v>TRrNH vAN Qut</x:v>
      </x:c>
      <x:c r="E405" s="68" t="str"/>
      <x:c r="F405" s="68" t="str">
        <x:v>28/06/2011</x:v>
      </x:c>
      <x:c r="G405" s="68" t="str">
        <x:v>Kinh</x:v>
      </x:c>
      <x:c r="H405" s="68" t="str">
        <x:v>Xa Vinh Thanh</x:v>
      </x:c>
      <x:c r="I405" s="68" t="str">
        <x:v>THCS Vinh Thanh</x:v>
      </x:c>
      <x:c r="J405" s="68" t="str">
        <x:v>Xa VTnh Thanh</x:v>
      </x:c>
      <x:c r="K405" s="68" t="str">
        <x:v>31.5</x:v>
      </x:c>
      <x:c r="L405" s="68" t="str">
        <x:v>37</x:v>
      </x:c>
      <x:c r="M405" s="68" t="str"/>
      <x:c r="N405" s="68" t="str"/>
      <x:c r="O405" s="68" t="str">
        <x:v>68.5</x:v>
      </x:c>
      <x:c r="P405" s="68" t="str"/>
    </x:row>
    <x:row r="406">
      <x:c r="A406" s="106" t="n">
        <x:v>13</x:v>
      </x:c>
      <x:c r="B406" s="106" t="str">
        <x:v>405</x:v>
      </x:c>
      <x:c r="C406" s="167" t="str">
        <x:f>"095211002282"</x:f>
        <x:v>095211002282</x:v>
      </x:c>
      <x:c r="D406" s="68" t="str">
        <x:v>NGUY$N DiNH NGOAN</x:v>
      </x:c>
      <x:c r="E406" s="68" t="str"/>
      <x:c r="F406" s="68" t="str">
        <x:v>06/05/2011</x:v>
      </x:c>
      <x:c r="G406" s="68" t="str">
        <x:v>Kinh</x:v>
      </x:c>
      <x:c r="H406" s="68" t="str">
        <x:v>Xa Phudc Long</x:v>
      </x:c>
      <x:c r="I406" s="68" t="str">
        <x:v>THCS Vuang Hrm Nhan</x:v>
      </x:c>
      <x:c r="J406" s="68" t="str">
        <x:v>Xa Phudc Long</x:v>
      </x:c>
      <x:c r="K406" s="68" t="str">
        <x:v>31.5</x:v>
      </x:c>
      <x:c r="L406" s="68" t="str">
        <x:v>37</x:v>
      </x:c>
      <x:c r="M406" s="68" t="str"/>
      <x:c r="N406" s="68" t="str"/>
      <x:c r="O406" s="68" t="str">
        <x:v>68.5</x:v>
      </x:c>
      <x:c r="P406" s="68" t="str"/>
    </x:row>
    <x:row r="407">
      <x:c r="A407" s="106" t="n">
        <x:v>13</x:v>
      </x:c>
      <x:c r="B407" s="106" t="str">
        <x:v>406</x:v>
      </x:c>
      <x:c r="C407" s="167" t="str">
        <x:f>"095211006775"</x:f>
        <x:v>095211006775</x:v>
      </x:c>
      <x:c r="D407" s="68" t="str">
        <x:v>TANG TRUNG TfNH</x:v>
      </x:c>
      <x:c r="E407" s="68" t="str"/>
      <x:c r="F407" s="68" t="str">
        <x:v>18/10/2011</x:v>
      </x:c>
      <x:c r="G407" s="68" t="str">
        <x:v>Kinh</x:v>
      </x:c>
      <x:c r="H407" s="68" t="str">
        <x:v>Xa Phudc Long</x:v>
      </x:c>
      <x:c r="I407" s="68" t="str">
        <x:v>THCS Phu a Long</x:v>
      </x:c>
      <x:c r="J407" s="68" t="str">
        <x:v>Xa Phu6c Long</x:v>
      </x:c>
      <x:c r="K407" s="68" t="str">
        <x:v>31.4</x:v>
      </x:c>
      <x:c r="L407" s="68" t="str">
        <x:v>37</x:v>
      </x:c>
      <x:c r="M407" s="68" t="str"/>
      <x:c r="N407" s="68" t="str"/>
      <x:c r="O407" s="68" t="str">
        <x:v>68.4</x:v>
      </x:c>
      <x:c r="P407" s="68" t="str"/>
    </x:row>
    <x:row r="408">
      <x:c r="A408" s="106" t="n">
        <x:v>13</x:v>
      </x:c>
      <x:c r="B408" s="106" t="str">
        <x:v>407</x:v>
      </x:c>
      <x:c r="C408" s="167" t="str">
        <x:f>"0953 1 1006787"</x:f>
        <x:v>0953 1 1006787</x:v>
      </x:c>
      <x:c r="D408" s="68" t="str">
        <x:v>TRAN THaN DAY EN</x:v>
      </x:c>
      <x:c r="E408" s="68" t="str">
        <x:v>X</x:v>
      </x:c>
      <x:c r="F408" s="68" t="str">
        <x:v>15/06/2011</x:v>
      </x:c>
      <x:c r="G408" s="68" t="str">
        <x:v>Kinh</x:v>
      </x:c>
      <x:c r="H408" s="68" t="str">
        <x:v>Xa Phu(b Long</x:v>
      </x:c>
      <x:c r="I408" s="68" t="str">
        <x:v>THCS Phu6c Long</x:v>
      </x:c>
      <x:c r="J408" s="68" t="str">
        <x:v>Xa Phudc Long</x:v>
      </x:c>
      <x:c r="K408" s="68" t="str">
        <x:v>3 1 .4</x:v>
      </x:c>
      <x:c r="L408" s="68" t="str">
        <x:v>37</x:v>
      </x:c>
      <x:c r="M408" s="68" t="str"/>
      <x:c r="N408" s="68" t="str"/>
      <x:c r="O408" s="68" t="str">
        <x:v>68.4</x:v>
      </x:c>
      <x:c r="P408" s="68" t="str"/>
    </x:row>
    <x:row r="409">
      <x:c r="A409" s="106" t="n">
        <x:v>13</x:v>
      </x:c>
      <x:c r="B409" s="106" t="str">
        <x:v>408</x:v>
      </x:c>
      <x:c r="C409" s="167" t="str">
        <x:f>"095211000748"</x:f>
        <x:v>095211000748</x:v>
      </x:c>
      <x:c r="D409" s="68" t="str">
        <x:v>HUtNH CHi HAO</x:v>
      </x:c>
      <x:c r="E409" s="68" t="str"/>
      <x:c r="F409" s="68" t="str">
        <x:v>05/10/2011</x:v>
      </x:c>
      <x:c r="G409" s="68" t="str">
        <x:v>Kinh</x:v>
      </x:c>
      <x:c r="H409" s="68" t="str">
        <x:v>Xa Wnh Phu6c</x:v>
      </x:c>
      <x:c r="I409" s="68" t="str">
        <x:v>THCS Vinh Pha Tay</x:v>
      </x:c>
      <x:c r="J409" s="68" t="str">
        <x:v>Xa Vinh Phudc</x:v>
      </x:c>
      <x:c r="K409" s="68" t="str">
        <x:v>32.4</x:v>
      </x:c>
      <x:c r="L409" s="68" t="str">
        <x:v>36</x:v>
      </x:c>
      <x:c r="M409" s="68" t="str"/>
      <x:c r="N409" s="68" t="str"/>
      <x:c r="O409" s="68" t="str">
        <x:v>68.4</x:v>
      </x:c>
      <x:c r="P409" s="68" t="str"/>
    </x:row>
    <x:row r="410">
      <x:c r="A410" s="106" t="n">
        <x:v>13</x:v>
      </x:c>
      <x:c r="B410" s="106" t="str">
        <x:v>409</x:v>
      </x:c>
      <x:c r="C410" s="167" t="str">
        <x:f>"095311009058"</x:f>
        <x:v>095311009058</x:v>
      </x:c>
      <x:c r="D410" s="68" t="str">
        <x:v>va THI NGQC TRAM</x:v>
      </x:c>
      <x:c r="E410" s="68" t="str">
        <x:v>X</x:v>
      </x:c>
      <x:c r="F410" s="68" t="str">
        <x:v>02/1 1/2011</x:v>
      </x:c>
      <x:c r="G410" s="68" t="str">
        <x:v>Kinh</x:v>
      </x:c>
      <x:c r="H410" s="68" t="str">
        <x:v>Xa VTnh MP</x:v>
      </x:c>
      <x:c r="I410" s="68" t="str">
        <x:v>THCS Hung Pha</x:v>
      </x:c>
      <x:c r="J410" s="68" t="str">
        <x:v>Xa VTnh Thanh</x:v>
      </x:c>
      <x:c r="K410" s="68" t="str">
        <x:v>31.4</x:v>
      </x:c>
      <x:c r="L410" s="68" t="str">
        <x:v>37</x:v>
      </x:c>
      <x:c r="M410" s="68" t="str"/>
      <x:c r="N410" s="68" t="str"/>
      <x:c r="O410" s="68" t="str">
        <x:v>68.4</x:v>
      </x:c>
      <x:c r="P410" s="68" t="str"/>
    </x:row>
    <x:row r="411">
      <x:c r="A411" s="106" t="n">
        <x:v>13</x:v>
      </x:c>
      <x:c r="B411" s="106" t="str">
        <x:v>410</x:v>
      </x:c>
      <x:c r="C411" s="167" t="str">
        <x:f>"0953 1 1004923"</x:f>
        <x:v>0953 1 1004923</x:v>
      </x:c>
      <x:c r="D411" s="68" t="str">
        <x:v>NGUY£N HUtNH ANH</x:v>
      </x:c>
      <x:c r="E411" s="68" t="str">
        <x:v>X</x:v>
      </x:c>
      <x:c r="F411" s="68" t="str">
        <x:v>20/05/201 1</x:v>
      </x:c>
      <x:c r="G411" s="68" t="str">
        <x:v>Kinh</x:v>
      </x:c>
      <x:c r="H411" s="68" t="str">
        <x:v>Xa Vrnh Thanh</x:v>
      </x:c>
      <x:c r="I411" s="68" t="str">
        <x:v>THCS Hung Pha</x:v>
      </x:c>
      <x:c r="J411" s="68" t="str">
        <x:v>Xa Vlnh Thanh</x:v>
      </x:c>
      <x:c r="K411" s="68" t="str">
        <x:v>31.4</x:v>
      </x:c>
      <x:c r="L411" s="68" t="str">
        <x:v>37</x:v>
      </x:c>
      <x:c r="M411" s="68" t="str"/>
      <x:c r="N411" s="68" t="str"/>
      <x:c r="O411" s="68" t="str">
        <x:v>68.4</x:v>
      </x:c>
      <x:c r="P411" s="68" t="str"/>
    </x:row>
    <x:row r="412">
      <x:c r="A412" s="106" t="n">
        <x:v>13</x:v>
      </x:c>
      <x:c r="B412" s="106" t="str">
        <x:v>411</x:v>
      </x:c>
      <x:c r="C412" s="167" t="str">
        <x:f>"095211006440"</x:f>
        <x:v>095211006440</x:v>
      </x:c>
      <x:c r="D412" s="68" t="str">
        <x:v>DOAN PHONG PHO</x:v>
      </x:c>
      <x:c r="E412" s="68" t="str"/>
      <x:c r="F412" s="68" t="str">
        <x:v>20/02/2011</x:v>
      </x:c>
      <x:c r="G412" s="68" t="str">
        <x:v>Kinh</x:v>
      </x:c>
      <x:c r="H412" s="68" t="str">
        <x:v>Xa Phua Long</x:v>
      </x:c>
      <x:c r="I412" s="68" t="str">
        <x:v>THCS PhMc Long</x:v>
      </x:c>
      <x:c r="J412" s="68" t="str">
        <x:v>Xi Phudc Long</x:v>
      </x:c>
      <x:c r="K412" s="68" t="str">
        <x:v>32.3</x:v>
      </x:c>
      <x:c r="L412" s="68" t="str">
        <x:v>36</x:v>
      </x:c>
      <x:c r="M412" s="68" t="str"/>
      <x:c r="N412" s="68" t="str"/>
      <x:c r="O412" s="68" t="str">
        <x:v>68.3</x:v>
      </x:c>
      <x:c r="P412" s="68" t="str"/>
    </x:row>
    <x:row r="413">
      <x:c r="A413" s="106" t="n">
        <x:v>13</x:v>
      </x:c>
      <x:c r="B413" s="106" t="str">
        <x:v>412</x:v>
      </x:c>
      <x:c r="C413" s="167" t="str">
        <x:f>"0953 1 1001$64"</x:f>
        <x:v>0953 1 1001$64</x:v>
      </x:c>
      <x:c r="D413" s="68" t="str">
        <x:v>DUONG TrrtJY VY</x:v>
      </x:c>
      <x:c r="E413" s="68" t="str">
        <x:v>X</x:v>
      </x:c>
      <x:c r="F413" s="68" t="str">
        <x:v>20/03/201 1</x:v>
      </x:c>
      <x:c r="G413" s="68" t="str">
        <x:v>Kinh</x:v>
      </x:c>
      <x:c r="H413" s="68" t="str">
        <x:v>Xa Vinh Thanh</x:v>
      </x:c>
      <x:c r="I413" s="68" t="str">
        <x:v>THCS VTnh Thanh</x:v>
      </x:c>
      <x:c r="J413" s="68" t="str">
        <x:v>Xa Vinh Thanh</x:v>
      </x:c>
      <x:c r="K413" s="68" t="str">
        <x:v>31.3</x:v>
      </x:c>
      <x:c r="L413" s="68" t="str">
        <x:v>37</x:v>
      </x:c>
      <x:c r="M413" s="68" t="str"/>
      <x:c r="N413" s="68" t="str"/>
      <x:c r="O413" s="68" t="str">
        <x:v>68.3</x:v>
      </x:c>
      <x:c r="P413" s="68" t="str"/>
    </x:row>
    <x:row r="414">
      <x:c r="A414" s="106" t="n">
        <x:v>13</x:v>
      </x:c>
      <x:c r="B414" s="106" t="str">
        <x:v>413</x:v>
      </x:c>
      <x:c r="C414" s="167" t="str">
        <x:f>"095311007411"</x:f>
        <x:v>095311007411</x:v>
      </x:c>
      <x:c r="D414" s="68" t="str">
        <x:v>Li DEEM TRrNH</x:v>
      </x:c>
      <x:c r="E414" s="68" t="str">
        <x:v>X</x:v>
      </x:c>
      <x:c r="F414" s="68" t="str">
        <x:v>14/1 1/2011</x:v>
      </x:c>
      <x:c r="G414" s="68" t="str">
        <x:v>Kinh Xa</x:v>
      </x:c>
      <x:c r="H414" s="68" t="str">
        <x:v>Ninh ThBnh Lc,ri</x:v>
      </x:c>
      <x:c r="I414" s="68" t="str">
        <x:v>THCS Phu6c Long</x:v>
      </x:c>
      <x:c r="J414" s="68" t="str">
        <x:v>Xa Vinh Phudc</x:v>
      </x:c>
      <x:c r="K414" s="68" t="str">
        <x:v>31.3</x:v>
      </x:c>
      <x:c r="L414" s="68" t="str">
        <x:v>36</x:v>
      </x:c>
      <x:c r="M414" s="68" t="str">
        <x:v>1.0</x:v>
      </x:c>
      <x:c r="N414" s="68" t="str"/>
      <x:c r="O414" s="68" t="str">
        <x:v>68.3</x:v>
      </x:c>
      <x:c r="P414" s="68" t="str"/>
    </x:row>
    <x:row r="415">
      <x:c r="A415" s="106" t="n">
        <x:v>13</x:v>
      </x:c>
      <x:c r="B415" s="106" t="str">
        <x:v>414</x:v>
      </x:c>
      <x:c r="C415" s="167" t="str">
        <x:f>"095311010075"</x:f>
        <x:v>095311010075</x:v>
      </x:c>
      <x:c r="D415" s="68" t="str">
        <x:v>UUtNH THI DaM HANG</x:v>
      </x:c>
      <x:c r="E415" s="68" t="str">
        <x:v>X</x:v>
      </x:c>
      <x:c r="F415" s="68" t="str">
        <x:v>07/06/201 1</x:v>
      </x:c>
      <x:c r="G415" s="68" t="str">
        <x:v>Kinh</x:v>
      </x:c>
      <x:c r="H415" s="68" t="str">
        <x:v>Xa Phu6'c Long</x:v>
      </x:c>
      <x:c r="I415" s="68" t="str">
        <x:v>THCS Vuang Htru Nhan</x:v>
      </x:c>
      <x:c r="J415" s="68" t="str">
        <x:v>Xa Phu6c Long</x:v>
      </x:c>
      <x:c r="K415" s="68" t="str">
        <x:v>32.3</x:v>
      </x:c>
      <x:c r="L415" s="68" t="str">
        <x:v>36</x:v>
      </x:c>
      <x:c r="M415" s="68" t="str"/>
      <x:c r="N415" s="68" t="str"/>
      <x:c r="O415" s="68" t="str">
        <x:v>68.3</x:v>
      </x:c>
      <x:c r="P415" s="68" t="str"/>
    </x:row>
    <x:row r="416">
      <x:c r="A416" s="106" t="n">
        <x:v>13</x:v>
      </x:c>
      <x:c r="B416" s="106" t="str">
        <x:v>415</x:v>
      </x:c>
      <x:c r="C416" s="167" t="str">
        <x:f>"09531 1001414"</x:f>
        <x:v>09531 1001414</x:v>
      </x:c>
      <x:c r="D416" s="68" t="str">
        <x:v>LE THI THAO VI</x:v>
      </x:c>
      <x:c r="E416" s="68" t="str">
        <x:v>X</x:v>
      </x:c>
      <x:c r="F416" s="68" t="str">
        <x:v>25/05/201 1</x:v>
      </x:c>
      <x:c r="G416" s="68" t="str">
        <x:v>Kinh</x:v>
      </x:c>
      <x:c r="H416" s="68" t="str">
        <x:v>Xa Dinh Thanh</x:v>
      </x:c>
      <x:c r="I416" s="68" t="str">
        <x:v>THCS Luang The Vinh</x:v>
      </x:c>
      <x:c r="J416" s="68" t="str">
        <x:v>Xa Djnh Thanh</x:v>
      </x:c>
      <x:c r="K416" s="68" t="str">
        <x:v>31.3</x:v>
      </x:c>
      <x:c r="L416" s="68" t="str">
        <x:v>37</x:v>
      </x:c>
      <x:c r="M416" s="68" t="str"/>
      <x:c r="N416" s="68" t="str"/>
      <x:c r="O416" s="68" t="str">
        <x:v>68.3</x:v>
      </x:c>
      <x:c r="P416" s="68" t="str"/>
    </x:row>
    <x:row r="417">
      <x:c r="A417" s="106" t="n">
        <x:v>13</x:v>
      </x:c>
      <x:c r="B417" s="106" t="str">
        <x:v>416</x:v>
      </x:c>
      <x:c r="C417" s="167" t="str">
        <x:f>"09531 1001991"</x:f>
        <x:v>09531 1001991</x:v>
      </x:c>
      <x:c r="D417" s="68" t="str">
        <x:v>TRANG H6NG ANH Trru'</x:v>
      </x:c>
      <x:c r="E417" s="68" t="str">
        <x:v>X</x:v>
      </x:c>
      <x:c r="F417" s="68" t="str">
        <x:v>18/08/201 1</x:v>
      </x:c>
      <x:c r="G417" s="68" t="str">
        <x:v>Kinh</x:v>
      </x:c>
      <x:c r="H417" s="68" t="str">
        <x:v>Xa Phudc Long</x:v>
      </x:c>
      <x:c r="I417" s="68" t="str">
        <x:v>THCS PhBm Dinh Hd</x:v>
      </x:c>
      <x:c r="J417" s="68" t="str">
        <x:v>Phudng 'Binh Tian</x:v>
      </x:c>
      <x:c r="K417" s="68" t="str">
        <x:v>32.3</x:v>
      </x:c>
      <x:c r="L417" s="68" t="str">
        <x:v>36</x:v>
      </x:c>
      <x:c r="M417" s="68" t="str"/>
      <x:c r="N417" s="68" t="str"/>
      <x:c r="O417" s="68" t="str">
        <x:v>68.3</x:v>
      </x:c>
      <x:c r="P417" s="68" t="str"/>
    </x:row>
    <x:row r="418">
      <x:c r="A418" s="106" t="n">
        <x:v>13</x:v>
      </x:c>
      <x:c r="B418" s="106" t="str">
        <x:v>417</x:v>
      </x:c>
      <x:c r="C418" s="167" t="str">
        <x:f>"095211009894"</x:f>
        <x:v>095211009894</x:v>
      </x:c>
      <x:c r="D418" s="68" t="str">
        <x:v>NGUY£N HOANG KHANG</x:v>
      </x:c>
      <x:c r="E418" s="68" t="str"/>
      <x:c r="F418" s="68" t="str">
        <x:v>26/04/2011</x:v>
      </x:c>
      <x:c r="G418" s="68" t="str">
        <x:v>Kinh</x:v>
      </x:c>
      <x:c r="H418" s="68" t="str">
        <x:v>Xa Phudc Long</x:v>
      </x:c>
      <x:c r="I418" s="68" t="str">
        <x:v>THCS Phu6c Long</x:v>
      </x:c>
      <x:c r="J418" s="68" t="str">
        <x:v>Xa Phu6c Long</x:v>
      </x:c>
      <x:c r="K418" s="68" t="str">
        <x:v>31.2</x:v>
      </x:c>
      <x:c r="L418" s="68" t="str">
        <x:v>37</x:v>
      </x:c>
      <x:c r="M418" s="68" t="str"/>
      <x:c r="N418" s="68" t="str"/>
      <x:c r="O418" s="68" t="str">
        <x:v>68.2</x:v>
      </x:c>
      <x:c r="P418" s="68" t="str"/>
    </x:row>
    <x:row r="419">
      <x:c r="A419" s="106" t="n">
        <x:v>13</x:v>
      </x:c>
      <x:c r="B419" s="106" t="str">
        <x:v>418</x:v>
      </x:c>
      <x:c r="C419" s="167" t="str">
        <x:f>"0953 1 1003211"</x:f>
        <x:v>0953 1 1003211</x:v>
      </x:c>
      <x:c r="D419" s="68" t="str">
        <x:v>LE THU THAO</x:v>
      </x:c>
      <x:c r="E419" s="68" t="str"/>
      <x:c r="F419" s="68" t="str">
        <x:v>19/05/201 1</x:v>
      </x:c>
      <x:c r="G419" s="68" t="str">
        <x:v>Kinh</x:v>
      </x:c>
      <x:c r="H419" s="68" t="str">
        <x:v>Xa Phu6c Long</x:v>
      </x:c>
      <x:c r="I419" s="68" t="str">
        <x:v>THCS Phu6c Long</x:v>
      </x:c>
      <x:c r="J419" s="68" t="str">
        <x:v>Xa Phu6c Long</x:v>
      </x:c>
      <x:c r="K419" s="68" t="str">
        <x:v>31.2</x:v>
      </x:c>
      <x:c r="L419" s="68" t="str">
        <x:v>37</x:v>
      </x:c>
      <x:c r="M419" s="68" t="str"/>
      <x:c r="N419" s="68" t="str"/>
      <x:c r="O419" s="68" t="str">
        <x:v>68.2</x:v>
      </x:c>
      <x:c r="P419" s="68" t="str"/>
    </x:row>
    <x:row r="420">
      <x:c r="A420" s="106" t="n">
        <x:v>13</x:v>
      </x:c>
      <x:c r="B420" s="106" t="str">
        <x:v>419</x:v>
      </x:c>
      <x:c r="C420" s="167" t="str">
        <x:f>"0953 1 1002034"</x:f>
        <x:v>0953 1 1002034</x:v>
      </x:c>
      <x:c r="D420" s="68" t="str">
        <x:v>LE THAO VY</x:v>
      </x:c>
      <x:c r="E420" s="68" t="str">
        <x:v>X</x:v>
      </x:c>
      <x:c r="F420" s="68" t="str">
        <x:v>09/08/2011</x:v>
      </x:c>
      <x:c r="G420" s="68" t="str">
        <x:v>Kinh</x:v>
      </x:c>
      <x:c r="H420" s="68" t="str">
        <x:v>Xa Vinh Thanh</x:v>
      </x:c>
      <x:c r="I420" s="68" t="str">
        <x:v>THCS Hung Phd</x:v>
      </x:c>
      <x:c r="J420" s="68" t="str">
        <x:v>Xa Vinh Thanh</x:v>
      </x:c>
      <x:c r="K420" s="68" t="str">
        <x:v>31.2</x:v>
      </x:c>
      <x:c r="L420" s="68" t="str">
        <x:v>37</x:v>
      </x:c>
      <x:c r="M420" s="68" t="str"/>
      <x:c r="N420" s="68" t="str"/>
      <x:c r="O420" s="68" t="str">
        <x:v>68.2</x:v>
      </x:c>
      <x:c r="P420" s="68" t="str"/>
    </x:row>
    <x:row r="421">
      <x:c r="A421" s="106" t="n">
        <x:v>13</x:v>
      </x:c>
      <x:c r="B421" s="106" t="str">
        <x:v>420</x:v>
      </x:c>
      <x:c r="C421" s="167" t="str">
        <x:f>"0953 1 1006256"</x:f>
        <x:v>0953 1 1006256</x:v>
      </x:c>
      <x:c r="D421" s="68" t="str">
        <x:v>DU'ONG DINH DiNH</x:v>
      </x:c>
      <x:c r="E421" s="68" t="str">
        <x:v>X</x:v>
      </x:c>
      <x:c r="F421" s="68" t="str">
        <x:v>23/01/2011</x:v>
      </x:c>
      <x:c r="G421" s="68" t="str">
        <x:v>Kinh</x:v>
      </x:c>
      <x:c r="H421" s="68" t="str">
        <x:v>Xa Wrnh Phudc</x:v>
      </x:c>
      <x:c r="I421" s="68" t="str">
        <x:v>THCS Phu a Long</x:v>
      </x:c>
      <x:c r="J421" s="68" t="str">
        <x:v>Xa VTnh Phu6c</x:v>
      </x:c>
      <x:c r="K421" s="68" t="str">
        <x:v>32.2</x:v>
      </x:c>
      <x:c r="L421" s="68" t="str">
        <x:v>35</x:v>
      </x:c>
      <x:c r="M421" s="68" t="str">
        <x:v>1.0</x:v>
      </x:c>
      <x:c r="N421" s="68" t="str"/>
      <x:c r="O421" s="68" t="str">
        <x:v>68.2</x:v>
      </x:c>
      <x:c r="P421" s="68" t="str"/>
    </x:row>
    <x:row r="422">
      <x:c r="A422" s="106" t="n">
        <x:v>13</x:v>
      </x:c>
      <x:c r="B422" s="106" t="str">
        <x:v>421</x:v>
      </x:c>
      <x:c r="C422" s="167" t="str">
        <x:f>"095211001159"</x:f>
        <x:v>095211001159</x:v>
      </x:c>
      <x:c r="D422" s="68" t="str">
        <x:v>Li HOANG P}rtJC</x:v>
      </x:c>
      <x:c r="E422" s="68" t="str"/>
      <x:c r="F422" s="68" t="str">
        <x:v>28/02/2011</x:v>
      </x:c>
      <x:c r="G422" s="68" t="str">
        <x:v>Kinh</x:v>
      </x:c>
      <x:c r="H422" s="68" t="str">
        <x:v>Xa Wnh Phudc</x:v>
      </x:c>
      <x:c r="I422" s="68" t="str">
        <x:v>THCS Vinh Pha Tay</x:v>
      </x:c>
      <x:c r="J422" s="68" t="str">
        <x:v>Xa VTnh Phu6c</x:v>
      </x:c>
      <x:c r="K422" s="68" t="str">
        <x:v>31.6</x:v>
      </x:c>
      <x:c r="L422" s="68" t="str">
        <x:v>34</x:v>
      </x:c>
      <x:c r="M422" s="68" t="str">
        <x:v>1.o 1</x:v>
      </x:c>
      <x:c r="N422" s="68" t="str">
        <x:v>1.5</x:v>
      </x:c>
      <x:c r="O422" s="68" t="str">
        <x:v>68.1</x:v>
      </x:c>
      <x:c r="P422" s="68" t="str"/>
    </x:row>
    <x:row r="423">
      <x:c r="A423" s="106" t="n">
        <x:v>13</x:v>
      </x:c>
      <x:c r="B423" s="106" t="str">
        <x:v>422</x:v>
      </x:c>
      <x:c r="C423" s="167" t="str">
        <x:f>"095311008050"</x:f>
        <x:v>095311008050</x:v>
      </x:c>
      <x:c r="D423" s="68" t="str">
        <x:v>Li THI TF{tJY NHI</x:v>
      </x:c>
      <x:c r="E423" s="68" t="str">
        <x:v>X</x:v>
      </x:c>
      <x:c r="F423" s="68" t="str">
        <x:v>11/08/2011</x:v>
      </x:c>
      <x:c r="G423" s="68" t="str">
        <x:v>Khmer I</x:v>
      </x:c>
      <x:c r="H423" s="68" t="str">
        <x:v>Xa VTnh Phu6c</x:v>
      </x:c>
      <x:c r="I423" s="68" t="str">
        <x:v>THCS Vinh Pha Tay</x:v>
      </x:c>
      <x:c r="J423" s="68" t="str">
        <x:v>Xa Vmh Phu6c</x:v>
      </x:c>
      <x:c r="K423" s="68" t="str">
        <x:v>31.1</x:v>
      </x:c>
      <x:c r="L423" s="68" t="str">
        <x:v>36</x:v>
      </x:c>
      <x:c r="M423" s="68" t="str">
        <x:v>1.0</x:v>
      </x:c>
      <x:c r="N423" s="68" t="str"/>
      <x:c r="O423" s="68" t="str">
        <x:v>68.1</x:v>
      </x:c>
      <x:c r="P423" s="68" t="str"/>
    </x:row>
    <x:row r="424">
      <x:c r="A424" s="106" t="n">
        <x:v>13</x:v>
      </x:c>
      <x:c r="B424" s="106" t="str">
        <x:v>423</x:v>
      </x:c>
      <x:c r="C424" s="167" t="str">
        <x:f>"095311001080"</x:f>
        <x:v>095311001080</x:v>
      </x:c>
      <x:c r="D424" s="68" t="str">
        <x:v>TRANNGQC MUQI</x:v>
      </x:c>
      <x:c r="E424" s="68" t="str">
        <x:v>X</x:v>
      </x:c>
      <x:c r="F424" s="68" t="str">
        <x:v>19/08/201 1</x:v>
      </x:c>
      <x:c r="G424" s="68" t="str">
        <x:v>Kinh</x:v>
      </x:c>
      <x:c r="H424" s="68" t="str">
        <x:v>Xa Vmh Thanh</x:v>
      </x:c>
      <x:c r="I424" s="68" t="str">
        <x:v>THCS Hung Phd</x:v>
      </x:c>
      <x:c r="J424" s="68" t="str">
        <x:v>Xa VTnh Thanh</x:v>
      </x:c>
      <x:c r="K424" s="68" t="str">
        <x:v>32. 1</x:v>
      </x:c>
      <x:c r="L424" s="68" t="str">
        <x:v>36</x:v>
      </x:c>
      <x:c r="M424" s="68" t="str"/>
      <x:c r="N424" s="68" t="str"/>
      <x:c r="O424" s="68" t="str">
        <x:v>68.1</x:v>
      </x:c>
      <x:c r="P424" s="68" t="str"/>
    </x:row>
    <x:row r="425">
      <x:c r="A425" s="106" t="n">
        <x:v>13</x:v>
      </x:c>
      <x:c r="B425" s="106" t="str">
        <x:v>424</x:v>
      </x:c>
      <x:c r="C425" s="167" t="str">
        <x:f>"0953 1 1005458"</x:f>
        <x:v>0953 1 1005458</x:v>
      </x:c>
      <x:c r="D425" s="68" t="str">
        <x:v>TRAN NGQC HAN</x:v>
      </x:c>
      <x:c r="E425" s="68" t="str">
        <x:v>X</x:v>
      </x:c>
      <x:c r="F425" s="68" t="str">
        <x:v>01/10/2011</x:v>
      </x:c>
      <x:c r="G425" s="68" t="str">
        <x:v>Kinh</x:v>
      </x:c>
      <x:c r="H425" s="68" t="str">
        <x:v>Xa VTnh Thanh</x:v>
      </x:c>
      <x:c r="I425" s="68" t="str">
        <x:v>THCS Hung Pha</x:v>
      </x:c>
      <x:c r="J425" s="68" t="str">
        <x:v>Xa VTnh Thanh</x:v>
      </x:c>
      <x:c r="K425" s="68" t="str">
        <x:v>31.1</x:v>
      </x:c>
      <x:c r="L425" s="68" t="str">
        <x:v>37</x:v>
      </x:c>
      <x:c r="M425" s="68" t="str"/>
      <x:c r="N425" s="68" t="str"/>
      <x:c r="O425" s="68" t="str">
        <x:v>68. 1</x:v>
      </x:c>
      <x:c r="P425" s="68" t="str"/>
    </x:row>
    <x:row r="426">
      <x:c r="A426" s="106" t="n">
        <x:v>13</x:v>
      </x:c>
      <x:c r="B426" s="106" t="str">
        <x:v>425</x:v>
      </x:c>
      <x:c r="C426" s="167" t="str">
        <x:f>"0963 1 1003366"</x:f>
        <x:v>0963 1 1003366</x:v>
      </x:c>
      <x:c r="D426" s="68" t="str">
        <x:v>LAM MINH HANG</x:v>
      </x:c>
      <x:c r="E426" s="68" t="str">
        <x:v>X</x:v>
      </x:c>
      <x:c r="F426" s="68" t="str">
        <x:v>05/01/201 1</x:v>
      </x:c>
      <x:c r="G426" s="68" t="str">
        <x:v>Kinh</x:v>
      </x:c>
      <x:c r="H426" s="68" t="str">
        <x:v>Xa Vinh Thanh</x:v>
      </x:c>
      <x:c r="I426" s="68" t="str">
        <x:v>THCS Hung Pha</x:v>
      </x:c>
      <x:c r="J426" s="68" t="str">
        <x:v>Xa Wnh Thanh</x:v>
      </x:c>
      <x:c r="K426" s="68" t="str">
        <x:v>32. 1</x:v>
      </x:c>
      <x:c r="L426" s="68" t="str">
        <x:v>36</x:v>
      </x:c>
      <x:c r="M426" s="68" t="str"/>
      <x:c r="N426" s="68" t="str"/>
      <x:c r="O426" s="68" t="str">
        <x:v>68.1</x:v>
      </x:c>
      <x:c r="P426" s="68" t="str"/>
    </x:row>
    <x:row r="427">
      <x:c r="A427" s="106" t="n">
        <x:v>13</x:v>
      </x:c>
      <x:c r="B427" s="106" t="str">
        <x:v>426</x:v>
      </x:c>
      <x:c r="C427" s="167" t="str">
        <x:f>"095211004717"</x:f>
        <x:v>095211004717</x:v>
      </x:c>
      <x:c r="D427" s="68" t="str">
        <x:v>Li CHi TAM</x:v>
      </x:c>
      <x:c r="E427" s="68" t="str"/>
      <x:c r="F427" s="68" t="str">
        <x:v>22/01/201 1</x:v>
      </x:c>
      <x:c r="G427" s="68" t="str">
        <x:v>Kinh</x:v>
      </x:c>
      <x:c r="H427" s="68" t="str">
        <x:v>Xa Wrnh phudc</x:v>
      </x:c>
      <x:c r="I427" s="68" t="str">
        <x:v>THCS Wnh Pha Tay</x:v>
      </x:c>
      <x:c r="J427" s="68" t="str">
        <x:v>Xa Vrnh Phudc</x:v>
      </x:c>
      <x:c r="K427" s="68" t="str">
        <x:v>32.0</x:v>
      </x:c>
      <x:c r="L427" s="68" t="str">
        <x:v>35</x:v>
      </x:c>
      <x:c r="M427" s="68" t="str">
        <x:v>1.0</x:v>
      </x:c>
      <x:c r="N427" s="68" t="str"/>
      <x:c r="O427" s="68" t="str">
        <x:v>68.0</x:v>
      </x:c>
      <x:c r="P427" s="68" t="str"/>
    </x:row>
    <x:row r="428">
      <x:c r="A428" s="106" t="n">
        <x:v>13</x:v>
      </x:c>
      <x:c r="B428" s="106" t="str">
        <x:v>427</x:v>
      </x:c>
      <x:c r="C428" s="167" t="str">
        <x:f>"09521 1007412"</x:f>
        <x:v>09521 1007412</x:v>
      </x:c>
      <x:c r="D428" s="68" t="str">
        <x:v>LE DANG KH61</x:v>
      </x:c>
      <x:c r="E428" s="68" t="str"/>
      <x:c r="F428" s="68" t="str">
        <x:v>29/1 1/2011</x:v>
      </x:c>
      <x:c r="G428" s="68" t="str">
        <x:v>Kinh</x:v>
      </x:c>
      <x:c r="H428" s="68" t="str">
        <x:v>Xa Vmh Phu6c</x:v>
      </x:c>
      <x:c r="I428" s="68" t="str">
        <x:v>THCS Vinh Pha Tay</x:v>
      </x:c>
      <x:c r="J428" s="68" t="str">
        <x:v>Xa VTnh Phu6c</x:v>
      </x:c>
      <x:c r="K428" s="68" t="str">
        <x:v>32.0</x:v>
      </x:c>
      <x:c r="L428" s="68" t="str">
        <x:v>36</x:v>
      </x:c>
      <x:c r="M428" s="68" t="str"/>
      <x:c r="N428" s="68" t="str"/>
      <x:c r="O428" s="68" t="str">
        <x:v>68.0</x:v>
      </x:c>
      <x:c r="P428" s="68" t="str"/>
    </x:row>
    <x:row r="429">
      <x:c r="A429" s="106" t="n">
        <x:v>13</x:v>
      </x:c>
      <x:c r="B429" s="106" t="str">
        <x:v>428</x:v>
      </x:c>
      <x:c r="C429" s="167" t="str">
        <x:f>"095311009866"</x:f>
        <x:v>095311009866</x:v>
      </x:c>
      <x:c r="D429" s="68" t="str">
        <x:v>Bar Y£NMVI</x:v>
      </x:c>
      <x:c r="E429" s="68" t="str">
        <x:v>X</x:v>
      </x:c>
      <x:c r="F429" s="68" t="str">
        <x:v>01/12/201 1</x:v>
      </x:c>
      <x:c r="G429" s="68" t="str">
        <x:v>Kinh</x:v>
      </x:c>
      <x:c r="H429" s="68" t="str">
        <x:v>Xa Wnh Thanh</x:v>
      </x:c>
      <x:c r="I429" s="68" t="str">
        <x:v>THCS Hung Phd</x:v>
      </x:c>
      <x:c r="J429" s="68" t="str">
        <x:v>Xa VTnh Thanh</x:v>
      </x:c>
      <x:c r="K429" s="68" t="str">
        <x:v>31.0</x:v>
      </x:c>
      <x:c r="L429" s="68" t="str">
        <x:v>37</x:v>
      </x:c>
      <x:c r="M429" s="68" t="str"/>
      <x:c r="N429" s="68" t="str"/>
      <x:c r="O429" s="68" t="str">
        <x:v>68.0</x:v>
      </x:c>
      <x:c r="P429" s="68" t="str"/>
    </x:row>
    <x:row r="430">
      <x:c r="A430" s="106" t="n">
        <x:v>13</x:v>
      </x:c>
      <x:c r="B430" s="106" t="str">
        <x:v>429</x:v>
      </x:c>
      <x:c r="C430" s="167" t="str">
        <x:f>"0953 1 1005068"</x:f>
        <x:v>0953 1 1005068</x:v>
      </x:c>
      <x:c r="D430" s="68" t="str">
        <x:v>DUaNG TUANHTHOANG</x:v>
      </x:c>
      <x:c r="E430" s="68" t="str">
        <x:v>X</x:v>
      </x:c>
      <x:c r="F430" s="68" t="str">
        <x:v>08/05/201 1</x:v>
      </x:c>
      <x:c r="G430" s="68" t="str">
        <x:v>Kinh</x:v>
      </x:c>
      <x:c r="H430" s="68" t="str">
        <x:v>Xa Phudc Long</x:v>
      </x:c>
      <x:c r="I430" s="68" t="str">
        <x:v>THCS Vuang H&amp;u Nhan</x:v>
      </x:c>
      <x:c r="J430" s="68" t="str">
        <x:v>Xa Phu6c Long</x:v>
      </x:c>
      <x:c r="K430" s="68" t="str">
        <x:v>31.0</x:v>
      </x:c>
      <x:c r="L430" s="68" t="str">
        <x:v>37</x:v>
      </x:c>
      <x:c r="M430" s="68" t="str"/>
      <x:c r="N430" s="68" t="str"/>
      <x:c r="O430" s="68" t="str">
        <x:v>68.0</x:v>
      </x:c>
      <x:c r="P430" s="68" t="str"/>
    </x:row>
    <x:row r="431">
      <x:c r="A431" s="106" t="n">
        <x:v>13</x:v>
      </x:c>
      <x:c r="B431" s="106" t="str">
        <x:v>430</x:v>
      </x:c>
      <x:c r="C431" s="167" t="str">
        <x:f>"09521 1002150"</x:f>
        <x:v>09521 1002150</x:v>
      </x:c>
      <x:c r="D431" s="68" t="str">
        <x:v>NGUYEN HtlU THINH</x:v>
      </x:c>
      <x:c r="E431" s="68" t="str"/>
      <x:c r="F431" s="68" t="str">
        <x:v>27/09/201 1</x:v>
      </x:c>
      <x:c r="G431" s="68" t="str">
        <x:v>Kinh</x:v>
      </x:c>
      <x:c r="H431" s="68" t="str">
        <x:v>Xa Phu6c Long</x:v>
      </x:c>
      <x:c r="I431" s="68" t="str">
        <x:v>THCS Vuang IIeu Nhan</x:v>
      </x:c>
      <x:c r="J431" s="68" t="str">
        <x:v>Xa Phu6c Long</x:v>
      </x:c>
      <x:c r="K431" s="68" t="str">
        <x:v>31.0</x:v>
      </x:c>
      <x:c r="L431" s="68" t="str">
        <x:v>37</x:v>
      </x:c>
      <x:c r="M431" s="68" t="str"/>
      <x:c r="N431" s="68" t="str"/>
      <x:c r="O431" s="68" t="str">
        <x:v>68.0</x:v>
      </x:c>
      <x:c r="P431" s="68" t="str"/>
    </x:row>
    <x:row r="432">
      <x:c r="A432" s="106" t="n">
        <x:v>13</x:v>
      </x:c>
      <x:c r="B432" s="106" t="str">
        <x:v>431</x:v>
      </x:c>
      <x:c r="C432" s="167" t="str">
        <x:f>"0953 1 1008970"</x:f>
        <x:v>0953 1 1008970</x:v>
      </x:c>
      <x:c r="D432" s="68" t="str">
        <x:v>DOAN NGQC TRAN</x:v>
      </x:c>
      <x:c r="E432" s="68" t="str">
        <x:v>X</x:v>
      </x:c>
      <x:c r="F432" s="68" t="str">
        <x:v>27/10/201 1</x:v>
      </x:c>
      <x:c r="G432" s="68" t="str">
        <x:v>Kinh</x:v>
      </x:c>
      <x:c r="H432" s="68" t="str">
        <x:v>Xa Phu6c Long</x:v>
      </x:c>
      <x:c r="I432" s="68" t="str">
        <x:v>THCS Phu6c Long</x:v>
      </x:c>
      <x:c r="J432" s="68" t="str">
        <x:v>Xa Phu6c Long</x:v>
      </x:c>
      <x:c r="K432" s="68" t="str">
        <x:v>31.9</x:v>
      </x:c>
      <x:c r="L432" s="68" t="str">
        <x:v>36</x:v>
      </x:c>
      <x:c r="M432" s="68" t="str"/>
      <x:c r="N432" s="68" t="str"/>
      <x:c r="O432" s="68" t="str">
        <x:v>67.9</x:v>
      </x:c>
      <x:c r="P432" s="68" t="str"/>
    </x:row>
    <x:row r="433">
      <x:c r="A433" s="106" t="n">
        <x:v>13</x:v>
      </x:c>
      <x:c r="B433" s="106" t="str">
        <x:v>432</x:v>
      </x:c>
      <x:c r="C433" s="167" t="str">
        <x:f>"0773 1 1005 136"</x:f>
        <x:v>0773 1 1005 136</x:v>
      </x:c>
      <x:c r="D433" s="68" t="str">
        <x:v>NGUY£N NGQC KIM NGAN</x:v>
      </x:c>
      <x:c r="E433" s="68" t="str">
        <x:v>X</x:v>
      </x:c>
      <x:c r="F433" s="68" t="str">
        <x:v>07/12/2011</x:v>
      </x:c>
      <x:c r="G433" s="68" t="str">
        <x:v>Kinh</x:v>
      </x:c>
      <x:c r="H433" s="68" t="str">
        <x:v>Xa Phu6c Long</x:v>
      </x:c>
      <x:c r="I433" s="68" t="str">
        <x:v>THCS Phu6c Long</x:v>
      </x:c>
      <x:c r="J433" s="68" t="str">
        <x:v>Xa Phu6c Long</x:v>
      </x:c>
      <x:c r="K433" s="68" t="str">
        <x:v>31.8</x:v>
      </x:c>
      <x:c r="L433" s="68" t="str">
        <x:v>36</x:v>
      </x:c>
      <x:c r="M433" s="68" t="str"/>
      <x:c r="N433" s="68" t="str"/>
      <x:c r="O433" s="68" t="str">
        <x:v>67.8</x:v>
      </x:c>
      <x:c r="P433" s="68" t="str"/>
    </x:row>
    <x:row r="434">
      <x:c r="A434" s="106" t="n">
        <x:v>13</x:v>
      </x:c>
      <x:c r="B434" s="106" t="str">
        <x:v>433</x:v>
      </x:c>
      <x:c r="C434" s="167" t="str">
        <x:f>"0953 1 1007827"</x:f>
        <x:v>0953 1 1007827</x:v>
      </x:c>
      <x:c r="D434" s="68" t="str">
        <x:v>TRAN NGQC DAN THANH</x:v>
      </x:c>
      <x:c r="E434" s="68" t="str">
        <x:v>X</x:v>
      </x:c>
      <x:c r="F434" s="68" t="str">
        <x:v>14/12/2011</x:v>
      </x:c>
      <x:c r="G434" s="68" t="str">
        <x:v>Kinh</x:v>
      </x:c>
      <x:c r="H434" s="68" t="str">
        <x:v>Xa Phudc Long</x:v>
      </x:c>
      <x:c r="I434" s="68" t="str">
        <x:v>THCS Phu6c Long</x:v>
      </x:c>
      <x:c r="J434" s="68" t="str">
        <x:v>Xa Phu6c Long</x:v>
      </x:c>
      <x:c r="K434" s="68" t="str">
        <x:v>30.8</x:v>
      </x:c>
      <x:c r="L434" s="68" t="str">
        <x:v>37</x:v>
      </x:c>
      <x:c r="M434" s="68" t="str"/>
      <x:c r="N434" s="68" t="str"/>
      <x:c r="O434" s="68" t="str">
        <x:v>67.8</x:v>
      </x:c>
      <x:c r="P434" s="68" t="str"/>
    </x:row>
    <x:row r="435">
      <x:c r="A435" s="106" t="n">
        <x:v>13</x:v>
      </x:c>
      <x:c r="B435" s="106" t="str">
        <x:v>434</x:v>
      </x:c>
      <x:c r="C435" s="167" t="str">
        <x:f>"0953 1 1003465"</x:f>
        <x:v>0953 1 1003465</x:v>
      </x:c>
      <x:c r="D435" s="68" t="str">
        <x:v>NGUYEN CHAU TRA MY</x:v>
      </x:c>
      <x:c r="E435" s="68" t="str">
        <x:v>X</x:v>
      </x:c>
      <x:c r="F435" s="68" t="str">
        <x:v>22/05/2011</x:v>
      </x:c>
      <x:c r="G435" s="68" t="str">
        <x:v>Kinh</x:v>
      </x:c>
      <x:c r="H435" s="68" t="str">
        <x:v>Xa VTnh Thanh</x:v>
      </x:c>
      <x:c r="I435" s="68" t="str">
        <x:v>THCS Hung Phd</x:v>
      </x:c>
      <x:c r="J435" s="68" t="str">
        <x:v>Xa VTnh Thanh</x:v>
      </x:c>
      <x:c r="K435" s="68" t="str">
        <x:v>32.8</x:v>
      </x:c>
      <x:c r="L435" s="68" t="str">
        <x:v>35</x:v>
      </x:c>
      <x:c r="M435" s="68" t="str"/>
      <x:c r="N435" s="68" t="str"/>
      <x:c r="O435" s="68" t="str">
        <x:v>67.8</x:v>
      </x:c>
      <x:c r="P435" s="68" t="str"/>
    </x:row>
    <x:row r="436">
      <x:c r="A436" s="106" t="n">
        <x:v>13</x:v>
      </x:c>
      <x:c r="B436" s="106" t="str">
        <x:v>435</x:v>
      </x:c>
      <x:c r="C436" s="167" t="str">
        <x:f>"09531 1008994"</x:f>
        <x:v>09531 1008994</x:v>
      </x:c>
      <x:c r="D436" s="68" t="str">
        <x:v>CA NGQC DEEM</x:v>
      </x:c>
      <x:c r="E436" s="68" t="str">
        <x:v>X</x:v>
      </x:c>
      <x:c r="F436" s="68" t="str">
        <x:v>08/05/2011</x:v>
      </x:c>
      <x:c r="G436" s="68" t="str">
        <x:v>Kinh</x:v>
      </x:c>
      <x:c r="H436" s="68" t="str">
        <x:v>Xa Vmh Thanh</x:v>
      </x:c>
      <x:c r="I436" s="68" t="str">
        <x:v>THCS Hung Phd</x:v>
      </x:c>
      <x:c r="J436" s="68" t="str">
        <x:v>Xa Wnh Thanh</x:v>
      </x:c>
      <x:c r="K436" s="68" t="str">
        <x:v>31.8</x:v>
      </x:c>
      <x:c r="L436" s="68" t="str">
        <x:v>36</x:v>
      </x:c>
      <x:c r="M436" s="68" t="str"/>
      <x:c r="N436" s="68" t="str"/>
      <x:c r="O436" s="68" t="str">
        <x:v>67.8</x:v>
      </x:c>
      <x:c r="P436" s="68" t="str"/>
    </x:row>
    <x:row r="437">
      <x:c r="A437" s="106" t="n">
        <x:v>13</x:v>
      </x:c>
      <x:c r="B437" s="106" t="str">
        <x:v>436</x:v>
      </x:c>
      <x:c r="C437" s="167" t="str">
        <x:f>"095310003411"</x:f>
        <x:v>095310003411</x:v>
      </x:c>
      <x:c r="D437" s="68" t="str">
        <x:v>TRtlONGNGQC THAO</x:v>
      </x:c>
      <x:c r="E437" s="68" t="str">
        <x:v>X</x:v>
      </x:c>
      <x:c r="F437" s="68" t="str">
        <x:v>25/05/2010</x:v>
      </x:c>
      <x:c r="G437" s="68" t="str">
        <x:v>Kinh</x:v>
      </x:c>
      <x:c r="H437" s="68" t="str">
        <x:v>Xa Vinh Thanh</x:v>
      </x:c>
      <x:c r="I437" s="68" t="str">
        <x:v>THCS Hung Pha</x:v>
      </x:c>
      <x:c r="J437" s="68" t="str">
        <x:v>Xa Vinh Thanh</x:v>
      </x:c>
      <x:c r="K437" s="68" t="str">
        <x:v>31.8</x:v>
      </x:c>
      <x:c r="L437" s="68" t="str">
        <x:v>36</x:v>
      </x:c>
      <x:c r="M437" s="68" t="str"/>
      <x:c r="N437" s="68" t="str"/>
      <x:c r="O437" s="68" t="str">
        <x:v>67.8</x:v>
      </x:c>
      <x:c r="P437" s="68" t="str"/>
    </x:row>
    <x:row r="438">
      <x:c r="A438" s="106" t="n">
        <x:v>14</x:v>
      </x:c>
      <x:c r="B438" s="106" t="str">
        <x:v>437</x:v>
      </x:c>
      <x:c r="C438" s="167" t="str">
        <x:f>"0953 1 1001009"</x:f>
        <x:v>0953 1 1001009</x:v>
      </x:c>
      <x:c r="D438" s="68" t="str">
        <x:v>PHAN THI QUtNH NF{U'</x:v>
      </x:c>
      <x:c r="E438" s="68" t="str">
        <x:v>X</x:v>
      </x:c>
      <x:c r="F438" s="68" t="str">
        <x:v>08/0 1/2011</x:v>
      </x:c>
      <x:c r="G438" s="68" t="str">
        <x:v>Kinh</x:v>
      </x:c>
      <x:c r="H438" s="68" t="str">
        <x:v>Xa VTnh Thanh</x:v>
      </x:c>
      <x:c r="I438" s="68" t="str">
        <x:v>THCS VTnh Thanh</x:v>
      </x:c>
      <x:c r="J438" s="68" t="str">
        <x:v>Xa Vrnh Thanh</x:v>
      </x:c>
      <x:c r="K438" s="68" t="str">
        <x:v>30.8</x:v>
      </x:c>
      <x:c r="L438" s="68" t="str">
        <x:v>37</x:v>
      </x:c>
      <x:c r="M438" s="68" t="str"/>
      <x:c r="N438" s="68" t="str"/>
      <x:c r="O438" s="68" t="str">
        <x:v>67.8</x:v>
      </x:c>
      <x:c r="P438" s="68" t="str"/>
    </x:row>
    <x:row r="439">
      <x:c r="A439" s="106" t="n">
        <x:v>14</x:v>
      </x:c>
      <x:c r="B439" s="106" t="str">
        <x:v>438</x:v>
      </x:c>
      <x:c r="C439" s="167" t="str">
        <x:f>"09531 1003245"</x:f>
        <x:v>09531 1003245</x:v>
      </x:c>
      <x:c r="D439" s="68" t="str">
        <x:v>NGUY£N THI HUtNH HAN</x:v>
      </x:c>
      <x:c r="E439" s="68" t="str">
        <x:v>X</x:v>
      </x:c>
      <x:c r="F439" s="68" t="str">
        <x:v>29/05/20 11</x:v>
      </x:c>
      <x:c r="G439" s="68" t="str">
        <x:v>Kinh</x:v>
      </x:c>
      <x:c r="H439" s="68" t="str">
        <x:v>Xa Phu6c Long</x:v>
      </x:c>
      <x:c r="I439" s="68" t="str">
        <x:v>THCS Vuang Htru Nhan</x:v>
      </x:c>
      <x:c r="J439" s="68" t="str">
        <x:v>Xa Phu6c Long</x:v>
      </x:c>
      <x:c r="K439" s="68" t="str">
        <x:v>31.8</x:v>
      </x:c>
      <x:c r="L439" s="68" t="str">
        <x:v>36</x:v>
      </x:c>
      <x:c r="M439" s="68" t="str"/>
      <x:c r="N439" s="68" t="str"/>
      <x:c r="O439" s="68" t="str">
        <x:v>67.8</x:v>
      </x:c>
      <x:c r="P439" s="68" t="str"/>
    </x:row>
    <x:row r="440">
      <x:c r="A440" s="106" t="n">
        <x:v>14</x:v>
      </x:c>
      <x:c r="B440" s="106" t="str">
        <x:v>439</x:v>
      </x:c>
      <x:c r="C440" s="167" t="str">
        <x:f>"0953 1 1004928"</x:f>
        <x:v>0953 1 1004928</x:v>
      </x:c>
      <x:c r="D440" s="68" t="str">
        <x:v>NGUYEN cAM H[£N</x:v>
      </x:c>
      <x:c r="E440" s="68" t="str">
        <x:v>X</x:v>
      </x:c>
      <x:c r="F440" s="68" t="str">
        <x:v>26/06/201 1</x:v>
      </x:c>
      <x:c r="G440" s="68" t="str">
        <x:v>Kinh</x:v>
      </x:c>
      <x:c r="H440" s="68" t="str">
        <x:v>Xa Phu6c Long</x:v>
      </x:c>
      <x:c r="I440" s="68" t="str">
        <x:v>THCS Phudc Long</x:v>
      </x:c>
      <x:c r="J440" s="68" t="str">
        <x:v>Xa Phudc Long</x:v>
      </x:c>
      <x:c r="K440" s="68" t="str">
        <x:v>30.7</x:v>
      </x:c>
      <x:c r="L440" s="68" t="str">
        <x:v>37</x:v>
      </x:c>
      <x:c r="M440" s="68" t="str"/>
      <x:c r="N440" s="68" t="str"/>
      <x:c r="O440" s="68" t="str">
        <x:v>67.7</x:v>
      </x:c>
      <x:c r="P440" s="68" t="str"/>
    </x:row>
    <x:row r="441">
      <x:c r="A441" s="106" t="n">
        <x:v>14</x:v>
      </x:c>
      <x:c r="B441" s="106" t="str">
        <x:v>440</x:v>
      </x:c>
      <x:c r="C441" s="167" t="str">
        <x:f>"09531 1005907"</x:f>
        <x:v>09531 1005907</x:v>
      </x:c>
      <x:c r="D441" s="68" t="str">
        <x:v>SON H6NG NHa</x:v>
      </x:c>
      <x:c r="E441" s="68" t="str">
        <x:v>X</x:v>
      </x:c>
      <x:c r="F441" s="68" t="str">
        <x:v>08/1 1/2011</x:v>
      </x:c>
      <x:c r="G441" s="68" t="str">
        <x:v>Khmer I</x:v>
      </x:c>
      <x:c r="H441" s="68" t="str">
        <x:v>Xa Vinh Phudc</x:v>
      </x:c>
      <x:c r="I441" s="68" t="str">
        <x:v>THCS mnh Pha Tay</x:v>
      </x:c>
      <x:c r="J441" s="68" t="str">
        <x:v>Xa VTnh Phu6c</x:v>
      </x:c>
      <x:c r="K441" s="68" t="str">
        <x:v>30.7</x:v>
      </x:c>
      <x:c r="L441" s="68" t="str">
        <x:v>36</x:v>
      </x:c>
      <x:c r="M441" s="68" t="str">
        <x:v>1.0</x:v>
      </x:c>
      <x:c r="N441" s="68" t="str"/>
      <x:c r="O441" s="68" t="str">
        <x:v>67.7</x:v>
      </x:c>
      <x:c r="P441" s="68" t="str"/>
    </x:row>
    <x:row r="442">
      <x:c r="A442" s="106" t="n">
        <x:v>14</x:v>
      </x:c>
      <x:c r="B442" s="106" t="str">
        <x:v>441</x:v>
      </x:c>
      <x:c r="C442" s="167" t="str">
        <x:f>"09531 1005007"</x:f>
        <x:v>09531 1005007</x:v>
      </x:c>
      <x:c r="D442" s="68" t="str">
        <x:v>NGUyEN THI KIM CU'ONG</x:v>
      </x:c>
      <x:c r="E442" s="68" t="str">
        <x:v>X</x:v>
      </x:c>
      <x:c r="F442" s="68" t="str">
        <x:v>03/05/201 1</x:v>
      </x:c>
      <x:c r="G442" s="68" t="str">
        <x:v>Kinh</x:v>
      </x:c>
      <x:c r="H442" s="68" t="str">
        <x:v>Xa Phu6c Long</x:v>
      </x:c>
      <x:c r="I442" s="68" t="str">
        <x:v>THCS Hung Phi</x:v>
      </x:c>
      <x:c r="J442" s="68" t="str">
        <x:v>Xa VTnh Thanh</x:v>
      </x:c>
      <x:c r="K442" s="68" t="str">
        <x:v>30.7</x:v>
      </x:c>
      <x:c r="L442" s="68" t="str">
        <x:v>37</x:v>
      </x:c>
      <x:c r="M442" s="68" t="str"/>
      <x:c r="N442" s="68" t="str"/>
      <x:c r="O442" s="68" t="str">
        <x:v>67.7</x:v>
      </x:c>
      <x:c r="P442" s="68" t="str"/>
    </x:row>
    <x:row r="443">
      <x:c r="A443" s="106" t="n">
        <x:v>14</x:v>
      </x:c>
      <x:c r="B443" s="106" t="str">
        <x:v>442</x:v>
      </x:c>
      <x:c r="C443" s="167" t="str">
        <x:f>"083211006509"</x:f>
        <x:v>083211006509</x:v>
      </x:c>
      <x:c r="D443" s="68" t="str">
        <x:v>NGUYBN NHU’T -QUANG</x:v>
      </x:c>
      <x:c r="E443" s="68" t="str"/>
      <x:c r="F443" s="68" t="str">
        <x:v>02/05/2011</x:v>
      </x:c>
      <x:c r="G443" s="68" t="str">
        <x:v>Kinh</x:v>
      </x:c>
      <x:c r="H443" s="68" t="str">
        <x:v>Xa Vinh Thanh</x:v>
      </x:c>
      <x:c r="I443" s="68" t="str">
        <x:v>THCS Hung Phd</x:v>
      </x:c>
      <x:c r="J443" s="68" t="str">
        <x:v>Xa Wnh Thanh</x:v>
      </x:c>
      <x:c r="K443" s="68" t="str">
        <x:v>30.7</x:v>
      </x:c>
      <x:c r="L443" s="68" t="str">
        <x:v>37</x:v>
      </x:c>
      <x:c r="M443" s="68" t="str"/>
      <x:c r="N443" s="68" t="str"/>
      <x:c r="O443" s="68" t="str">
        <x:v>67.7</x:v>
      </x:c>
      <x:c r="P443" s="68" t="str"/>
    </x:row>
    <x:row r="444">
      <x:c r="A444" s="106" t="n">
        <x:v>14</x:v>
      </x:c>
      <x:c r="B444" s="106" t="str">
        <x:v>443</x:v>
      </x:c>
      <x:c r="C444" s="167" t="str">
        <x:f>"0953 1 1001552"</x:f>
        <x:v>0953 1 1001552</x:v>
      </x:c>
      <x:c r="D444" s="68" t="str">
        <x:v>LU'U THI BAO TRAN</x:v>
      </x:c>
      <x:c r="E444" s="68" t="str">
        <x:v>X</x:v>
      </x:c>
      <x:c r="F444" s="68" t="str">
        <x:v>13/08/201 1</x:v>
      </x:c>
      <x:c r="G444" s="68" t="str">
        <x:v>Kinh</x:v>
      </x:c>
      <x:c r="H444" s="68" t="str">
        <x:v>Xa Vinh Thanh</x:v>
      </x:c>
      <x:c r="I444" s="68" t="str">
        <x:v>THCS VTnh Thanh</x:v>
      </x:c>
      <x:c r="J444" s="68" t="str">
        <x:v>Xa Vinh Thanh</x:v>
      </x:c>
      <x:c r="K444" s="68" t="str">
        <x:v>30.7</x:v>
      </x:c>
      <x:c r="L444" s="68" t="str">
        <x:v>37</x:v>
      </x:c>
      <x:c r="M444" s="68" t="str"/>
      <x:c r="N444" s="68" t="str"/>
      <x:c r="O444" s="68" t="str">
        <x:v>67.7</x:v>
      </x:c>
      <x:c r="P444" s="68" t="str"/>
    </x:row>
    <x:row r="445">
      <x:c r="A445" s="106" t="n">
        <x:v>14</x:v>
      </x:c>
      <x:c r="B445" s="106" t="str">
        <x:v>444</x:v>
      </x:c>
      <x:c r="C445" s="167" t="str">
        <x:f>"095211009494"</x:f>
        <x:v>095211009494</x:v>
      </x:c>
      <x:c r="D445" s="68" t="str">
        <x:v>DOAN vAN LUAN</x:v>
      </x:c>
      <x:c r="E445" s="68" t="str"/>
      <x:c r="F445" s="68" t="str">
        <x:v>11/03/2011</x:v>
      </x:c>
      <x:c r="G445" s="68" t="str">
        <x:v>Kinh</x:v>
      </x:c>
      <x:c r="H445" s="68" t="str">
        <x:v>Xa Phu6c Long</x:v>
      </x:c>
      <x:c r="I445" s="68" t="str">
        <x:v>THCS Tmang Vinh KV</x:v>
      </x:c>
      <x:c r="J445" s="68" t="str">
        <x:v>Xa H6ng Dan</x:v>
      </x:c>
      <x:c r="K445" s="68" t="str">
        <x:v>31.7</x:v>
      </x:c>
      <x:c r="L445" s="68" t="str">
        <x:v>36</x:v>
      </x:c>
      <x:c r="M445" s="68" t="str"/>
      <x:c r="N445" s="68" t="str"/>
      <x:c r="O445" s="68" t="str">
        <x:v>67.7</x:v>
      </x:c>
      <x:c r="P445" s="68" t="str"/>
    </x:row>
    <x:row r="446">
      <x:c r="A446" s="106" t="n">
        <x:v>14</x:v>
      </x:c>
      <x:c r="B446" s="106" t="str">
        <x:v>445</x:v>
      </x:c>
      <x:c r="C446" s="167" t="str">
        <x:f>"09531 1001245"</x:f>
        <x:v>09531 1001245</x:v>
      </x:c>
      <x:c r="D446" s="68" t="str">
        <x:v>TRAN THI ANH THU</x:v>
      </x:c>
      <x:c r="E446" s="68" t="str">
        <x:v>X</x:v>
      </x:c>
      <x:c r="F446" s="68" t="str">
        <x:v>14/03/201 1</x:v>
      </x:c>
      <x:c r="G446" s="68" t="str">
        <x:v>Kinh</x:v>
      </x:c>
      <x:c r="H446" s="68" t="str">
        <x:v>Xa Phu6c Long</x:v>
      </x:c>
      <x:c r="I446" s="68" t="str">
        <x:v>THCS Vuang Hau Nhan</x:v>
      </x:c>
      <x:c r="J446" s="68" t="str">
        <x:v>Xa Phu6c Long</x:v>
      </x:c>
      <x:c r="K446" s="68" t="str">
        <x:v>31.7</x:v>
      </x:c>
      <x:c r="L446" s="68" t="str">
        <x:v>36</x:v>
      </x:c>
      <x:c r="M446" s="68" t="str"/>
      <x:c r="N446" s="68" t="str"/>
      <x:c r="O446" s="68" t="str">
        <x:v>67.7</x:v>
      </x:c>
      <x:c r="P446" s="68" t="str"/>
    </x:row>
    <x:row r="447">
      <x:c r="A447" s="106" t="n">
        <x:v>14</x:v>
      </x:c>
      <x:c r="B447" s="106" t="str">
        <x:v>446</x:v>
      </x:c>
      <x:c r="C447" s="167" t="str">
        <x:f>"096211011-593"</x:f>
        <x:v>096211011-593</x:v>
      </x:c>
      <x:c r="D447" s="68" t="str">
        <x:v>vAN MINH KH61</x:v>
      </x:c>
      <x:c r="E447" s="68" t="str"/>
      <x:c r="F447" s="68" t="str">
        <x:v>12/07/201 1</x:v>
      </x:c>
      <x:c r="G447" s="68" t="str">
        <x:v>Kinh</x:v>
      </x:c>
      <x:c r="H447" s="68" t="str">
        <x:v>Xa VTnh Thanh THCS</x:v>
      </x:c>
      <x:c r="I447" s="68" t="str">
        <x:v>Bac Li6u - Ninh Binh</x:v>
      </x:c>
      <x:c r="J447" s="68" t="str">
        <x:v>Phudng Boc Lieu</x:v>
      </x:c>
      <x:c r="K447" s="68" t="str">
        <x:v>31.7</x:v>
      </x:c>
      <x:c r="L447" s="68" t="str">
        <x:v>36</x:v>
      </x:c>
      <x:c r="M447" s="68" t="str"/>
      <x:c r="N447" s="68" t="str"/>
      <x:c r="O447" s="68" t="str">
        <x:v>67.7</x:v>
      </x:c>
      <x:c r="P447" s="68" t="str"/>
    </x:row>
    <x:row r="448">
      <x:c r="A448" s="106" t="n">
        <x:v>14</x:v>
      </x:c>
      <x:c r="B448" s="106" t="str">
        <x:v>447</x:v>
      </x:c>
      <x:c r="C448" s="167" t="str">
        <x:f>"0953 1 1009032"</x:f>
        <x:v>0953 1 1009032</x:v>
      </x:c>
      <x:c r="D448" s="68" t="str">
        <x:v>NG6 Mt A</x:v>
      </x:c>
      <x:c r="E448" s="68" t="str">
        <x:v>X</x:v>
      </x:c>
      <x:c r="F448" s="68" t="str">
        <x:v>20/04/201 1</x:v>
      </x:c>
      <x:c r="G448" s="68" t="str">
        <x:v>Kinh</x:v>
      </x:c>
      <x:c r="H448" s="68" t="str">
        <x:v>Xa Hang Dan</x:v>
      </x:c>
      <x:c r="I448" s="68" t="str">
        <x:v>THCS Nguy6n Du</x:v>
      </x:c>
      <x:c r="J448" s="68" t="str">
        <x:v>Xa H6ng Dan</x:v>
      </x:c>
      <x:c r="K448" s="68" t="str">
        <x:v>31.7</x:v>
      </x:c>
      <x:c r="L448" s="68" t="str">
        <x:v>36</x:v>
      </x:c>
      <x:c r="M448" s="68" t="str"/>
      <x:c r="N448" s="68" t="str"/>
      <x:c r="O448" s="68" t="str">
        <x:v>67.7</x:v>
      </x:c>
      <x:c r="P448" s="68" t="str"/>
    </x:row>
    <x:row r="449">
      <x:c r="A449" s="106" t="n">
        <x:v>14</x:v>
      </x:c>
      <x:c r="B449" s="106" t="str">
        <x:v>448</x:v>
      </x:c>
      <x:c r="C449" s="167" t="str">
        <x:f>"095211005591"</x:f>
        <x:v>095211005591</x:v>
      </x:c>
      <x:c r="D449" s="68" t="str">
        <x:v>str THANH MAI</x:v>
      </x:c>
      <x:c r="E449" s="68" t="str"/>
      <x:c r="F449" s="68" t="str">
        <x:v>06/1 1/2011</x:v>
      </x:c>
      <x:c r="G449" s="68" t="str">
        <x:v>Kinh</x:v>
      </x:c>
      <x:c r="H449" s="68" t="str">
        <x:v>Xa Vinh Phudc</x:v>
      </x:c>
      <x:c r="I449" s="68" t="str">
        <x:v>THCS Phu6c Long</x:v>
      </x:c>
      <x:c r="J449" s="68" t="str">
        <x:v>Xa Phudc Long</x:v>
      </x:c>
      <x:c r="K449" s="68" t="str">
        <x:v>30.7</x:v>
      </x:c>
      <x:c r="L449" s="68" t="str">
        <x:v>36</x:v>
      </x:c>
      <x:c r="M449" s="68" t="str">
        <x:v>1.0</x:v>
      </x:c>
      <x:c r="N449" s="68" t="str"/>
      <x:c r="O449" s="68" t="str">
        <x:v>67.7</x:v>
      </x:c>
      <x:c r="P449" s="68" t="str"/>
    </x:row>
    <x:row r="450">
      <x:c r="A450" s="106" t="n">
        <x:v>14</x:v>
      </x:c>
      <x:c r="B450" s="106" t="str">
        <x:v>449</x:v>
      </x:c>
      <x:c r="C450" s="167" t="str">
        <x:f>"09531 1005785"</x:f>
        <x:v>09531 1005785</x:v>
      </x:c>
      <x:c r="D450" s="68" t="str">
        <x:v>PHAM NGQC AI</x:v>
      </x:c>
      <x:c r="E450" s="68" t="str">
        <x:v>X</x:v>
      </x:c>
      <x:c r="F450" s="68" t="str">
        <x:v>27/05/2011</x:v>
      </x:c>
      <x:c r="G450" s="68" t="str">
        <x:v>Kinh</x:v>
      </x:c>
      <x:c r="H450" s="68" t="str">
        <x:v>Xa Vinh Thanh</x:v>
      </x:c>
      <x:c r="I450" s="68" t="str">
        <x:v>THCS Vinh Thanh</x:v>
      </x:c>
      <x:c r="J450" s="68" t="str">
        <x:v>Xa Frnh Thanh</x:v>
      </x:c>
      <x:c r="K450" s="68" t="str">
        <x:v>31.6</x:v>
      </x:c>
      <x:c r="L450" s="68" t="str">
        <x:v>36</x:v>
      </x:c>
      <x:c r="M450" s="68" t="str"/>
      <x:c r="N450" s="68" t="str"/>
      <x:c r="O450" s="68" t="str">
        <x:v>67.6</x:v>
      </x:c>
      <x:c r="P450" s="68" t="str"/>
    </x:row>
    <x:row r="451">
      <x:c r="A451" s="106" t="n">
        <x:v>14</x:v>
      </x:c>
      <x:c r="B451" s="106" t="str">
        <x:v>450</x:v>
      </x:c>
      <x:c r="C451" s="167" t="str">
        <x:f>"09521 1007583"</x:f>
        <x:v>09521 1007583</x:v>
      </x:c>
      <x:c r="D451" s="68" t="str">
        <x:v>FrUtNH PH(JC MAI</x:v>
      </x:c>
      <x:c r="E451" s="68" t="str"/>
      <x:c r="F451" s="68" t="str">
        <x:v>09/06/201 1</x:v>
      </x:c>
      <x:c r="G451" s="68" t="str">
        <x:v>Kinh</x:v>
      </x:c>
      <x:c r="H451" s="68" t="str">
        <x:v>Xa Phudc Long</x:v>
      </x:c>
      <x:c r="I451" s="68" t="str">
        <x:v>THCS Vuang Hau Nhon</x:v>
      </x:c>
      <x:c r="J451" s="68" t="str">
        <x:v>Xa Phu6c Long</x:v>
      </x:c>
      <x:c r="K451" s="68" t="str">
        <x:v>31.6</x:v>
      </x:c>
      <x:c r="L451" s="68" t="str">
        <x:v>36</x:v>
      </x:c>
      <x:c r="M451" s="68" t="str"/>
      <x:c r="N451" s="68" t="str"/>
      <x:c r="O451" s="68" t="str">
        <x:v>67.6</x:v>
      </x:c>
      <x:c r="P451" s="68" t="str"/>
    </x:row>
    <x:row r="452">
      <x:c r="A452" s="106" t="n">
        <x:v>14</x:v>
      </x:c>
      <x:c r="B452" s="106" t="str">
        <x:v>451</x:v>
      </x:c>
      <x:c r="C452" s="167" t="str">
        <x:f>"0953 1 1009772"</x:f>
        <x:v>0953 1 1009772</x:v>
      </x:c>
      <x:c r="D452" s="68" t="str">
        <x:v>L£ NGQC NHtJ V</x:v>
      </x:c>
      <x:c r="E452" s="68" t="str">
        <x:v>X</x:v>
      </x:c>
      <x:c r="F452" s="68" t="str">
        <x:v>a7/01/2011</x:v>
      </x:c>
      <x:c r="G452" s="68" t="str">
        <x:v>Kinh</x:v>
      </x:c>
      <x:c r="H452" s="68" t="str">
        <x:v>Xa Phu6c Long</x:v>
      </x:c>
      <x:c r="I452" s="68" t="str">
        <x:v>THCS Vuang Hau Nhan</x:v>
      </x:c>
      <x:c r="J452" s="68" t="str">
        <x:v>Xa Phu6c Long</x:v>
      </x:c>
      <x:c r="K452" s="68" t="str">
        <x:v>30.6</x:v>
      </x:c>
      <x:c r="L452" s="68" t="str">
        <x:v>37</x:v>
      </x:c>
      <x:c r="M452" s="68" t="str"/>
      <x:c r="N452" s="68" t="str"/>
      <x:c r="O452" s="68" t="str">
        <x:v>67.6</x:v>
      </x:c>
      <x:c r="P452" s="68" t="str"/>
    </x:row>
    <x:row r="453">
      <x:c r="A453" s="106" t="n">
        <x:v>14</x:v>
      </x:c>
      <x:c r="B453" s="106" t="str">
        <x:v>452</x:v>
      </x:c>
      <x:c r="C453" s="167" t="str">
        <x:f>"0953 1 1004084"</x:f>
        <x:v>0953 1 1004084</x:v>
      </x:c>
      <x:c r="D453" s="68" t="str">
        <x:v>H6 NGUY£N Mt TIEN</x:v>
      </x:c>
      <x:c r="E453" s="68" t="str">
        <x:v>X</x:v>
      </x:c>
      <x:c r="F453" s="68" t="str">
        <x:v>11/09/2011</x:v>
      </x:c>
      <x:c r="G453" s="68" t="str">
        <x:v>Kinh</x:v>
      </x:c>
      <x:c r="H453" s="68" t="str">
        <x:v>Xa Phu6c Long</x:v>
      </x:c>
      <x:c r="I453" s="68" t="str">
        <x:v>THCS Phu6c Long</x:v>
      </x:c>
      <x:c r="J453" s="68" t="str">
        <x:v>Xa Phu6c Long</x:v>
      </x:c>
      <x:c r="K453" s="68" t="str">
        <x:v>31.5</x:v>
      </x:c>
      <x:c r="L453" s="68" t="str">
        <x:v>36</x:v>
      </x:c>
      <x:c r="M453" s="68" t="str"/>
      <x:c r="N453" s="68" t="str"/>
      <x:c r="O453" s="68" t="str">
        <x:v>67.5</x:v>
      </x:c>
      <x:c r="P453" s="68" t="str"/>
    </x:row>
    <x:row r="454">
      <x:c r="A454" s="106" t="n">
        <x:v>14</x:v>
      </x:c>
      <x:c r="B454" s="106" t="str">
        <x:v>453</x:v>
      </x:c>
      <x:c r="C454" s="167" t="str">
        <x:f>"09521 1009658"</x:f>
        <x:v>09521 1009658</x:v>
      </x:c>
      <x:c r="D454" s="68" t="str">
        <x:v>DINH QU6C TRQNG</x:v>
      </x:c>
      <x:c r="E454" s="68" t="str"/>
      <x:c r="F454" s="68" t="str">
        <x:v>04/02/2011</x:v>
      </x:c>
      <x:c r="G454" s="68" t="str">
        <x:v>Kinh</x:v>
      </x:c>
      <x:c r="H454" s="68" t="str">
        <x:v>Xa Vinh phudc</x:v>
      </x:c>
      <x:c r="I454" s="68" t="str">
        <x:v>THCS Vinh Pha Tay</x:v>
      </x:c>
      <x:c r="J454" s="68" t="str">
        <x:v>Xa Wnh Phudc</x:v>
      </x:c>
      <x:c r="K454" s="68" t="str">
        <x:v>30.5</x:v>
      </x:c>
      <x:c r="L454" s="68" t="str">
        <x:v>36</x:v>
      </x:c>
      <x:c r="M454" s="68" t="str">
        <x:v>1.0</x:v>
      </x:c>
      <x:c r="N454" s="68" t="str"/>
      <x:c r="O454" s="68" t="str">
        <x:v>67.5</x:v>
      </x:c>
      <x:c r="P454" s="68" t="str"/>
    </x:row>
    <x:row r="455">
      <x:c r="A455" s="106" t="n">
        <x:v>14</x:v>
      </x:c>
      <x:c r="B455" s="106" t="str">
        <x:v>454</x:v>
      </x:c>
      <x:c r="C455" s="167" t="str">
        <x:f>"0953 10008254"</x:f>
        <x:v>0953 10008254</x:v>
      </x:c>
      <x:c r="D455" s="68" t="str">
        <x:v>DANH ANH THU</x:v>
      </x:c>
      <x:c r="E455" s="68" t="str">
        <x:v>X</x:v>
      </x:c>
      <x:c r="F455" s="68" t="str">
        <x:v>27/09/2010</x:v>
      </x:c>
      <x:c r="G455" s="68" t="str">
        <x:v>Khmer1</x:v>
      </x:c>
      <x:c r="H455" s="68" t="str">
        <x:v>Xa VTnh Phu6c</x:v>
      </x:c>
      <x:c r="I455" s="68" t="str">
        <x:v>THCS Vinh Pha Tay</x:v>
      </x:c>
      <x:c r="J455" s="68" t="str">
        <x:v>Xa Vinh phu6c</x:v>
      </x:c>
      <x:c r="K455" s="68" t="str">
        <x:v>30.5</x:v>
      </x:c>
      <x:c r="L455" s="68" t="str">
        <x:v>36</x:v>
      </x:c>
      <x:c r="M455" s="68" t="str">
        <x:v>1.0</x:v>
      </x:c>
      <x:c r="N455" s="68" t="str"/>
      <x:c r="O455" s="68" t="str">
        <x:v>67.5</x:v>
      </x:c>
      <x:c r="P455" s="68" t="str"/>
    </x:row>
    <x:row r="456">
      <x:c r="A456" s="106" t="n">
        <x:v>14</x:v>
      </x:c>
      <x:c r="B456" s="106" t="str">
        <x:v>455</x:v>
      </x:c>
      <x:c r="C456" s="167" t="str">
        <x:f>"0953 1 1007667"</x:f>
        <x:v>0953 1 1007667</x:v>
      </x:c>
      <x:c r="D456" s="68" t="str">
        <x:v>CAO AI NHAN</x:v>
      </x:c>
      <x:c r="E456" s="68" t="str">
        <x:v>X</x:v>
      </x:c>
      <x:c r="F456" s="68" t="str">
        <x:v>21/10/2011</x:v>
      </x:c>
      <x:c r="G456" s="68" t="str">
        <x:v>Kinh</x:v>
      </x:c>
      <x:c r="H456" s="68" t="str">
        <x:v>Xa Vinh Phudc</x:v>
      </x:c>
      <x:c r="I456" s="68" t="str">
        <x:v>THCS Wnh Pha Tay</x:v>
      </x:c>
      <x:c r="J456" s="68" t="str">
        <x:v>Xa VTnh phu6c</x:v>
      </x:c>
      <x:c r="K456" s="68" t="str">
        <x:v>30.5</x:v>
      </x:c>
      <x:c r="L456" s="68" t="str">
        <x:v>37</x:v>
      </x:c>
      <x:c r="M456" s="68" t="str"/>
      <x:c r="N456" s="68" t="str"/>
      <x:c r="O456" s="68" t="str">
        <x:v>67.5</x:v>
      </x:c>
      <x:c r="P456" s="68" t="str"/>
    </x:row>
    <x:row r="457">
      <x:c r="A457" s="106" t="n">
        <x:v>14</x:v>
      </x:c>
      <x:c r="B457" s="106" t="str">
        <x:v>456</x:v>
      </x:c>
      <x:c r="C457" s="167" t="str">
        <x:f>"09531 1002672"</x:f>
        <x:v>09531 1002672</x:v>
      </x:c>
      <x:c r="D457" s="68" t="str">
        <x:v>PHAM HUtNH THAO NGUYEN</x:v>
      </x:c>
      <x:c r="E457" s="68" t="str">
        <x:v>X</x:v>
      </x:c>
      <x:c r="F457" s="68" t="str">
        <x:v>23/12/2011</x:v>
      </x:c>
      <x:c r="G457" s="68" t="str">
        <x:v>Kinh</x:v>
      </x:c>
      <x:c r="H457" s="68" t="str">
        <x:v>Xa Vlnh Thanh</x:v>
      </x:c>
      <x:c r="I457" s="68" t="str">
        <x:v>THCS Hung Phd</x:v>
      </x:c>
      <x:c r="J457" s="68" t="str">
        <x:v>Xa Frnh Thanh</x:v>
      </x:c>
      <x:c r="K457" s="68" t="str">
        <x:v>31.5</x:v>
      </x:c>
      <x:c r="L457" s="68" t="str">
        <x:v>36</x:v>
      </x:c>
      <x:c r="M457" s="68" t="str"/>
      <x:c r="N457" s="68" t="str"/>
      <x:c r="O457" s="68" t="str">
        <x:v>67.5</x:v>
      </x:c>
      <x:c r="P457" s="68" t="str"/>
    </x:row>
    <x:row r="458">
      <x:c r="A458" s="106" t="n">
        <x:v>14</x:v>
      </x:c>
      <x:c r="B458" s="106" t="str">
        <x:v>457</x:v>
      </x:c>
      <x:c r="C458" s="167" t="str">
        <x:f>"09521 1003356"</x:f>
        <x:v>09521 1003356</x:v>
      </x:c>
      <x:c r="D458" s="68" t="str">
        <x:v>PRAM vAN TV</x:v>
      </x:c>
      <x:c r="E458" s="68" t="str"/>
      <x:c r="F458" s="68" t="str">
        <x:v>11/06/2011</x:v>
      </x:c>
      <x:c r="G458" s="68" t="str">
        <x:v>Kinh</x:v>
      </x:c>
      <x:c r="H458" s="68" t="str">
        <x:v>Xa H6ng Dan</x:v>
      </x:c>
      <x:c r="I458" s="68" t="str">
        <x:v>THCS Tmang VTnh KV</x:v>
      </x:c>
      <x:c r="J458" s="68" t="str">
        <x:v>Xa Hang Dan</x:v>
      </x:c>
      <x:c r="K458" s="68" t="str">
        <x:v>31.5</x:v>
      </x:c>
      <x:c r="L458" s="68" t="str">
        <x:v>36</x:v>
      </x:c>
      <x:c r="M458" s="68" t="str"/>
      <x:c r="N458" s="68" t="str"/>
      <x:c r="O458" s="68" t="str">
        <x:v>67.5</x:v>
      </x:c>
      <x:c r="P458" s="68" t="str"/>
    </x:row>
    <x:row r="459">
      <x:c r="A459" s="106" t="n">
        <x:v>14</x:v>
      </x:c>
      <x:c r="B459" s="106" t="str">
        <x:v>458</x:v>
      </x:c>
      <x:c r="C459" s="167" t="str">
        <x:f>"09521 1003705"</x:f>
        <x:v>09521 1003705</x:v>
      </x:c>
      <x:c r="D459" s="68" t="str">
        <x:v>L£ KHANH DUY</x:v>
      </x:c>
      <x:c r="E459" s="68" t="str"/>
      <x:c r="F459" s="68" t="str">
        <x:v>16/09/201 1</x:v>
      </x:c>
      <x:c r="G459" s="68" t="str">
        <x:v>Kinh</x:v>
      </x:c>
      <x:c r="H459" s="68" t="str">
        <x:v>Phudng Lang Tran THCS</x:v>
      </x:c>
      <x:c r="I459" s="68" t="str">
        <x:v>Phong Th4nh D6ng</x:v>
      </x:c>
      <x:c r="J459" s="68" t="str">
        <x:v>Phudng Lang Tran</x:v>
      </x:c>
      <x:c r="K459" s="68" t="str">
        <x:v>31.5</x:v>
      </x:c>
      <x:c r="L459" s="68" t="str">
        <x:v>36</x:v>
      </x:c>
      <x:c r="M459" s="68" t="str"/>
      <x:c r="N459" s="68" t="str"/>
      <x:c r="O459" s="68" t="str">
        <x:v>67.5</x:v>
      </x:c>
      <x:c r="P459" s="68" t="str"/>
    </x:row>
    <x:row r="460">
      <x:c r="A460" s="106" t="n">
        <x:v>14</x:v>
      </x:c>
      <x:c r="B460" s="106" t="str">
        <x:v>459</x:v>
      </x:c>
      <x:c r="C460" s="167" t="str">
        <x:f>"09521 1002691"</x:f>
        <x:v>09521 1002691</x:v>
      </x:c>
      <x:c r="D460" s="68" t="str">
        <x:v>TRAN TRi TUdNG</x:v>
      </x:c>
      <x:c r="E460" s="68" t="str"/>
      <x:c r="F460" s="68" t="str">
        <x:v>11 /04/2011</x:v>
      </x:c>
      <x:c r="G460" s="68" t="str">
        <x:v>Kinh</x:v>
      </x:c>
      <x:c r="H460" s="68" t="str">
        <x:v>Xa Vinh Thanh</x:v>
      </x:c>
      <x:c r="I460" s="68" t="str">
        <x:v>THCS Hung Pha</x:v>
      </x:c>
      <x:c r="J460" s="68" t="str">
        <x:v>Xa Vinh Thanh</x:v>
      </x:c>
      <x:c r="K460" s="68" t="str">
        <x:v>31.4</x:v>
      </x:c>
      <x:c r="L460" s="68" t="str">
        <x:v>36</x:v>
      </x:c>
      <x:c r="M460" s="68" t="str"/>
      <x:c r="N460" s="68" t="str"/>
      <x:c r="O460" s="68" t="str">
        <x:v>67.4</x:v>
      </x:c>
      <x:c r="P460" s="68" t="str"/>
    </x:row>
    <x:row r="461">
      <x:c r="A461" s="106" t="n">
        <x:v>14</x:v>
      </x:c>
      <x:c r="B461" s="106" t="str">
        <x:v>460</x:v>
      </x:c>
      <x:c r="C461" s="167" t="str">
        <x:f>"095311009154"</x:f>
        <x:v>095311009154</x:v>
      </x:c>
      <x:c r="D461" s="68" t="str">
        <x:v>LE KHA AI</x:v>
      </x:c>
      <x:c r="E461" s="68" t="str">
        <x:v>X</x:v>
      </x:c>
      <x:c r="F461" s="68" t="str">
        <x:v>27/1 1/2011</x:v>
      </x:c>
      <x:c r="G461" s="68" t="str">
        <x:v>Kinh</x:v>
      </x:c>
      <x:c r="H461" s="68" t="str">
        <x:v>Xa Phudc Long</x:v>
      </x:c>
      <x:c r="I461" s="68" t="str">
        <x:v>THCS Phudc Long</x:v>
      </x:c>
      <x:c r="J461" s="68" t="str">
        <x:v>Xa PhMc Long</x:v>
      </x:c>
      <x:c r="K461" s="68" t="str">
        <x:v>31.3</x:v>
      </x:c>
      <x:c r="L461" s="68" t="str">
        <x:v>36</x:v>
      </x:c>
      <x:c r="M461" s="68" t="str"/>
      <x:c r="N461" s="68" t="str"/>
      <x:c r="O461" s="68" t="str">
        <x:v>67.3</x:v>
      </x:c>
      <x:c r="P461" s="68" t="str"/>
    </x:row>
    <x:row r="462">
      <x:c r="A462" s="106" t="n">
        <x:v>14</x:v>
      </x:c>
      <x:c r="B462" s="106" t="str">
        <x:v>461</x:v>
      </x:c>
      <x:c r="C462" s="167" t="str">
        <x:f>"0953 1 1003984"</x:f>
        <x:v>0953 1 1003984</x:v>
      </x:c>
      <x:c r="D462" s="68" t="str">
        <x:v>NGUyEN HUtNH NHU t</x:v>
      </x:c>
      <x:c r="E462" s="68" t="str">
        <x:v>X</x:v>
      </x:c>
      <x:c r="F462" s="68" t="str">
        <x:v>12/1 1/2011</x:v>
      </x:c>
      <x:c r="G462" s="68" t="str">
        <x:v>Kinh</x:v>
      </x:c>
      <x:c r="H462" s="68" t="str">
        <x:v>Xa Vinh Thanh</x:v>
      </x:c>
      <x:c r="I462" s="68" t="str">
        <x:v>THCS Hung Phi</x:v>
      </x:c>
      <x:c r="J462" s="68" t="str">
        <x:v>Xa Vrnh Thanh</x:v>
      </x:c>
      <x:c r="K462" s="68" t="str">
        <x:v>30.3</x:v>
      </x:c>
      <x:c r="L462" s="68" t="str">
        <x:v>37</x:v>
      </x:c>
      <x:c r="M462" s="68" t="str"/>
      <x:c r="N462" s="68" t="str"/>
      <x:c r="O462" s="68" t="str">
        <x:v>67.3</x:v>
      </x:c>
      <x:c r="P462" s="68" t="str"/>
    </x:row>
    <x:row r="463">
      <x:c r="A463" s="106" t="n">
        <x:v>14</x:v>
      </x:c>
      <x:c r="B463" s="106" t="str">
        <x:v>462</x:v>
      </x:c>
      <x:c r="C463" s="167" t="str">
        <x:f>"0953 1 1004160"</x:f>
        <x:v>0953 1 1004160</x:v>
      </x:c>
      <x:c r="D463" s="68" t="str">
        <x:v>Lt THI KHA AI</x:v>
      </x:c>
      <x:c r="E463" s="68" t="str">
        <x:v>X</x:v>
      </x:c>
      <x:c r="F463" s="68" t="str">
        <x:v>26/12/2011</x:v>
      </x:c>
      <x:c r="G463" s="68" t="str">
        <x:v>Kinh</x:v>
      </x:c>
      <x:c r="H463" s="68" t="str">
        <x:v>Xa Wrnh Thanh</x:v>
      </x:c>
      <x:c r="I463" s="68" t="str">
        <x:v>THCS Hung Phd</x:v>
      </x:c>
      <x:c r="J463" s="68" t="str">
        <x:v>Xa Vinh Thanh</x:v>
      </x:c>
      <x:c r="K463" s="68" t="str">
        <x:v>31.3</x:v>
      </x:c>
      <x:c r="L463" s="68" t="str">
        <x:v>36</x:v>
      </x:c>
      <x:c r="M463" s="68" t="str"/>
      <x:c r="N463" s="68" t="str"/>
      <x:c r="O463" s="68" t="str">
        <x:v>67.3</x:v>
      </x:c>
      <x:c r="P463" s="68" t="str"/>
    </x:row>
    <x:row r="464">
      <x:c r="A464" s="106" t="n">
        <x:v>14</x:v>
      </x:c>
      <x:c r="B464" s="106" t="str">
        <x:v>463</x:v>
      </x:c>
      <x:c r="C464" s="167" t="str">
        <x:f>"0953 1 1002113"</x:f>
        <x:v>0953 1 1002113</x:v>
      </x:c>
      <x:c r="D464" s="68" t="str">
        <x:v>NGUYEN THI KHANH BANG</x:v>
      </x:c>
      <x:c r="E464" s="68" t="str">
        <x:v>X</x:v>
      </x:c>
      <x:c r="F464" s="68" t="str">
        <x:v>01/12/2011</x:v>
      </x:c>
      <x:c r="G464" s="68" t="str">
        <x:v>Kinh</x:v>
      </x:c>
      <x:c r="H464" s="68" t="str">
        <x:v>Xa Wnh Thanh</x:v>
      </x:c>
      <x:c r="I464" s="68" t="str">
        <x:v>THCS Hung Phd</x:v>
      </x:c>
      <x:c r="J464" s="68" t="str">
        <x:v>Xa Wmh Thanh</x:v>
      </x:c>
      <x:c r="K464" s="68" t="str">
        <x:v>31.3</x:v>
      </x:c>
      <x:c r="L464" s="68" t="str">
        <x:v>36</x:v>
      </x:c>
      <x:c r="M464" s="68" t="str"/>
      <x:c r="N464" s="68" t="str"/>
      <x:c r="O464" s="68" t="str">
        <x:v>67.3</x:v>
      </x:c>
      <x:c r="P464" s="68" t="str"/>
    </x:row>
    <x:row r="465">
      <x:c r="A465" s="106" t="n">
        <x:v>14</x:v>
      </x:c>
      <x:c r="B465" s="106" t="str">
        <x:v>464</x:v>
      </x:c>
      <x:c r="C465" s="167" t="str">
        <x:f>"095211006168"</x:f>
        <x:v>095211006168</x:v>
      </x:c>
      <x:c r="D465" s="68" t="str">
        <x:v>DANH CHi HAO</x:v>
      </x:c>
      <x:c r="E465" s="68" t="str"/>
      <x:c r="F465" s="68" t="str">
        <x:v>11/12/2011</x:v>
      </x:c>
      <x:c r="G465" s="68" t="str">
        <x:v>Khmer Xa</x:v>
      </x:c>
      <x:c r="H465" s="68" t="str">
        <x:v>Ninh Th@nh L(,ri</x:v>
      </x:c>
      <x:c r="I465" s="68" t="str">
        <x:v>THCS Phu6c Long</x:v>
      </x:c>
      <x:c r="J465" s="68" t="str">
        <x:v>Xa Vinh Phu6c</x:v>
      </x:c>
      <x:c r="K465" s="68" t="str">
        <x:v>30.3</x:v>
      </x:c>
      <x:c r="L465" s="68" t="str">
        <x:v>36</x:v>
      </x:c>
      <x:c r="M465" s="68" t="str">
        <x:v>1.0</x:v>
      </x:c>
      <x:c r="N465" s="68" t="str"/>
      <x:c r="O465" s="68" t="str">
        <x:v>67.3</x:v>
      </x:c>
      <x:c r="P465" s="68" t="str"/>
    </x:row>
    <x:row r="466">
      <x:c r="A466" s="106" t="n">
        <x:v>14</x:v>
      </x:c>
      <x:c r="B466" s="106" t="str">
        <x:v>465</x:v>
      </x:c>
      <x:c r="C466" s="167" t="str">
        <x:f>"0953 1 1002094"</x:f>
        <x:v>0953 1 1002094</x:v>
      </x:c>
      <x:c r="D466" s="68" t="str">
        <x:v>PHAM KIM NGQC</x:v>
      </x:c>
      <x:c r="E466" s="68" t="str">
        <x:v>X</x:v>
      </x:c>
      <x:c r="F466" s="68" t="str">
        <x:v>07/03/2011</x:v>
      </x:c>
      <x:c r="G466" s="68" t="str">
        <x:v>Kinh</x:v>
      </x:c>
      <x:c r="H466" s="68" t="str">
        <x:v>Xa Phu6c Long</x:v>
      </x:c>
      <x:c r="I466" s="68" t="str">
        <x:v>THCS Vuang Hfru Nhan</x:v>
      </x:c>
      <x:c r="J466" s="68" t="str">
        <x:v>Xa Phu6c Long</x:v>
      </x:c>
      <x:c r="K466" s="68" t="str">
        <x:v>3 1 .3</x:v>
      </x:c>
      <x:c r="L466" s="68" t="str">
        <x:v>36</x:v>
      </x:c>
      <x:c r="M466" s="68" t="str"/>
      <x:c r="N466" s="68" t="str"/>
      <x:c r="O466" s="68" t="str">
        <x:v>67.3</x:v>
      </x:c>
      <x:c r="P466" s="68" t="str"/>
    </x:row>
    <x:row r="467">
      <x:c r="A467" s="106" t="n">
        <x:v>14</x:v>
      </x:c>
      <x:c r="B467" s="106" t="str">
        <x:v>466</x:v>
      </x:c>
      <x:c r="C467" s="167" t="str">
        <x:f>"095211005991"</x:f>
        <x:v>095211005991</x:v>
      </x:c>
      <x:c r="D467" s="68" t="str">
        <x:v>DU'ONG MINH KnANG</x:v>
      </x:c>
      <x:c r="E467" s="68" t="str"/>
      <x:c r="F467" s="68" t="str">
        <x:v>18/1 1/2011</x:v>
      </x:c>
      <x:c r="G467" s="68" t="str">
        <x:v>Kinh</x:v>
      </x:c>
      <x:c r="H467" s="68" t="str">
        <x:v>Xa Phudc Long</x:v>
      </x:c>
      <x:c r="I467" s="68" t="str">
        <x:v>THCS Phu6c Long</x:v>
      </x:c>
      <x:c r="J467" s="68" t="str">
        <x:v>Xa Phu6c Long</x:v>
      </x:c>
      <x:c r="K467" s="68" t="str">
        <x:v>31.2</x:v>
      </x:c>
      <x:c r="L467" s="68" t="str">
        <x:v>36</x:v>
      </x:c>
      <x:c r="M467" s="68" t="str"/>
      <x:c r="N467" s="68" t="str"/>
      <x:c r="O467" s="68" t="str">
        <x:v>67.2</x:v>
      </x:c>
      <x:c r="P467" s="68" t="str"/>
    </x:row>
    <x:row r="468">
      <x:c r="A468" s="106" t="n">
        <x:v>14</x:v>
      </x:c>
      <x:c r="B468" s="106" t="str">
        <x:v>467</x:v>
      </x:c>
      <x:c r="C468" s="167" t="str">
        <x:f>"095311001086"</x:f>
        <x:v>095311001086</x:v>
      </x:c>
      <x:c r="D468" s="68" t="str">
        <x:v>NGUyEN THI KIM NHa</x:v>
      </x:c>
      <x:c r="E468" s="68" t="str">
        <x:v>X</x:v>
      </x:c>
      <x:c r="F468" s="68" t="str">
        <x:v>18/10/2011</x:v>
      </x:c>
      <x:c r="G468" s="68" t="str">
        <x:v>Kinh</x:v>
      </x:c>
      <x:c r="H468" s="68" t="str">
        <x:v>Xa Phu6c Long</x:v>
      </x:c>
      <x:c r="I468" s="68" t="str">
        <x:v>THCS Phudc Long</x:v>
      </x:c>
      <x:c r="J468" s="68" t="str">
        <x:v>Xa Phudc Long</x:v>
      </x:c>
      <x:c r="K468" s="68" t="str">
        <x:v>31.2</x:v>
      </x:c>
      <x:c r="L468" s="68" t="str">
        <x:v>36</x:v>
      </x:c>
      <x:c r="M468" s="68" t="str"/>
      <x:c r="N468" s="68" t="str"/>
      <x:c r="O468" s="68" t="str">
        <x:v>67.2</x:v>
      </x:c>
      <x:c r="P468" s="68" t="str"/>
    </x:row>
    <x:row r="469">
      <x:c r="A469" s="106" t="n">
        <x:v>14</x:v>
      </x:c>
      <x:c r="B469" s="106" t="str">
        <x:v>468</x:v>
      </x:c>
      <x:c r="C469" s="167" t="str">
        <x:f>"095211008610"</x:f>
        <x:v>095211008610</x:v>
      </x:c>
      <x:c r="D469" s="68" t="str">
        <x:v>NGUYEN vAN BEEN</x:v>
      </x:c>
      <x:c r="E469" s="68" t="str"/>
      <x:c r="F469" s="68" t="str">
        <x:v>09/04/2011</x:v>
      </x:c>
      <x:c r="G469" s="68" t="str">
        <x:v>Kinh</x:v>
      </x:c>
      <x:c r="H469" s="68" t="str">
        <x:v>Xa Frnh Phudc</x:v>
      </x:c>
      <x:c r="I469" s="68" t="str">
        <x:v>THCS Wnh Pha Tay</x:v>
      </x:c>
      <x:c r="J469" s="68" t="str">
        <x:v>Xa Vrnh Phu6c</x:v>
      </x:c>
      <x:c r="K469" s="68" t="str">
        <x:v>31.2</x:v>
      </x:c>
      <x:c r="L469" s="68" t="str">
        <x:v>36</x:v>
      </x:c>
      <x:c r="M469" s="68" t="str"/>
      <x:c r="N469" s="68" t="str"/>
      <x:c r="O469" s="68" t="str">
        <x:v>67.2</x:v>
      </x:c>
      <x:c r="P469" s="68" t="str"/>
    </x:row>
    <x:row r="470">
      <x:c r="A470" s="106" t="n">
        <x:v>14</x:v>
      </x:c>
      <x:c r="B470" s="106" t="str">
        <x:v>469</x:v>
      </x:c>
      <x:c r="C470" s="167" t="str">
        <x:f>"09521 1010024"</x:f>
        <x:v>09521 1010024</x:v>
      </x:c>
      <x:c r="D470" s="68" t="str">
        <x:v>LI QU6C VINH</x:v>
      </x:c>
      <x:c r="E470" s="68" t="str"/>
      <x:c r="F470" s="68" t="str">
        <x:v>17/04/201 1</x:v>
      </x:c>
      <x:c r="G470" s="68" t="str">
        <x:v>Kinh</x:v>
      </x:c>
      <x:c r="H470" s="68" t="str">
        <x:v>Xa Vinh Thanh</x:v>
      </x:c>
      <x:c r="I470" s="68" t="str">
        <x:v>THCS Hung Phd</x:v>
      </x:c>
      <x:c r="J470" s="68" t="str">
        <x:v>Xa Vinh Thanh</x:v>
      </x:c>
      <x:c r="K470" s="68" t="str">
        <x:v>31.2</x:v>
      </x:c>
      <x:c r="L470" s="68" t="str">
        <x:v>36</x:v>
      </x:c>
      <x:c r="M470" s="68" t="str"/>
      <x:c r="N470" s="68" t="str"/>
      <x:c r="O470" s="68" t="str">
        <x:v>67.2</x:v>
      </x:c>
      <x:c r="P470" s="68" t="str"/>
    </x:row>
    <x:row r="471">
      <x:c r="A471" s="106" t="n">
        <x:v>14</x:v>
      </x:c>
      <x:c r="B471" s="106" t="str">
        <x:v>470</x:v>
      </x:c>
      <x:c r="C471" s="167" t="str">
        <x:f>"09531 1006110"</x:f>
        <x:v>09531 1006110</x:v>
      </x:c>
      <x:c r="D471" s="68" t="str">
        <x:v>LE BAO NGQC</x:v>
      </x:c>
      <x:c r="E471" s="68" t="str">
        <x:v>X</x:v>
      </x:c>
      <x:c r="F471" s="68" t="str">
        <x:v>13/08/2011</x:v>
      </x:c>
      <x:c r="G471" s="68" t="str">
        <x:v>Kinh</x:v>
      </x:c>
      <x:c r="H471" s="68" t="str">
        <x:v>Xa Vmh Thanh</x:v>
      </x:c>
      <x:c r="I471" s="68" t="str">
        <x:v>THCS WmI1 Thanh</x:v>
      </x:c>
      <x:c r="J471" s="68" t="str">
        <x:v>Xa Vmh Thanh</x:v>
      </x:c>
      <x:c r="K471" s="68" t="str">
        <x:v>31.2</x:v>
      </x:c>
      <x:c r="L471" s="68" t="str">
        <x:v>36</x:v>
      </x:c>
      <x:c r="M471" s="68" t="str"/>
      <x:c r="N471" s="68" t="str"/>
      <x:c r="O471" s="68" t="str">
        <x:v>67.2</x:v>
      </x:c>
      <x:c r="P471" s="68" t="str"/>
    </x:row>
    <x:row r="472">
      <x:c r="A472" s="106" t="n">
        <x:v>15</x:v>
      </x:c>
      <x:c r="B472" s="106" t="str">
        <x:v>471</x:v>
      </x:c>
      <x:c r="C472" s="167" t="str">
        <x:f>"09521 1000453"</x:f>
        <x:v>09521 1000453</x:v>
      </x:c>
      <x:c r="D472" s="68" t="str">
        <x:v>NGUYBN LE MANH</x:v>
      </x:c>
      <x:c r="E472" s="68" t="str"/>
      <x:c r="F472" s="68" t="str">
        <x:v>23/09/201 1</x:v>
      </x:c>
      <x:c r="G472" s="68" t="str">
        <x:v>Kinh</x:v>
      </x:c>
      <x:c r="H472" s="68" t="str">
        <x:v>Xa H6ng Dan</x:v>
      </x:c>
      <x:c r="I472" s="68" t="str">
        <x:v>THCS Tnrang VTnh KV</x:v>
      </x:c>
      <x:c r="J472" s="68" t="str">
        <x:v>Xa H6ng Dan</x:v>
      </x:c>
      <x:c r="K472" s="68" t="str">
        <x:v>31.2</x:v>
      </x:c>
      <x:c r="L472" s="68" t="str">
        <x:v>36</x:v>
      </x:c>
      <x:c r="M472" s="68" t="str"/>
      <x:c r="N472" s="68" t="str"/>
      <x:c r="O472" s="68" t="str">
        <x:v>67.2</x:v>
      </x:c>
      <x:c r="P472" s="68" t="str"/>
    </x:row>
    <x:row r="473">
      <x:c r="A473" s="106" t="n">
        <x:v>15</x:v>
      </x:c>
      <x:c r="B473" s="106" t="str">
        <x:v>472</x:v>
      </x:c>
      <x:c r="C473" s="167" t="str">
        <x:f>"09531 1000230"</x:f>
        <x:v>09531 1000230</x:v>
      </x:c>
      <x:c r="D473" s="68" t="str">
        <x:v>TRAN THI UUtNH NHU</x:v>
      </x:c>
      <x:c r="E473" s="68" t="str">
        <x:v>X</x:v>
      </x:c>
      <x:c r="F473" s="68" t="str">
        <x:v>29/04/201 1</x:v>
      </x:c>
      <x:c r="G473" s="68" t="str">
        <x:v>Kinh</x:v>
      </x:c>
      <x:c r="H473" s="68" t="str">
        <x:v>Xa Phu6c Long</x:v>
      </x:c>
      <x:c r="I473" s="68" t="str">
        <x:v>THCS Vuang Hall Nhan</x:v>
      </x:c>
      <x:c r="J473" s="68" t="str">
        <x:v>Xa Phu6c Long</x:v>
      </x:c>
      <x:c r="K473" s="68" t="str">
        <x:v>31.2</x:v>
      </x:c>
      <x:c r="L473" s="68" t="str">
        <x:v>36</x:v>
      </x:c>
      <x:c r="M473" s="68" t="str"/>
      <x:c r="N473" s="68" t="str"/>
      <x:c r="O473" s="68" t="str">
        <x:v>67.2</x:v>
      </x:c>
      <x:c r="P473" s="68" t="str"/>
    </x:row>
    <x:row r="474">
      <x:c r="A474" s="106" t="n">
        <x:v>15</x:v>
      </x:c>
      <x:c r="B474" s="106" t="str">
        <x:v>473</x:v>
      </x:c>
      <x:c r="C474" s="167" t="str">
        <x:f>"09521 1002148"</x:f>
        <x:v>09521 1002148</x:v>
      </x:c>
      <x:c r="D474" s="68" t="str">
        <x:v>NGUYEN VIET BAC</x:v>
      </x:c>
      <x:c r="E474" s="68" t="str"/>
      <x:c r="F474" s="68" t="str">
        <x:v>10/06/2011</x:v>
      </x:c>
      <x:c r="G474" s="68" t="str">
        <x:v>Kinh</x:v>
      </x:c>
      <x:c r="H474" s="68" t="str">
        <x:v>Xa Phu6c Long</x:v>
      </x:c>
      <x:c r="I474" s="68" t="str">
        <x:v>THCS Vuang H&amp;u Nhan</x:v>
      </x:c>
      <x:c r="J474" s="68" t="str">
        <x:v>Xa Phu6c Long</x:v>
      </x:c>
      <x:c r="K474" s="68" t="str">
        <x:v>31.2</x:v>
      </x:c>
      <x:c r="L474" s="68" t="str">
        <x:v>36</x:v>
      </x:c>
      <x:c r="M474" s="68" t="str"/>
      <x:c r="N474" s="68" t="str"/>
      <x:c r="O474" s="68" t="str">
        <x:v>67.2</x:v>
      </x:c>
      <x:c r="P474" s="68" t="str"/>
    </x:row>
    <x:row r="475">
      <x:c r="A475" s="106" t="n">
        <x:v>15</x:v>
      </x:c>
      <x:c r="B475" s="106" t="str">
        <x:v>474</x:v>
      </x:c>
      <x:c r="C475" s="167" t="str">
        <x:f>"09521 1007742"</x:f>
        <x:v>09521 1007742</x:v>
      </x:c>
      <x:c r="D475" s="68" t="str">
        <x:v>HUtNH MINH TRi</x:v>
      </x:c>
      <x:c r="E475" s="68" t="str"/>
      <x:c r="F475" s="68" t="str">
        <x:v>06/10/2011</x:v>
      </x:c>
      <x:c r="G475" s="68" t="str">
        <x:v>Kinh</x:v>
      </x:c>
      <x:c r="H475" s="68" t="str">
        <x:v>Xa Vinh Phu(ic</x:v>
      </x:c>
      <x:c r="I475" s="68" t="str">
        <x:v>THCS Wnh Pha Tay</x:v>
      </x:c>
      <x:c r="J475" s="68" t="str">
        <x:v>Xa VTnh Phu6c</x:v>
      </x:c>
      <x:c r="K475" s="68" t="str">
        <x:v>31.1</x:v>
      </x:c>
      <x:c r="L475" s="68" t="str">
        <x:v>36</x:v>
      </x:c>
      <x:c r="M475" s="68" t="str"/>
      <x:c r="N475" s="68" t="str"/>
      <x:c r="O475" s="68" t="str">
        <x:v>67.1</x:v>
      </x:c>
      <x:c r="P475" s="68" t="str"/>
    </x:row>
    <x:row r="476">
      <x:c r="A476" s="106" t="n">
        <x:v>15</x:v>
      </x:c>
      <x:c r="B476" s="106" t="str">
        <x:v>475</x:v>
      </x:c>
      <x:c r="C476" s="167" t="str">
        <x:f>"09531 1003585"</x:f>
        <x:v>09531 1003585</x:v>
      </x:c>
      <x:c r="D476" s="68" t="str">
        <x:v>PHAM THeY NHU</x:v>
      </x:c>
      <x:c r="E476" s="68" t="str">
        <x:v>X</x:v>
      </x:c>
      <x:c r="F476" s="68" t="str">
        <x:v>31/10/201 1</x:v>
      </x:c>
      <x:c r="G476" s="68" t="str">
        <x:v>Kinh</x:v>
      </x:c>
      <x:c r="H476" s="68" t="str">
        <x:v>Xa VTnh Thanh</x:v>
      </x:c>
      <x:c r="I476" s="68" t="str">
        <x:v>THCS Hung Phi</x:v>
      </x:c>
      <x:c r="J476" s="68" t="str">
        <x:v>Xa VTnh Thanh</x:v>
      </x:c>
      <x:c r="K476" s="68" t="str">
        <x:v>30.1</x:v>
      </x:c>
      <x:c r="L476" s="68" t="str">
        <x:v>37</x:v>
      </x:c>
      <x:c r="M476" s="68" t="str"/>
      <x:c r="N476" s="68" t="str"/>
      <x:c r="O476" s="68" t="str">
        <x:v>67. 1</x:v>
      </x:c>
      <x:c r="P476" s="68" t="str"/>
    </x:row>
    <x:row r="477">
      <x:c r="A477" s="106" t="n">
        <x:v>15</x:v>
      </x:c>
      <x:c r="B477" s="106" t="str">
        <x:v>476</x:v>
      </x:c>
      <x:c r="C477" s="167" t="str">
        <x:f>"09521 1005999"</x:f>
        <x:v>09521 1005999</x:v>
      </x:c>
      <x:c r="D477" s="68" t="str">
        <x:v>NGO TaU LONG</x:v>
      </x:c>
      <x:c r="E477" s="68" t="str"/>
      <x:c r="F477" s="68" t="str">
        <x:v>14/03/201 1</x:v>
      </x:c>
      <x:c r="G477" s="68" t="str">
        <x:v>Kinh</x:v>
      </x:c>
      <x:c r="H477" s="68" t="str">
        <x:v>Xa Vmh Thanh THCS</x:v>
      </x:c>
      <x:c r="I477" s="68" t="str">
        <x:v>Phong Thgnh D6ng</x:v>
      </x:c>
      <x:c r="J477" s="68" t="str">
        <x:v>Phudng Lang Tran</x:v>
      </x:c>
      <x:c r="K477" s="68" t="str">
        <x:v>31.1</x:v>
      </x:c>
      <x:c r="L477" s="68" t="str">
        <x:v>36</x:v>
      </x:c>
      <x:c r="M477" s="68" t="str"/>
      <x:c r="N477" s="68" t="str"/>
      <x:c r="O477" s="68" t="str">
        <x:v>67. 1</x:v>
      </x:c>
      <x:c r="P477" s="68" t="str"/>
    </x:row>
    <x:row r="478">
      <x:c r="A478" s="106" t="n">
        <x:v>15</x:v>
      </x:c>
      <x:c r="B478" s="106" t="str">
        <x:v>477</x:v>
      </x:c>
      <x:c r="C478" s="167" t="str">
        <x:f>"0793 1 1048100"</x:f>
        <x:v>0793 1 1048100</x:v>
      </x:c>
      <x:c r="D478" s="68" t="str">
        <x:v>PHAN NGUYEN ANH VY</x:v>
      </x:c>
      <x:c r="E478" s="68" t="str">
        <x:v>X</x:v>
      </x:c>
      <x:c r="F478" s="68" t="str">
        <x:v>04/01/2011 I</x:v>
      </x:c>
      <x:c r="G478" s="68" t="str">
        <x:v>Kinh I</x:v>
      </x:c>
      <x:c r="H478" s="68" t="str">
        <x:v>Xa Xa Phu6c Phu a Long Long I</x:v>
      </x:c>
      <x:c r="I478" s="68" t="str">
        <x:v>TI–ICS THCS Phudc Phudc Long Long I</x:v>
      </x:c>
      <x:c r="J478" s="68" t="str">
        <x:v>Xa Phu6c Long</x:v>
      </x:c>
      <x:c r="K478" s="68" t="str">
        <x:v>29.4</x:v>
      </x:c>
      <x:c r="L478" s="68" t="str">
        <x:v>36</x:v>
      </x:c>
      <x:c r="M478" s="68" t="str"/>
      <x:c r="N478" s="68" t="str">
        <x:v>1.5</x:v>
      </x:c>
      <x:c r="O478" s="68" t="str">
        <x:v>66.9</x:v>
      </x:c>
      <x:c r="P478" s="68" t="str"/>
    </x:row>
    <x:row r="479">
      <x:c r="A479" s="106" t="n">
        <x:v>15</x:v>
      </x:c>
      <x:c r="B479" s="106" t="str">
        <x:v>478</x:v>
      </x:c>
      <x:c r="C479" s="167" t="str">
        <x:f>"09521 1010007"</x:f>
        <x:v>09521 1010007</x:v>
      </x:c>
      <x:c r="D479" s="68" t="str">
        <x:v>TRAN vAN KHANG</x:v>
      </x:c>
      <x:c r="E479" s="68" t="str"/>
      <x:c r="F479" s="68" t="str">
        <x:v>15/02/2011</x:v>
      </x:c>
      <x:c r="G479" s="68" t="str">
        <x:v>Kinh</x:v>
      </x:c>
      <x:c r="H479" s="68" t="str">
        <x:v>Xa VTnh Phu6c</x:v>
      </x:c>
      <x:c r="I479" s="68" t="str">
        <x:v>THCS Phu6c Long</x:v>
      </x:c>
      <x:c r="J479" s="68" t="str">
        <x:v>Xa VTnh phu6c</x:v>
      </x:c>
      <x:c r="K479" s="68" t="str">
        <x:v>31.9</x:v>
      </x:c>
      <x:c r="L479" s="68" t="str">
        <x:v>34</x:v>
      </x:c>
      <x:c r="M479" s="68" t="str">
        <x:v>1.0</x:v>
      </x:c>
      <x:c r="N479" s="68" t="str"/>
      <x:c r="O479" s="68" t="str">
        <x:v>66.9</x:v>
      </x:c>
      <x:c r="P479" s="68" t="str"/>
    </x:row>
    <x:row r="480">
      <x:c r="A480" s="106" t="n">
        <x:v>15</x:v>
      </x:c>
      <x:c r="B480" s="106" t="str">
        <x:v>479</x:v>
      </x:c>
      <x:c r="C480" s="167" t="str">
        <x:f>"09521 1006587"</x:f>
        <x:v>09521 1006587</x:v>
      </x:c>
      <x:c r="D480" s="68" t="str">
        <x:v>DOAN GLA HAO</x:v>
      </x:c>
      <x:c r="E480" s="68" t="str">
        <x:v>1</x:v>
      </x:c>
      <x:c r="F480" s="68" t="str">
        <x:v>13/03/2011 I</x:v>
      </x:c>
      <x:c r="G480" s="68" t="str">
        <x:v>Kinh Kinh I</x:v>
      </x:c>
      <x:c r="H480" s="68" t="str">
        <x:v>Xa Phudc Long I</x:v>
      </x:c>
      <x:c r="I480" s="68" t="str">
        <x:v>THCS Vuang HtruNhan I</x:v>
      </x:c>
      <x:c r="J480" s="68" t="str">
        <x:v>Xa Phu a Long</x:v>
      </x:c>
      <x:c r="K480" s="68" t="str">
        <x:v>30.9</x:v>
      </x:c>
      <x:c r="L480" s="68" t="str">
        <x:v>36</x:v>
      </x:c>
      <x:c r="M480" s="68" t="str"/>
      <x:c r="N480" s="68" t="str"/>
      <x:c r="O480" s="68" t="str">
        <x:v>66.9</x:v>
      </x:c>
      <x:c r="P480" s="68" t="str"/>
    </x:row>
    <x:row r="481">
      <x:c r="A481" s="106" t="n">
        <x:v>15</x:v>
      </x:c>
      <x:c r="B481" s="106" t="str">
        <x:v>480</x:v>
      </x:c>
      <x:c r="C481" s="167" t="str">
        <x:f>"0953 1 1004396"</x:f>
        <x:v>0953 1 1004396</x:v>
      </x:c>
      <x:c r="D481" s="68" t="str">
        <x:v>HOANG THI BANG BANG</x:v>
      </x:c>
      <x:c r="E481" s="68" t="str">
        <x:v>X</x:v>
      </x:c>
      <x:c r="F481" s="68" t="str">
        <x:v>22/10/201 1 I</x:v>
      </x:c>
      <x:c r="G481" s="68" t="str">
        <x:v>Kinh I</x:v>
      </x:c>
      <x:c r="H481" s="68" t="str">
        <x:v>Xa Phu6c Long</x:v>
      </x:c>
      <x:c r="I481" s="68" t="str">
        <x:v>THCS Vuang Hall Nhan</x:v>
      </x:c>
      <x:c r="J481" s="68" t="str">
        <x:v>Xa Phu6c Long</x:v>
      </x:c>
      <x:c r="K481" s="68" t="str">
        <x:v>30.9</x:v>
      </x:c>
      <x:c r="L481" s="68" t="str">
        <x:v>36</x:v>
      </x:c>
      <x:c r="M481" s="68" t="str"/>
      <x:c r="N481" s="68" t="str"/>
      <x:c r="O481" s="68" t="str">
        <x:v>66.9</x:v>
      </x:c>
      <x:c r="P481" s="68" t="str"/>
    </x:row>
    <x:row r="482">
      <x:c r="A482" s="106" t="n">
        <x:v>15</x:v>
      </x:c>
      <x:c r="B482" s="106" t="str">
        <x:v>481</x:v>
      </x:c>
      <x:c r="C482" s="167" t="str">
        <x:f>"095211007833"</x:f>
        <x:v>095211007833</x:v>
      </x:c>
      <x:c r="D482" s="68" t="str">
        <x:v>TRUONG cnAN MiNH</x:v>
      </x:c>
      <x:c r="E482" s="68" t="str"/>
      <x:c r="F482" s="68" t="str">
        <x:v>03/12/201 1</x:v>
      </x:c>
      <x:c r="G482" s="68" t="str">
        <x:v>Kinh</x:v>
      </x:c>
      <x:c r="H482" s="68" t="str">
        <x:v>Xa Phudc Long</x:v>
      </x:c>
      <x:c r="I482" s="68" t="str">
        <x:v>THCS Phu6c Long</x:v>
      </x:c>
      <x:c r="J482" s="68" t="str">
        <x:v>Xa Phudc Long</x:v>
      </x:c>
      <x:c r="K482" s="68" t="str">
        <x:v>30.8</x:v>
      </x:c>
      <x:c r="L482" s="68" t="str">
        <x:v>36</x:v>
      </x:c>
      <x:c r="M482" s="68" t="str"/>
      <x:c r="N482" s="68" t="str"/>
      <x:c r="O482" s="68" t="str">
        <x:v>66.8</x:v>
      </x:c>
      <x:c r="P482" s="68" t="str"/>
    </x:row>
    <x:row r="483">
      <x:c r="A483" s="106" t="n">
        <x:v>15</x:v>
      </x:c>
      <x:c r="B483" s="106" t="str">
        <x:v>482</x:v>
      </x:c>
      <x:c r="C483" s="167" t="str">
        <x:f>"0952 1 10041 87"</x:f>
        <x:v>0952 1 10041 87</x:v>
      </x:c>
      <x:c r="D483" s="68" t="str">
        <x:v>MAI CHI TINH</x:v>
      </x:c>
      <x:c r="E483" s="68" t="str"/>
      <x:c r="F483" s="68" t="str">
        <x:v>19/07/201 1</x:v>
      </x:c>
      <x:c r="G483" s="68" t="str">
        <x:v>Kinh</x:v>
      </x:c>
      <x:c r="H483" s="68" t="str">
        <x:v>Xa Vinh Phu6c</x:v>
      </x:c>
      <x:c r="I483" s="68" t="str">
        <x:v>THCS Phu6c Long</x:v>
      </x:c>
      <x:c r="J483" s="68" t="str">
        <x:v>Xa Phu6c Long</x:v>
      </x:c>
      <x:c r="K483" s="68" t="str">
        <x:v>30.8</x:v>
      </x:c>
      <x:c r="L483" s="68" t="str">
        <x:v>36</x:v>
      </x:c>
      <x:c r="M483" s="68" t="str"/>
      <x:c r="N483" s="68" t="str"/>
      <x:c r="O483" s="68" t="str">
        <x:v>66.8</x:v>
      </x:c>
      <x:c r="P483" s="68" t="str"/>
    </x:row>
    <x:row r="484">
      <x:c r="A484" s="106" t="n">
        <x:v>15</x:v>
      </x:c>
      <x:c r="B484" s="106" t="str">
        <x:v>483</x:v>
      </x:c>
      <x:c r="C484" s="167" t="str">
        <x:f>"0953 1 1001788"</x:f>
        <x:v>0953 1 1001788</x:v>
      </x:c>
      <x:c r="D484" s="68" t="str">
        <x:v>TRANG KIM FtU61</x:v>
      </x:c>
      <x:c r="E484" s="68" t="str">
        <x:v>X</x:v>
      </x:c>
      <x:c r="F484" s="68" t="str">
        <x:v>06/01/2011</x:v>
      </x:c>
      <x:c r="G484" s="68" t="str">
        <x:v>Kinh</x:v>
      </x:c>
      <x:c r="H484" s="68" t="str">
        <x:v>Xa Phu a Long</x:v>
      </x:c>
      <x:c r="I484" s="68" t="str">
        <x:v>l:HCS Phudc Long</x:v>
      </x:c>
      <x:c r="J484" s="68" t="str">
        <x:v>ka PhMc Long</x:v>
      </x:c>
      <x:c r="K484" s="68" t="str">
        <x:v>30.8</x:v>
      </x:c>
      <x:c r="L484" s="68" t="str">
        <x:v>36</x:v>
      </x:c>
      <x:c r="M484" s="68" t="str"/>
      <x:c r="N484" s="68" t="str"/>
      <x:c r="O484" s="68" t="str">
        <x:v>66.8</x:v>
      </x:c>
      <x:c r="P484" s="68" t="str"/>
    </x:row>
    <x:row r="485">
      <x:c r="A485" s="106" t="n">
        <x:v>15</x:v>
      </x:c>
      <x:c r="B485" s="106" t="str">
        <x:v>484</x:v>
      </x:c>
      <x:c r="C485" s="167" t="str">
        <x:f>"0953 1 1007633"</x:f>
        <x:v>0953 1 1007633</x:v>
      </x:c>
      <x:c r="D485" s="68" t="str">
        <x:v>TO NGQC BOI</x:v>
      </x:c>
      <x:c r="E485" s="68" t="str">
        <x:v>X</x:v>
      </x:c>
      <x:c r="F485" s="68" t="str">
        <x:v>12/02/201 1</x:v>
      </x:c>
      <x:c r="G485" s="68" t="str">
        <x:v>Kinh</x:v>
      </x:c>
      <x:c r="H485" s="68" t="str">
        <x:v>Xa Phudc Long</x:v>
      </x:c>
      <x:c r="I485" s="68" t="str">
        <x:v>THCS Phudc Long</x:v>
      </x:c>
      <x:c r="J485" s="68" t="str">
        <x:v>Xa Phu6c Long</x:v>
      </x:c>
      <x:c r="K485" s="68" t="str">
        <x:v>30.8</x:v>
      </x:c>
      <x:c r="L485" s="68" t="str">
        <x:v>36</x:v>
      </x:c>
      <x:c r="M485" s="68" t="str"/>
      <x:c r="N485" s="68" t="str"/>
      <x:c r="O485" s="68" t="str">
        <x:v>'66.8</x:v>
      </x:c>
      <x:c r="P485" s="68" t="str"/>
    </x:row>
    <x:row r="486">
      <x:c r="A486" s="106" t="n">
        <x:v>15</x:v>
      </x:c>
      <x:c r="B486" s="106" t="str">
        <x:v>485</x:v>
      </x:c>
      <x:c r="C486" s="167" t="str">
        <x:f>"0953 1 1006108"</x:f>
        <x:v>0953 1 1006108</x:v>
      </x:c>
      <x:c r="D486" s="68" t="str">
        <x:v>NGUYEN THI cAM VY. Ix</x:v>
      </x:c>
      <x:c r="E486" s="68" t="str">
        <x:v>I</x:v>
      </x:c>
      <x:c r="F486" s="68" t="str">
        <x:v>09/04/201 1</x:v>
      </x:c>
      <x:c r="G486" s="68" t="str">
        <x:v>Kinh</x:v>
      </x:c>
      <x:c r="H486" s="68" t="str">
        <x:v>Xa Vinh Phu6c</x:v>
      </x:c>
      <x:c r="I486" s="68" t="str">
        <x:v>THCS Phu6c Long</x:v>
      </x:c>
      <x:c r="J486" s="68" t="str">
        <x:v>Xa Phu6c Long</x:v>
      </x:c>
      <x:c r="K486" s="68" t="str">
        <x:v>30.8</x:v>
      </x:c>
      <x:c r="L486" s="68" t="str">
        <x:v>36</x:v>
      </x:c>
      <x:c r="M486" s="68" t="str"/>
      <x:c r="N486" s="68" t="str"/>
      <x:c r="O486" s="68" t="str">
        <x:v>66.8</x:v>
      </x:c>
      <x:c r="P486" s="68" t="str"/>
    </x:row>
    <x:row r="487">
      <x:c r="A487" s="106" t="n">
        <x:v>15</x:v>
      </x:c>
      <x:c r="B487" s="106" t="str">
        <x:v>486</x:v>
      </x:c>
      <x:c r="C487" s="167" t="str">
        <x:f>"095211003301"</x:f>
        <x:v>095211003301</x:v>
      </x:c>
      <x:c r="D487" s="68" t="str">
        <x:v>LE CHi THANH</x:v>
      </x:c>
      <x:c r="E487" s="68" t="str"/>
      <x:c r="F487" s="68" t="str">
        <x:v>24/09/2011</x:v>
      </x:c>
      <x:c r="G487" s="68" t="str">
        <x:v>Kinh [</x:v>
      </x:c>
      <x:c r="H487" s="68" t="str">
        <x:v>Xa Phu6c Long</x:v>
      </x:c>
      <x:c r="I487" s="68" t="str">
        <x:v>THCS Phu6c Long</x:v>
      </x:c>
      <x:c r="J487" s="68" t="str">
        <x:v>Xa Phu6c Long</x:v>
      </x:c>
      <x:c r="K487" s="68" t="str">
        <x:v>30.8</x:v>
      </x:c>
      <x:c r="L487" s="68" t="str">
        <x:v>36</x:v>
      </x:c>
      <x:c r="M487" s="68" t="str"/>
      <x:c r="N487" s="68" t="str"/>
      <x:c r="O487" s="68" t="str">
        <x:v>66.8</x:v>
      </x:c>
      <x:c r="P487" s="68" t="str"/>
    </x:row>
    <x:row r="488">
      <x:c r="A488" s="106" t="n">
        <x:v>15</x:v>
      </x:c>
      <x:c r="B488" s="106" t="str">
        <x:v>487</x:v>
      </x:c>
      <x:c r="C488" s="167" t="str">
        <x:f>"095210005729"</x:f>
        <x:v>095210005729</x:v>
      </x:c>
      <x:c r="D488" s="68" t="str">
        <x:v>PHAM CHI HAO</x:v>
      </x:c>
      <x:c r="E488" s="68" t="str"/>
      <x:c r="F488" s="68" t="str">
        <x:v>16/09/2010</x:v>
      </x:c>
      <x:c r="G488" s="68" t="str">
        <x:v>Kinh</x:v>
      </x:c>
      <x:c r="H488" s="68" t="str">
        <x:v>Xa Phu6c Long</x:v>
      </x:c>
      <x:c r="I488" s="68" t="str">
        <x:v>THCS Hung Phi</x:v>
      </x:c>
      <x:c r="J488" s="68" t="str">
        <x:v>Xa Vinh Thanh</x:v>
      </x:c>
      <x:c r="K488" s="68" t="str">
        <x:v>31.8</x:v>
      </x:c>
      <x:c r="L488" s="68" t="str">
        <x:v>35</x:v>
      </x:c>
      <x:c r="M488" s="68" t="str"/>
      <x:c r="N488" s="68" t="str"/>
      <x:c r="O488" s="68" t="str">
        <x:v>66.8</x:v>
      </x:c>
      <x:c r="P488" s="68" t="str"/>
    </x:row>
    <x:row r="489">
      <x:c r="A489" s="106" t="n">
        <x:v>15</x:v>
      </x:c>
      <x:c r="B489" s="106" t="str">
        <x:v>488</x:v>
      </x:c>
      <x:c r="C489" s="167" t="str">
        <x:f>"09531 1005909"</x:f>
        <x:v>09531 1005909</x:v>
      </x:c>
      <x:c r="D489" s="68" t="str">
        <x:v>LE KIM DOAN</x:v>
      </x:c>
      <x:c r="E489" s="68" t="str">
        <x:v>X</x:v>
      </x:c>
      <x:c r="F489" s="68" t="str">
        <x:v>29/10/2011</x:v>
      </x:c>
      <x:c r="G489" s="68" t="str">
        <x:v>Kinh</x:v>
      </x:c>
      <x:c r="H489" s="68" t="str">
        <x:v>Xa Vinh Thanh</x:v>
      </x:c>
      <x:c r="I489" s="68" t="str">
        <x:v>THCS Hung Phd</x:v>
      </x:c>
      <x:c r="J489" s="68" t="str">
        <x:v>Xa Vinh Thanh</x:v>
      </x:c>
      <x:c r="K489" s="68" t="str">
        <x:v>30.8</x:v>
      </x:c>
      <x:c r="L489" s="68" t="str">
        <x:v>36</x:v>
      </x:c>
      <x:c r="M489" s="68" t="str"/>
      <x:c r="N489" s="68" t="str"/>
      <x:c r="O489" s="68" t="str">
        <x:v>66.8</x:v>
      </x:c>
      <x:c r="P489" s="68" t="str"/>
    </x:row>
    <x:row r="490">
      <x:c r="A490" s="106" t="n">
        <x:v>15</x:v>
      </x:c>
      <x:c r="B490" s="106" t="str">
        <x:v>489</x:v>
      </x:c>
      <x:c r="C490" s="167" t="str">
        <x:f>"09531 1002280"</x:f>
        <x:v>09531 1002280</x:v>
      </x:c>
      <x:c r="D490" s="68" t="str">
        <x:v>TRAN NGQC UY£N</x:v>
      </x:c>
      <x:c r="E490" s="68" t="str">
        <x:v>X</x:v>
      </x:c>
      <x:c r="F490" s="68" t="str">
        <x:v>03/10/201 1</x:v>
      </x:c>
      <x:c r="G490" s="68" t="str">
        <x:v>Kinh</x:v>
      </x:c>
      <x:c r="H490" s="68" t="str">
        <x:v>Xa Vinh Thanh</x:v>
      </x:c>
      <x:c r="I490" s="68" t="str">
        <x:v>THCS Hung Phd</x:v>
      </x:c>
      <x:c r="J490" s="68" t="str">
        <x:v>Xa Wnh Thanh</x:v>
      </x:c>
      <x:c r="K490" s="68" t="str">
        <x:v>30.8</x:v>
      </x:c>
      <x:c r="L490" s="68" t="str">
        <x:v>36</x:v>
      </x:c>
      <x:c r="M490" s="68" t="str"/>
      <x:c r="N490" s="68" t="str"/>
      <x:c r="O490" s="68" t="str">
        <x:v>66.8</x:v>
      </x:c>
      <x:c r="P490" s="68" t="str"/>
    </x:row>
    <x:row r="491">
      <x:c r="A491" s="106" t="n">
        <x:v>15</x:v>
      </x:c>
      <x:c r="B491" s="106" t="str">
        <x:v>490</x:v>
      </x:c>
      <x:c r="C491" s="167" t="str">
        <x:f>"0953 1 1007530"</x:f>
        <x:v>0953 1 1007530</x:v>
      </x:c>
      <x:c r="D491" s="68" t="str">
        <x:v>CHAU THI NGQC L£NFI</x:v>
      </x:c>
      <x:c r="E491" s="68" t="str">
        <x:v>X</x:v>
      </x:c>
      <x:c r="F491" s="68" t="str">
        <x:v>22/02/2011</x:v>
      </x:c>
      <x:c r="G491" s="68" t="str">
        <x:v>Kinh</x:v>
      </x:c>
      <x:c r="H491" s="68" t="str">
        <x:v>Xa VTnh Thanh</x:v>
      </x:c>
      <x:c r="I491" s="68" t="str">
        <x:v>THCS Hung Phd</x:v>
      </x:c>
      <x:c r="J491" s="68" t="str">
        <x:v>Xa Vmh Thanh</x:v>
      </x:c>
      <x:c r="K491" s="68" t="str">
        <x:v>30.8</x:v>
      </x:c>
      <x:c r="L491" s="68" t="str">
        <x:v>36</x:v>
      </x:c>
      <x:c r="M491" s="68" t="str"/>
      <x:c r="N491" s="68" t="str"/>
      <x:c r="O491" s="68" t="str">
        <x:v>66,8</x:v>
      </x:c>
      <x:c r="P491" s="68" t="str"/>
    </x:row>
    <x:row r="492">
      <x:c r="A492" s="106" t="n">
        <x:v>15</x:v>
      </x:c>
      <x:c r="B492" s="106" t="str">
        <x:v>491</x:v>
      </x:c>
      <x:c r="C492" s="167" t="str">
        <x:f>"095 1 1 1009267"</x:f>
        <x:v>095 1 1 1009267</x:v>
      </x:c>
      <x:c r="D492" s="68" t="str">
        <x:v>PHAM YiN NHI</x:v>
      </x:c>
      <x:c r="E492" s="68" t="str">
        <x:v>X</x:v>
      </x:c>
      <x:c r="F492" s="68" t="str">
        <x:v>14/01/2011</x:v>
      </x:c>
      <x:c r="G492" s="68" t="str">
        <x:v>Kinh</x:v>
      </x:c>
      <x:c r="H492" s="68" t="str">
        <x:v>Xa Vinh Thanh</x:v>
      </x:c>
      <x:c r="I492" s="68" t="str">
        <x:v>THCS Hung Phd</x:v>
      </x:c>
      <x:c r="J492" s="68" t="str">
        <x:v>Xa VTnh Thanh</x:v>
      </x:c>
      <x:c r="K492" s="68" t="str">
        <x:v>30.8</x:v>
      </x:c>
      <x:c r="L492" s="68" t="str">
        <x:v>36</x:v>
      </x:c>
      <x:c r="M492" s="68" t="str"/>
      <x:c r="N492" s="68" t="str"/>
      <x:c r="O492" s="68" t="str">
        <x:v>66.8</x:v>
      </x:c>
      <x:c r="P492" s="68" t="str"/>
    </x:row>
    <x:row r="493">
      <x:c r="A493" s="106" t="n">
        <x:v>15</x:v>
      </x:c>
      <x:c r="B493" s="106" t="str">
        <x:v>492</x:v>
      </x:c>
      <x:c r="C493" s="167" t="str">
        <x:f>"095211007619"</x:f>
        <x:v>095211007619</x:v>
      </x:c>
      <x:c r="D493" s="68" t="str">
        <x:v>TRAN KHANH DUY</x:v>
      </x:c>
      <x:c r="E493" s="68" t="str"/>
      <x:c r="F493" s="68" t="str">
        <x:v>29/10/2011</x:v>
      </x:c>
      <x:c r="G493" s="68" t="str">
        <x:v>Kinh</x:v>
      </x:c>
      <x:c r="H493" s="68" t="str">
        <x:v>Xa Phu6c Long</x:v>
      </x:c>
      <x:c r="I493" s="68" t="str">
        <x:v>THCS Tnrang Wnh KV</x:v>
      </x:c>
      <x:c r="J493" s="68" t="str">
        <x:v>Xa H6ng Dan</x:v>
      </x:c>
      <x:c r="K493" s="68" t="str">
        <x:v>30.8</x:v>
      </x:c>
      <x:c r="L493" s="68" t="str">
        <x:v>36</x:v>
      </x:c>
      <x:c r="M493" s="68" t="str"/>
      <x:c r="N493" s="68" t="str"/>
      <x:c r="O493" s="68" t="str">
        <x:v>66.8</x:v>
      </x:c>
      <x:c r="P493" s="68" t="str"/>
    </x:row>
    <x:row r="494">
      <x:c r="A494" s="106" t="n">
        <x:v>15</x:v>
      </x:c>
      <x:c r="B494" s="106" t="str">
        <x:v>493</x:v>
      </x:c>
      <x:c r="C494" s="167" t="str">
        <x:f>"09521 1007974"</x:f>
        <x:v>09521 1007974</x:v>
      </x:c>
      <x:c r="D494" s="68" t="str">
        <x:v>LE HUY HOANG</x:v>
      </x:c>
      <x:c r="E494" s="68" t="str"/>
      <x:c r="F494" s="68" t="str">
        <x:v>23/01/2011</x:v>
      </x:c>
      <x:c r="G494" s="68" t="str">
        <x:v>Khmer</x:v>
      </x:c>
      <x:c r="H494" s="68" t="str">
        <x:v>Xa Phu6c Long</x:v>
      </x:c>
      <x:c r="I494" s="68" t="str">
        <x:v>THCS Vuang H&amp;u Nhan</x:v>
      </x:c>
      <x:c r="J494" s="68" t="str">
        <x:v>Xa Phu6c Long</x:v>
      </x:c>
      <x:c r="K494" s="68" t="str">
        <x:v>29.8</x:v>
      </x:c>
      <x:c r="L494" s="68" t="str">
        <x:v>36</x:v>
      </x:c>
      <x:c r="M494" s="68" t="str">
        <x:v>1.0</x:v>
      </x:c>
      <x:c r="N494" s="68" t="str"/>
      <x:c r="O494" s="68" t="str">
        <x:v>66.8</x:v>
      </x:c>
      <x:c r="P494" s="68" t="str"/>
    </x:row>
    <x:row r="495">
      <x:c r="A495" s="106" t="n">
        <x:v>15</x:v>
      </x:c>
      <x:c r="B495" s="106" t="str">
        <x:v>494</x:v>
      </x:c>
      <x:c r="C495" s="167" t="str">
        <x:f>"09531 1004590"</x:f>
        <x:v>09531 1004590</x:v>
      </x:c>
      <x:c r="D495" s="68" t="str">
        <x:v>QUACH KLgU TRANG</x:v>
      </x:c>
      <x:c r="E495" s="68" t="str">
        <x:v>X</x:v>
      </x:c>
      <x:c r="F495" s="68" t="str">
        <x:v>21/09/2011</x:v>
      </x:c>
      <x:c r="G495" s="68" t="str">
        <x:v>Kinh</x:v>
      </x:c>
      <x:c r="H495" s="68" t="str">
        <x:v>Xa Vlnh PhII a</x:v>
      </x:c>
      <x:c r="I495" s="68" t="str">
        <x:v>THCS Phu6c Long</x:v>
      </x:c>
      <x:c r="J495" s="68" t="str">
        <x:v>Xa Phudc Long</x:v>
      </x:c>
      <x:c r="K495" s="68" t="str">
        <x:v>29.7</x:v>
      </x:c>
      <x:c r="L495" s="68" t="str">
        <x:v>36</x:v>
      </x:c>
      <x:c r="M495" s="68" t="str">
        <x:v>1.0</x:v>
      </x:c>
      <x:c r="N495" s="68" t="str"/>
      <x:c r="O495" s="68" t="str">
        <x:v>66.7</x:v>
      </x:c>
      <x:c r="P495" s="68" t="str"/>
    </x:row>
    <x:row r="496">
      <x:c r="A496" s="106" t="n">
        <x:v>15</x:v>
      </x:c>
      <x:c r="B496" s="106" t="str">
        <x:v>495</x:v>
      </x:c>
      <x:c r="C496" s="167" t="str">
        <x:f>"0953 1 1008369"</x:f>
        <x:v>0953 1 1008369</x:v>
      </x:c>
      <x:c r="D496" s="68" t="str">
        <x:v>vAN TRAN THAO ANH</x:v>
      </x:c>
      <x:c r="E496" s="68" t="str">
        <x:v>X</x:v>
      </x:c>
      <x:c r="F496" s="68" t="str">
        <x:v>21/10/2011</x:v>
      </x:c>
      <x:c r="G496" s="68" t="str">
        <x:v>Kinh</x:v>
      </x:c>
      <x:c r="H496" s="68" t="str">
        <x:v>Xa Phu6c Long</x:v>
      </x:c>
      <x:c r="I496" s="68" t="str">
        <x:v>THCS Phudc Long</x:v>
      </x:c>
      <x:c r="J496" s="68" t="str">
        <x:v>Xa Phu6c Long</x:v>
      </x:c>
      <x:c r="K496" s="68" t="str">
        <x:v>30.7</x:v>
      </x:c>
      <x:c r="L496" s="68" t="str">
        <x:v>36</x:v>
      </x:c>
      <x:c r="M496" s="68" t="str"/>
      <x:c r="N496" s="68" t="str"/>
      <x:c r="O496" s="68" t="str">
        <x:v>66.7</x:v>
      </x:c>
      <x:c r="P496" s="68" t="str"/>
    </x:row>
    <x:row r="497">
      <x:c r="A497" s="106" t="n">
        <x:v>15</x:v>
      </x:c>
      <x:c r="B497" s="106" t="str">
        <x:v>496</x:v>
      </x:c>
      <x:c r="C497" s="167" t="str">
        <x:f>"0953 1 1007079"</x:f>
        <x:v>0953 1 1007079</x:v>
      </x:c>
      <x:c r="D497" s="68" t="str">
        <x:v>DANG AI NGQC</x:v>
      </x:c>
      <x:c r="E497" s="68" t="str">
        <x:v>X</x:v>
      </x:c>
      <x:c r="F497" s="68" t="str">
        <x:v>27/06/201 1</x:v>
      </x:c>
      <x:c r="G497" s="68" t="str">
        <x:v>Kinh</x:v>
      </x:c>
      <x:c r="H497" s="68" t="str">
        <x:v>Xa Phudc Long</x:v>
      </x:c>
      <x:c r="I497" s="68" t="str">
        <x:v>THCS Phu6c Long</x:v>
      </x:c>
      <x:c r="J497" s="68" t="str">
        <x:v>Xa Phudd Long</x:v>
      </x:c>
      <x:c r="K497" s="68" t="str">
        <x:v>30.7</x:v>
      </x:c>
      <x:c r="L497" s="68" t="str">
        <x:v>36</x:v>
      </x:c>
      <x:c r="M497" s="68" t="str"/>
      <x:c r="N497" s="68" t="str"/>
      <x:c r="O497" s="68" t="str">
        <x:v>66.7</x:v>
      </x:c>
      <x:c r="P497" s="68" t="str"/>
    </x:row>
    <x:row r="498">
      <x:c r="A498" s="106" t="n">
        <x:v>15</x:v>
      </x:c>
      <x:c r="B498" s="106" t="str">
        <x:v>497</x:v>
      </x:c>
      <x:c r="C498" s="167" t="str">
        <x:f>"0953 1 1000136"</x:f>
        <x:v>0953 1 1000136</x:v>
      </x:c>
      <x:c r="D498" s="68" t="str">
        <x:v>NGUY£N THI MI</x:v>
      </x:c>
      <x:c r="E498" s="68" t="str">
        <x:v>X</x:v>
      </x:c>
      <x:c r="F498" s="68" t="str">
        <x:v>06/07/2011</x:v>
      </x:c>
      <x:c r="G498" s="68" t="str">
        <x:v>Kinh</x:v>
      </x:c>
      <x:c r="H498" s="68" t="str">
        <x:v>Xa Phu6c Long</x:v>
      </x:c>
      <x:c r="I498" s="68" t="str">
        <x:v>THCS Vinh Thanh</x:v>
      </x:c>
      <x:c r="J498" s="68" t="str">
        <x:v>Xa Wnh Thanh</x:v>
      </x:c>
      <x:c r="K498" s="68" t="str">
        <x:v>30.7</x:v>
      </x:c>
      <x:c r="L498" s="68" t="str">
        <x:v>36</x:v>
      </x:c>
      <x:c r="M498" s="68" t="str"/>
      <x:c r="N498" s="68" t="str"/>
      <x:c r="O498" s="68" t="str">
        <x:v>66.7</x:v>
      </x:c>
      <x:c r="P498" s="68" t="str"/>
    </x:row>
    <x:row r="499">
      <x:c r="A499" s="106" t="n">
        <x:v>15</x:v>
      </x:c>
      <x:c r="B499" s="106" t="str">
        <x:v>498</x:v>
      </x:c>
      <x:c r="C499" s="167" t="str">
        <x:f>"0952 1 1008776"</x:f>
        <x:v>0952 1 1008776</x:v>
      </x:c>
      <x:c r="D499" s="68" t="str">
        <x:v>PRAM HAI DANG</x:v>
      </x:c>
      <x:c r="E499" s="68" t="str"/>
      <x:c r="F499" s="68" t="str">
        <x:v>11/06/2011</x:v>
      </x:c>
      <x:c r="G499" s="68" t="str">
        <x:v>Kinh</x:v>
      </x:c>
      <x:c r="H499" s="68" t="str">
        <x:v>Xa H6ng Dan</x:v>
      </x:c>
      <x:c r="I499" s="68" t="str">
        <x:v>THCS Tnrang VTnh KV</x:v>
      </x:c>
      <x:c r="J499" s="68" t="str">
        <x:v>Xa H6ng Dan</x:v>
      </x:c>
      <x:c r="K499" s="68" t="str">
        <x:v>30.7</x:v>
      </x:c>
      <x:c r="L499" s="68" t="str">
        <x:v>36</x:v>
      </x:c>
      <x:c r="M499" s="68" t="str"/>
      <x:c r="N499" s="68" t="str"/>
      <x:c r="O499" s="68" t="str">
        <x:v>66.7</x:v>
      </x:c>
      <x:c r="P499" s="68" t="str"/>
    </x:row>
    <x:row r="500">
      <x:c r="A500" s="106" t="n">
        <x:v>15</x:v>
      </x:c>
      <x:c r="B500" s="106" t="str">
        <x:v>499</x:v>
      </x:c>
      <x:c r="C500" s="167" t="str">
        <x:f>"0953 1 1003446"</x:f>
        <x:v>0953 1 1003446</x:v>
      </x:c>
      <x:c r="D500" s="68" t="str">
        <x:v>}rUtNH ANH DU'ONG</x:v>
      </x:c>
      <x:c r="E500" s="68" t="str">
        <x:v>X</x:v>
      </x:c>
      <x:c r="F500" s="68" t="str">
        <x:v>09/02/2011</x:v>
      </x:c>
      <x:c r="G500" s="68" t="str">
        <x:v>Kinh</x:v>
      </x:c>
      <x:c r="H500" s="68" t="str">
        <x:v>Xa Phu6c Long</x:v>
      </x:c>
      <x:c r="I500" s="68" t="str">
        <x:v>THCS Vuang Hrru Nhon</x:v>
      </x:c>
      <x:c r="J500" s="68" t="str">
        <x:v>Xa Phudc Long</x:v>
      </x:c>
      <x:c r="K500" s="68" t="str">
        <x:v>30.7</x:v>
      </x:c>
      <x:c r="L500" s="68" t="str">
        <x:v>36</x:v>
      </x:c>
      <x:c r="M500" s="68" t="str"/>
      <x:c r="N500" s="68" t="str"/>
      <x:c r="O500" s="68" t="str">
        <x:v>66.7</x:v>
      </x:c>
      <x:c r="P500" s="68" t="str"/>
    </x:row>
    <x:row r="501">
      <x:c r="A501" s="106" t="n">
        <x:v>15</x:v>
      </x:c>
      <x:c r="B501" s="106" t="str">
        <x:v>500</x:v>
      </x:c>
      <x:c r="C501" s="167" t="str">
        <x:f>"09521 1009881"</x:f>
        <x:v>09521 1009881</x:v>
      </x:c>
      <x:c r="D501" s="68" t="str">
        <x:v>SON PuLl TRQNG</x:v>
      </x:c>
      <x:c r="E501" s="68" t="str"/>
      <x:c r="F501" s="68" t="str">
        <x:v>07/06/2011</x:v>
      </x:c>
      <x:c r="G501" s="68" t="str">
        <x:v>Khmerl</x:v>
      </x:c>
      <x:c r="H501" s="68" t="str">
        <x:v>Xa Phudc Lohg</x:v>
      </x:c>
      <x:c r="I501" s="68" t="str">
        <x:v>THCS Vuang Hau Nhan</x:v>
      </x:c>
      <x:c r="J501" s="68" t="str">
        <x:v>Xa Phu6c Long</x:v>
      </x:c>
      <x:c r="K501" s="68" t="str">
        <x:v>29.7</x:v>
      </x:c>
      <x:c r="L501" s="68" t="str">
        <x:v>36</x:v>
      </x:c>
      <x:c r="M501" s="68" t="str">
        <x:v>1.0</x:v>
      </x:c>
      <x:c r="N501" s="68" t="str"/>
      <x:c r="O501" s="68" t="str">
        <x:v>66.7</x:v>
      </x:c>
      <x:c r="P501" s="68" t="str"/>
    </x:row>
    <x:row r="502">
      <x:c r="A502" s="106" t="n">
        <x:v>15</x:v>
      </x:c>
      <x:c r="B502" s="106" t="str">
        <x:v>501</x:v>
      </x:c>
      <x:c r="C502" s="167" t="str">
        <x:f>"0952 1 1002011"</x:f>
        <x:v>0952 1 1002011</x:v>
      </x:c>
      <x:c r="D502" s="68" t="str">
        <x:v>NG6 NHAT KHANG</x:v>
      </x:c>
      <x:c r="E502" s="68" t="str"/>
      <x:c r="F502" s="68" t="str">
        <x:v>05/01/2011</x:v>
      </x:c>
      <x:c r="G502" s="68" t="str">
        <x:v>Kinh</x:v>
      </x:c>
      <x:c r="H502" s="68" t="str">
        <x:v>Xa Phudc Long</x:v>
      </x:c>
      <x:c r="I502" s="68" t="str">
        <x:v>THCS Vuang Htm Nhan</x:v>
      </x:c>
      <x:c r="J502" s="68" t="str">
        <x:v>Xa Phu6c Long</x:v>
      </x:c>
      <x:c r="K502" s="68" t="str">
        <x:v>30.7</x:v>
      </x:c>
      <x:c r="L502" s="68" t="str">
        <x:v>36</x:v>
      </x:c>
      <x:c r="M502" s="68" t="str"/>
      <x:c r="N502" s="68" t="str"/>
      <x:c r="O502" s="68" t="str">
        <x:v>66.7</x:v>
      </x:c>
      <x:c r="P502" s="68" t="str"/>
    </x:row>
    <x:row r="503">
      <x:c r="A503" s="106" t="n">
        <x:v>15</x:v>
      </x:c>
      <x:c r="B503" s="106" t="str">
        <x:v>502</x:v>
      </x:c>
      <x:c r="C503" s="167" t="str">
        <x:f>"09521 1002336"</x:f>
        <x:v>09521 1002336</x:v>
      </x:c>
      <x:c r="D503" s="68" t="str">
        <x:v>va TRUdNG v?</x:v>
      </x:c>
      <x:c r="E503" s="68" t="str"/>
      <x:c r="F503" s="68" t="str">
        <x:v>05/08/2011</x:v>
      </x:c>
      <x:c r="G503" s="68" t="str">
        <x:v>Kinh</x:v>
      </x:c>
      <x:c r="H503" s="68" t="str">
        <x:v>Xa Phu6c Long</x:v>
      </x:c>
      <x:c r="I503" s="68" t="str">
        <x:v>THCS Phu a Long</x:v>
      </x:c>
      <x:c r="J503" s="68" t="str">
        <x:v>Xa Phu6c Long</x:v>
      </x:c>
      <x:c r="K503" s="68" t="str">
        <x:v>30.6</x:v>
      </x:c>
      <x:c r="L503" s="68" t="str">
        <x:v>36</x:v>
      </x:c>
      <x:c r="M503" s="68" t="str"/>
      <x:c r="N503" s="68" t="str"/>
      <x:c r="O503" s="68" t="str">
        <x:v>66.6</x:v>
      </x:c>
      <x:c r="P503" s="68" t="str"/>
    </x:row>
    <x:row r="504">
      <x:c r="A504" s="106" t="n">
        <x:v>15</x:v>
      </x:c>
      <x:c r="B504" s="106" t="str">
        <x:v>503</x:v>
      </x:c>
      <x:c r="C504" s="167" t="str">
        <x:f>"095211007 145"</x:f>
        <x:v>095211007 145</x:v>
      </x:c>
      <x:c r="D504" s="68" t="str">
        <x:v>DANG CHi NGUYEN</x:v>
      </x:c>
      <x:c r="E504" s="68" t="str"/>
      <x:c r="F504" s="68" t="str">
        <x:v>11/06/2011</x:v>
      </x:c>
      <x:c r="G504" s="68" t="str">
        <x:v>Kinh</x:v>
      </x:c>
      <x:c r="H504" s="68" t="str">
        <x:v>Xa Vinh Phu6c</x:v>
      </x:c>
      <x:c r="I504" s="68" t="str">
        <x:v>THCS Wnh Pha Tay</x:v>
      </x:c>
      <x:c r="J504" s="68" t="str">
        <x:v>Xa Wnh Phudc</x:v>
      </x:c>
      <x:c r="K504" s="68" t="str">
        <x:v>30.6</x:v>
      </x:c>
      <x:c r="L504" s="68" t="str">
        <x:v>36</x:v>
      </x:c>
      <x:c r="M504" s="68" t="str"/>
      <x:c r="N504" s="68" t="str"/>
      <x:c r="O504" s="68" t="str">
        <x:v>66.6</x:v>
      </x:c>
      <x:c r="P504" s="68" t="str"/>
    </x:row>
    <x:row r="505">
      <x:c r="A505" s="106" t="n">
        <x:v>15</x:v>
      </x:c>
      <x:c r="B505" s="106" t="str">
        <x:v>504</x:v>
      </x:c>
      <x:c r="C505" s="167" t="str">
        <x:f>"09521 1011092"</x:f>
        <x:v>09521 1011092</x:v>
      </x:c>
      <x:c r="D505" s="68" t="str">
        <x:v>vO TRUdNC THrEN</x:v>
      </x:c>
      <x:c r="E505" s="68" t="str"/>
      <x:c r="F505" s="68" t="str">
        <x:v>25/05/2011</x:v>
      </x:c>
      <x:c r="G505" s="68" t="str">
        <x:v>Kinh</x:v>
      </x:c>
      <x:c r="H505" s="68" t="str">
        <x:v>Xa Phudc Long</x:v>
      </x:c>
      <x:c r="I505" s="68" t="str">
        <x:v>THCS Vuang HGu Nhan</x:v>
      </x:c>
      <x:c r="J505" s="68" t="str">
        <x:v>Xa Phudc Lang</x:v>
      </x:c>
      <x:c r="K505" s="68" t="str">
        <x:v>30.1</x:v>
      </x:c>
      <x:c r="L505" s="68" t="str">
        <x:v>36</x:v>
      </x:c>
      <x:c r="M505" s="68" t="str"/>
      <x:c r="N505" s="68" t="str">
        <x:v>0.5</x:v>
      </x:c>
      <x:c r="O505" s="68" t="str">
        <x:v>66.6</x:v>
      </x:c>
      <x:c r="P505" s="68" t="str"/>
    </x:row>
    <x:row r="506">
      <x:c r="A506" s="106" t="n">
        <x:v>16</x:v>
      </x:c>
      <x:c r="B506" s="106" t="str">
        <x:v>505</x:v>
      </x:c>
      <x:c r="C506" s="167" t="str">
        <x:f>"095211010100"</x:f>
        <x:v>095211010100</x:v>
      </x:c>
      <x:c r="D506" s="68" t="str">
        <x:v>NGUY£N CHi TAM</x:v>
      </x:c>
      <x:c r="E506" s="68" t="str"/>
      <x:c r="F506" s="68" t="str">
        <x:v>01/11/2011-</x:v>
      </x:c>
      <x:c r="G506" s="68" t="str">
        <x:v>Kinh</x:v>
      </x:c>
      <x:c r="H506" s="68" t="str">
        <x:v>Xa Phu6c Long</x:v>
      </x:c>
      <x:c r="I506" s="68" t="str">
        <x:v>THCS Vuang Htm Nhan</x:v>
      </x:c>
      <x:c r="J506" s="68" t="str">
        <x:v>Xa Phu6c Long</x:v>
      </x:c>
      <x:c r="K506" s="68" t="str">
        <x:v>30.6</x:v>
      </x:c>
      <x:c r="L506" s="68" t="str">
        <x:v>36</x:v>
      </x:c>
      <x:c r="M506" s="68" t="str"/>
      <x:c r="N506" s="68" t="str"/>
      <x:c r="O506" s="68" t="str">
        <x:v>66.6</x:v>
      </x:c>
      <x:c r="P506" s="68" t="str"/>
    </x:row>
    <x:row r="507">
      <x:c r="A507" s="106" t="n">
        <x:v>16</x:v>
      </x:c>
      <x:c r="B507" s="106" t="str">
        <x:v>506</x:v>
      </x:c>
      <x:c r="C507" s="167" t="str">
        <x:f>"0953 1 1008616"</x:f>
        <x:v>0953 1 1008616</x:v>
      </x:c>
      <x:c r="D507" s="68" t="str">
        <x:v>TRAN THI DEEM MY</x:v>
      </x:c>
      <x:c r="E507" s="68" t="str">
        <x:v>X</x:v>
      </x:c>
      <x:c r="F507" s="68" t="str">
        <x:v>11/03/2011</x:v>
      </x:c>
      <x:c r="G507" s="68" t="str">
        <x:v>Kinh</x:v>
      </x:c>
      <x:c r="H507" s="68" t="str">
        <x:v>Xi Phu6c Long</x:v>
      </x:c>
      <x:c r="I507" s="68" t="str">
        <x:v>THCS Phudc Long</x:v>
      </x:c>
      <x:c r="J507" s="68" t="str">
        <x:v>Xa Phu6c Long</x:v>
      </x:c>
      <x:c r="K507" s="68" t="str">
        <x:v>30.5</x:v>
      </x:c>
      <x:c r="L507" s="68" t="str">
        <x:v>36</x:v>
      </x:c>
      <x:c r="M507" s="68" t="str"/>
      <x:c r="N507" s="68" t="str"/>
      <x:c r="O507" s="68" t="str">
        <x:v>66.5</x:v>
      </x:c>
      <x:c r="P507" s="68" t="str"/>
    </x:row>
    <x:row r="508">
      <x:c r="A508" s="106" t="n">
        <x:v>16</x:v>
      </x:c>
      <x:c r="B508" s="106" t="str">
        <x:v>507</x:v>
      </x:c>
      <x:c r="C508" s="167" t="str">
        <x:f>"09531 1008404"</x:f>
        <x:v>09531 1008404</x:v>
      </x:c>
      <x:c r="D508" s="68" t="str">
        <x:v>NGUYeN BAO NGQC</x:v>
      </x:c>
      <x:c r="E508" s="68" t="str">
        <x:v>X</x:v>
      </x:c>
      <x:c r="F508" s="68" t="str">
        <x:v>23/06/2011</x:v>
      </x:c>
      <x:c r="G508" s="68" t="str">
        <x:v>Kinh</x:v>
      </x:c>
      <x:c r="H508" s="68" t="str">
        <x:v>Xa Phu a Long</x:v>
      </x:c>
      <x:c r="I508" s="68" t="str">
        <x:v>THCS Phudc Long</x:v>
      </x:c>
      <x:c r="J508" s="68" t="str">
        <x:v>Xa Phudc Long</x:v>
      </x:c>
      <x:c r="K508" s="68" t="str">
        <x:v>30.5</x:v>
      </x:c>
      <x:c r="L508" s="68" t="str">
        <x:v>36</x:v>
      </x:c>
      <x:c r="M508" s="68" t="str"/>
      <x:c r="N508" s="68" t="str"/>
      <x:c r="O508" s="68" t="str">
        <x:v>66,5</x:v>
      </x:c>
      <x:c r="P508" s="68" t="str"/>
    </x:row>
    <x:row r="509">
      <x:c r="A509" s="106" t="n">
        <x:v>16</x:v>
      </x:c>
      <x:c r="B509" s="106" t="str">
        <x:v>508</x:v>
      </x:c>
      <x:c r="C509" s="167" t="str">
        <x:f>"0953 1 1 00554 1"</x:f>
        <x:v>0953 1 1 00554 1</x:v>
      </x:c>
      <x:c r="D509" s="68" t="str">
        <x:v>TRAN BAO NGQC</x:v>
      </x:c>
      <x:c r="E509" s="68" t="str">
        <x:v>X</x:v>
      </x:c>
      <x:c r="F509" s="68" t="str">
        <x:v>31/03/201 1</x:v>
      </x:c>
      <x:c r="G509" s="68" t="str">
        <x:v>Kinh</x:v>
      </x:c>
      <x:c r="H509" s="68" t="str">
        <x:v>Xa Phu6c Long</x:v>
      </x:c>
      <x:c r="I509" s="68" t="str">
        <x:v>THCS Phu a Long</x:v>
      </x:c>
      <x:c r="J509" s="68" t="str">
        <x:v>Xa Phu6c Long</x:v>
      </x:c>
      <x:c r="K509" s="68" t="str">
        <x:v>30.5</x:v>
      </x:c>
      <x:c r="L509" s="68" t="str">
        <x:v>36</x:v>
      </x:c>
      <x:c r="M509" s="68" t="str"/>
      <x:c r="N509" s="68" t="str"/>
      <x:c r="O509" s="68" t="str">
        <x:v>66.5</x:v>
      </x:c>
      <x:c r="P509" s="68" t="str"/>
    </x:row>
    <x:row r="510">
      <x:c r="A510" s="106" t="n">
        <x:v>16</x:v>
      </x:c>
      <x:c r="B510" s="106" t="str">
        <x:v>509</x:v>
      </x:c>
      <x:c r="C510" s="167" t="str">
        <x:f>"0893 1 1003206"</x:f>
        <x:v>0893 1 1003206</x:v>
      </x:c>
      <x:c r="D510" s="68" t="str">
        <x:v>NG6 KHANH TRANG</x:v>
      </x:c>
      <x:c r="E510" s="68" t="str"/>
      <x:c r="F510" s="68" t="str">
        <x:v>21/08/20 1 1</x:v>
      </x:c>
      <x:c r="G510" s="68" t="str">
        <x:v>Kinh</x:v>
      </x:c>
      <x:c r="H510" s="68" t="str">
        <x:v>Xa Phu(9c Long</x:v>
      </x:c>
      <x:c r="I510" s="68" t="str">
        <x:v>THCS Phu(tc Long</x:v>
      </x:c>
      <x:c r="J510" s="68" t="str">
        <x:v>Xa Phudc Long</x:v>
      </x:c>
      <x:c r="K510" s="68" t="str">
        <x:v>30.5</x:v>
      </x:c>
      <x:c r="L510" s="68" t="str">
        <x:v>36</x:v>
      </x:c>
      <x:c r="M510" s="68" t="str"/>
      <x:c r="N510" s="68" t="str"/>
      <x:c r="O510" s="68" t="str">
        <x:v>66.5</x:v>
      </x:c>
      <x:c r="P510" s="68" t="str"/>
    </x:row>
    <x:row r="511">
      <x:c r="A511" s="106" t="n">
        <x:v>16</x:v>
      </x:c>
      <x:c r="B511" s="106" t="str">
        <x:v>510</x:v>
      </x:c>
      <x:c r="C511" s="167" t="str">
        <x:f>"09521 1004685"</x:f>
        <x:v>09521 1004685</x:v>
      </x:c>
      <x:c r="D511" s="68" t="str">
        <x:v>LE DANG KH61</x:v>
      </x:c>
      <x:c r="E511" s="68" t="str">
        <x:v>X</x:v>
      </x:c>
      <x:c r="F511" s="68" t="str">
        <x:v>26/03/201 1</x:v>
      </x:c>
      <x:c r="G511" s="68" t="str">
        <x:v>Kinh</x:v>
      </x:c>
      <x:c r="H511" s="68" t="str">
        <x:v>Xa Vrnh Thanh</x:v>
      </x:c>
      <x:c r="I511" s="68" t="str">
        <x:v>THCS Hung Phd</x:v>
      </x:c>
      <x:c r="J511" s="68" t="str">
        <x:v>Xa Vlnh Thanh</x:v>
      </x:c>
      <x:c r="K511" s="68" t="str">
        <x:v>31.5</x:v>
      </x:c>
      <x:c r="L511" s="68" t="str">
        <x:v>35</x:v>
      </x:c>
      <x:c r="M511" s="68" t="str"/>
      <x:c r="N511" s="68" t="str"/>
      <x:c r="O511" s="68" t="str">
        <x:v>66.5</x:v>
      </x:c>
      <x:c r="P511" s="68" t="str"/>
    </x:row>
    <x:row r="512">
      <x:c r="A512" s="106" t="n">
        <x:v>16</x:v>
      </x:c>
      <x:c r="B512" s="106" t="str">
        <x:v>511</x:v>
      </x:c>
      <x:c r="C512" s="167" t="str">
        <x:f>"0953 1 1006263"</x:f>
        <x:v>0953 1 1006263</x:v>
      </x:c>
      <x:c r="D512" s="68" t="str">
        <x:v>TRAN NGQC KHANH BANG</x:v>
      </x:c>
      <x:c r="E512" s="68" t="str">
        <x:v>X</x:v>
      </x:c>
      <x:c r="F512" s="68" t="str">
        <x:v>17/10/201 1</x:v>
      </x:c>
      <x:c r="G512" s="68" t="str">
        <x:v>Kinh</x:v>
      </x:c>
      <x:c r="H512" s="68" t="str">
        <x:v>Xa Vinh Thanh</x:v>
      </x:c>
      <x:c r="I512" s="68" t="str">
        <x:v>THCS Hung Phd</x:v>
      </x:c>
      <x:c r="J512" s="68" t="str">
        <x:v>Xa VTITh T}lanh</x:v>
      </x:c>
      <x:c r="K512" s="68" t="str">
        <x:v>30.5</x:v>
      </x:c>
      <x:c r="L512" s="68" t="str">
        <x:v>36</x:v>
      </x:c>
      <x:c r="M512" s="68" t="str"/>
      <x:c r="N512" s="68" t="str"/>
      <x:c r="O512" s="68" t="str">
        <x:v>66.5</x:v>
      </x:c>
      <x:c r="P512" s="68" t="str"/>
    </x:row>
    <x:row r="513">
      <x:c r="A513" s="106" t="n">
        <x:v>16</x:v>
      </x:c>
      <x:c r="B513" s="106" t="str">
        <x:v>512</x:v>
      </x:c>
      <x:c r="C513" s="167" t="str">
        <x:f>"0953 1 1005001"</x:f>
        <x:v>0953 1 1005001</x:v>
      </x:c>
      <x:c r="D513" s="68" t="str">
        <x:v>DANH THI KHANH NGAN</x:v>
      </x:c>
      <x:c r="E513" s="68" t="str">
        <x:v>X</x:v>
      </x:c>
      <x:c r="F513" s="68" t="str">
        <x:v>15/06/20 1 1</x:v>
      </x:c>
      <x:c r="G513" s="68" t="str">
        <x:v>Khmer</x:v>
      </x:c>
      <x:c r="H513" s="68" t="str">
        <x:v>Xa Vinh Phu6c</x:v>
      </x:c>
      <x:c r="I513" s="68" t="str">
        <x:v>THCS VTnh Thanh</x:v>
      </x:c>
      <x:c r="J513" s="68" t="str">
        <x:v>Xa Vlnh Thanh</x:v>
      </x:c>
      <x:c r="K513" s="68" t="str">
        <x:v>29:5</x:v>
      </x:c>
      <x:c r="L513" s="68" t="str">
        <x:v>36</x:v>
      </x:c>
      <x:c r="M513" s="68" t="str">
        <x:v>1,0</x:v>
      </x:c>
      <x:c r="N513" s="68" t="str"/>
      <x:c r="O513" s="68" t="str">
        <x:v>66.5</x:v>
      </x:c>
      <x:c r="P513" s="68" t="str"/>
    </x:row>
    <x:row r="514">
      <x:c r="A514" s="106" t="n">
        <x:v>16</x:v>
      </x:c>
      <x:c r="B514" s="106" t="str">
        <x:v>513</x:v>
      </x:c>
      <x:c r="C514" s="167" t="str">
        <x:f>"0952 1 1 009012"</x:f>
        <x:v>0952 1 1 009012</x:v>
      </x:c>
      <x:c r="D514" s="68" t="str">
        <x:v>NGUYEN NHAT KHANG</x:v>
      </x:c>
      <x:c r="E514" s="68" t="str"/>
      <x:c r="F514" s="68" t="str">
        <x:v>30/03/201 1</x:v>
      </x:c>
      <x:c r="G514" s="68" t="str">
        <x:v>Kinh</x:v>
      </x:c>
      <x:c r="H514" s="68" t="str">
        <x:v>Xa Phudc Long</x:v>
      </x:c>
      <x:c r="I514" s="68" t="str">
        <x:v>THCS Vuang Htru Nhan</x:v>
      </x:c>
      <x:c r="J514" s="68" t="str">
        <x:v>Xa Phu6c Long</x:v>
      </x:c>
      <x:c r="K514" s="68" t="str">
        <x:v>30.5</x:v>
      </x:c>
      <x:c r="L514" s="68" t="str">
        <x:v>36</x:v>
      </x:c>
      <x:c r="M514" s="68" t="str"/>
      <x:c r="N514" s="68" t="str"/>
      <x:c r="O514" s="68" t="str">
        <x:v>66.5</x:v>
      </x:c>
      <x:c r="P514" s="68" t="str"/>
    </x:row>
    <x:row r="515">
      <x:c r="A515" s="106" t="n">
        <x:v>16</x:v>
      </x:c>
      <x:c r="B515" s="106" t="str">
        <x:v>514</x:v>
      </x:c>
      <x:c r="C515" s="167" t="str">
        <x:f>"0952 1 1004524"</x:f>
        <x:v>0952 1 1004524</x:v>
      </x:c>
      <x:c r="D515" s="68" t="str">
        <x:v>NGUYEN DANG PHU’dC MU</x:v>
      </x:c>
      <x:c r="E515" s="68" t="str"/>
      <x:c r="F515" s="68" t="str">
        <x:v>11/07/2011</x:v>
      </x:c>
      <x:c r="G515" s="68" t="str">
        <x:v>Kinh</x:v>
      </x:c>
      <x:c r="H515" s="68" t="str">
        <x:v>Xa VTnh LOc</x:v>
      </x:c>
      <x:c r="I515" s="68" t="str">
        <x:v>THCS VTnh LOc</x:v>
      </x:c>
      <x:c r="J515" s="68" t="str">
        <x:v>Xa Wnh LOc</x:v>
      </x:c>
      <x:c r="K515" s="68" t="str">
        <x:v>30.5</x:v>
      </x:c>
      <x:c r="L515" s="68" t="str">
        <x:v>36</x:v>
      </x:c>
      <x:c r="M515" s="68" t="str"/>
      <x:c r="N515" s="68" t="str"/>
      <x:c r="O515" s="68" t="str">
        <x:v>66.5</x:v>
      </x:c>
      <x:c r="P515" s="68" t="str"/>
    </x:row>
    <x:row r="516">
      <x:c r="A516" s="106" t="n">
        <x:v>16</x:v>
      </x:c>
      <x:c r="B516" s="106" t="str">
        <x:v>515</x:v>
      </x:c>
      <x:c r="C516" s="167" t="str">
        <x:f>"09531 1009449"</x:f>
        <x:v>09531 1009449</x:v>
      </x:c>
      <x:c r="D516" s="68" t="str">
        <x:v>LAM NHtJ V</x:v>
      </x:c>
      <x:c r="E516" s="68" t="str">
        <x:v>X</x:v>
      </x:c>
      <x:c r="F516" s="68" t="str">
        <x:v>10/12/20 1 1</x:v>
      </x:c>
      <x:c r="G516" s="68" t="str">
        <x:v>Kinh</x:v>
      </x:c>
      <x:c r="H516" s="68" t="str">
        <x:v>Xa Phudc Long</x:v>
      </x:c>
      <x:c r="I516" s="68" t="str">
        <x:v>THCS Phua Long</x:v>
      </x:c>
      <x:c r="J516" s="68" t="str">
        <x:v>Xa Phudc Long</x:v>
      </x:c>
      <x:c r="K516" s="68" t="str">
        <x:v>30.4</x:v>
      </x:c>
      <x:c r="L516" s="68" t="str">
        <x:v>36</x:v>
      </x:c>
      <x:c r="M516" s="68" t="str"/>
      <x:c r="N516" s="68" t="str"/>
      <x:c r="O516" s="68" t="str">
        <x:v>66.4</x:v>
      </x:c>
      <x:c r="P516" s="68" t="str"/>
    </x:row>
    <x:row r="517">
      <x:c r="A517" s="106" t="n">
        <x:v>16</x:v>
      </x:c>
      <x:c r="B517" s="106" t="str">
        <x:v>516</x:v>
      </x:c>
      <x:c r="C517" s="167" t="str">
        <x:f>"0953 1 1007414"</x:f>
        <x:v>0953 1 1007414</x:v>
      </x:c>
      <x:c r="D517" s="68" t="str">
        <x:v>NGUY£N THI THU MIEU</x:v>
      </x:c>
      <x:c r="E517" s="68" t="str">
        <x:v>X</x:v>
      </x:c>
      <x:c r="F517" s="68" t="str">
        <x:v>06/03/2011</x:v>
      </x:c>
      <x:c r="G517" s="68" t="str">
        <x:v>Kinh</x:v>
      </x:c>
      <x:c r="H517" s="68" t="str">
        <x:v>Xa Phu6c Long</x:v>
      </x:c>
      <x:c r="I517" s="68" t="str">
        <x:v>THCS Phu6c Long</x:v>
      </x:c>
      <x:c r="J517" s="68" t="str">
        <x:v>Xa Phu6c Long</x:v>
      </x:c>
      <x:c r="K517" s="68" t="str">
        <x:v>30.4</x:v>
      </x:c>
      <x:c r="L517" s="68" t="str">
        <x:v>36</x:v>
      </x:c>
      <x:c r="M517" s="68" t="str"/>
      <x:c r="N517" s="68" t="str"/>
      <x:c r="O517" s="68" t="str">
        <x:v>66.4</x:v>
      </x:c>
      <x:c r="P517" s="68" t="str"/>
    </x:row>
    <x:row r="518">
      <x:c r="A518" s="106" t="n">
        <x:v>16</x:v>
      </x:c>
      <x:c r="B518" s="106" t="str">
        <x:v>517</x:v>
      </x:c>
      <x:c r="C518" s="167" t="str">
        <x:f>"0953 1 1004348"</x:f>
        <x:v>0953 1 1004348</x:v>
      </x:c>
      <x:c r="D518" s="68" t="str">
        <x:v>TRtJONG ? DaN</x:v>
      </x:c>
      <x:c r="E518" s="68" t="str">
        <x:v>X</x:v>
      </x:c>
      <x:c r="F518" s="68" t="str">
        <x:v>09/09/2011</x:v>
      </x:c>
      <x:c r="G518" s="68" t="str">
        <x:v>Kinh</x:v>
      </x:c>
      <x:c r="H518" s="68" t="str">
        <x:v>Xa VTnh Thanh</x:v>
      </x:c>
      <x:c r="I518" s="68" t="str">
        <x:v>THCS Vinh Thanh</x:v>
      </x:c>
      <x:c r="J518" s="68" t="str">
        <x:v>Xa VTnh Thanh</x:v>
      </x:c>
      <x:c r="K518" s="68" t="str">
        <x:v>30.4</x:v>
      </x:c>
      <x:c r="L518" s="68" t="str">
        <x:v>36</x:v>
      </x:c>
      <x:c r="M518" s="68" t="str"/>
      <x:c r="N518" s="68" t="str"/>
      <x:c r="O518" s="68" t="str">
        <x:v>66,4</x:v>
      </x:c>
      <x:c r="P518" s="68" t="str"/>
    </x:row>
    <x:row r="519">
      <x:c r="A519" s="106" t="n">
        <x:v>16</x:v>
      </x:c>
      <x:c r="B519" s="106" t="str">
        <x:v>518</x:v>
      </x:c>
      <x:c r="C519" s="167" t="str">
        <x:f>"0953 1 1004403"</x:f>
        <x:v>0953 1 1004403</x:v>
      </x:c>
      <x:c r="D519" s="68" t="str">
        <x:v>NGUYEN THI KHANH NGQC</x:v>
      </x:c>
      <x:c r="E519" s="68" t="str">
        <x:v>X</x:v>
      </x:c>
      <x:c r="F519" s="68" t="str">
        <x:v>01/01/20 1 1</x:v>
      </x:c>
      <x:c r="G519" s="68" t="str">
        <x:v>Kinh</x:v>
      </x:c>
      <x:c r="H519" s="68" t="str">
        <x:v>Xa Phu6c Long</x:v>
      </x:c>
      <x:c r="I519" s="68" t="str">
        <x:v>THCS Truang Wnh KV</x:v>
      </x:c>
      <x:c r="J519" s="68" t="str">
        <x:v>Xa H6ng Dan</x:v>
      </x:c>
      <x:c r="K519" s="68" t="str">
        <x:v>30.4</x:v>
      </x:c>
      <x:c r="L519" s="68" t="str">
        <x:v>36</x:v>
      </x:c>
      <x:c r="M519" s="68" t="str"/>
      <x:c r="N519" s="68" t="str"/>
      <x:c r="O519" s="68" t="str">
        <x:v>66.4</x:v>
      </x:c>
      <x:c r="P519" s="68" t="str"/>
    </x:row>
    <x:row r="520">
      <x:c r="A520" s="106" t="n">
        <x:v>16</x:v>
      </x:c>
      <x:c r="B520" s="106" t="str">
        <x:v>519</x:v>
      </x:c>
      <x:c r="C520" s="167" t="str">
        <x:f>"09521 1006400"</x:f>
        <x:v>09521 1006400</x:v>
      </x:c>
      <x:c r="D520" s="68" t="str">
        <x:v>THAI MINH FruY</x:v>
      </x:c>
      <x:c r="E520" s="68" t="str"/>
      <x:c r="F520" s="68" t="str">
        <x:v>25/0 1/201 1</x:v>
      </x:c>
      <x:c r="G520" s="68" t="str">
        <x:v>Kinh</x:v>
      </x:c>
      <x:c r="H520" s="68" t="str">
        <x:v>Xi Phu6c Long THCS</x:v>
      </x:c>
      <x:c r="I520" s="68" t="str">
        <x:v>Vuang Hau Nhan</x:v>
      </x:c>
      <x:c r="J520" s="68" t="str">
        <x:v>Xa Phudc Long</x:v>
      </x:c>
      <x:c r="K520" s="68" t="str">
        <x:v>30.4</x:v>
      </x:c>
      <x:c r="L520" s="68" t="str">
        <x:v>36</x:v>
      </x:c>
      <x:c r="M520" s="68" t="str"/>
      <x:c r="N520" s="68" t="str"/>
      <x:c r="O520" s="68" t="str">
        <x:v>66.4</x:v>
      </x:c>
      <x:c r="P520" s="68" t="str"/>
    </x:row>
    <x:row r="521">
      <x:c r="A521" s="106" t="n">
        <x:v>16</x:v>
      </x:c>
      <x:c r="B521" s="106" t="str">
        <x:v>520</x:v>
      </x:c>
      <x:c r="C521" s="167" t="str">
        <x:f>"0952 1 1006140"</x:f>
        <x:v>0952 1 1006140</x:v>
      </x:c>
      <x:c r="D521" s="68" t="str">
        <x:v>Le CHi NUAN</x:v>
      </x:c>
      <x:c r="E521" s="68" t="str"/>
      <x:c r="F521" s="68" t="str">
        <x:v>17/12/2011</x:v>
      </x:c>
      <x:c r="G521" s="68" t="str">
        <x:v>Kinh</x:v>
      </x:c>
      <x:c r="H521" s="68" t="str">
        <x:v>Xa Phu6c Long</x:v>
      </x:c>
      <x:c r="I521" s="68" t="str">
        <x:v>THCS Phu a Long</x:v>
      </x:c>
      <x:c r="J521" s="68" t="str">
        <x:v>Xa Phudc Long</x:v>
      </x:c>
      <x:c r="K521" s="68" t="str">
        <x:v>31.3</x:v>
      </x:c>
      <x:c r="L521" s="68" t="str">
        <x:v>35</x:v>
      </x:c>
      <x:c r="M521" s="68" t="str"/>
      <x:c r="N521" s="68" t="str"/>
      <x:c r="O521" s="68" t="str">
        <x:v>66.3</x:v>
      </x:c>
      <x:c r="P521" s="68" t="str"/>
    </x:row>
    <x:row r="522">
      <x:c r="A522" s="106" t="n">
        <x:v>16</x:v>
      </x:c>
      <x:c r="B522" s="106" t="str">
        <x:v>521</x:v>
      </x:c>
      <x:c r="C522" s="167" t="str">
        <x:f>"0953 1 1007496"</x:f>
        <x:v>0953 1 1007496</x:v>
      </x:c>
      <x:c r="D522" s="68" t="str">
        <x:v>vO GLA nAN</x:v>
      </x:c>
      <x:c r="E522" s="68" t="str">
        <x:v>X</x:v>
      </x:c>
      <x:c r="F522" s="68" t="str">
        <x:v>30/09/201 1</x:v>
      </x:c>
      <x:c r="G522" s="68" t="str">
        <x:v>Kinh</x:v>
      </x:c>
      <x:c r="H522" s="68" t="str">
        <x:v>Xa Vinh phu6c</x:v>
      </x:c>
      <x:c r="I522" s="68" t="str">
        <x:v>THCS Vinh Pha Tay</x:v>
      </x:c>
      <x:c r="J522" s="68" t="str">
        <x:v>Xa Vinh PhMc</x:v>
      </x:c>
      <x:c r="K522" s="68" t="str">
        <x:v>30.3</x:v>
      </x:c>
      <x:c r="L522" s="68" t="str">
        <x:v>36</x:v>
      </x:c>
      <x:c r="M522" s="68" t="str"/>
      <x:c r="N522" s="68" t="str"/>
      <x:c r="O522" s="68" t="str">
        <x:v>66.3</x:v>
      </x:c>
      <x:c r="P522" s="68" t="str"/>
    </x:row>
    <x:row r="523">
      <x:c r="A523" s="106" t="n">
        <x:v>16</x:v>
      </x:c>
      <x:c r="B523" s="106" t="str">
        <x:v>522</x:v>
      </x:c>
      <x:c r="C523" s="167" t="str">
        <x:f>"095211005733"</x:f>
        <x:v>095211005733</x:v>
      </x:c>
      <x:c r="D523" s="68" t="str">
        <x:v>vO vAN SANG</x:v>
      </x:c>
      <x:c r="E523" s="68" t="str"/>
      <x:c r="F523" s="68" t="str">
        <x:v>23/1 1/2011</x:v>
      </x:c>
      <x:c r="G523" s="68" t="str">
        <x:v>Kinh</x:v>
      </x:c>
      <x:c r="H523" s="68" t="str">
        <x:v>Xa Vinh Thanh</x:v>
      </x:c>
      <x:c r="I523" s="68" t="str">
        <x:v>THCS Hung Pha</x:v>
      </x:c>
      <x:c r="J523" s="68" t="str">
        <x:v>Xa VTnh Thanh</x:v>
      </x:c>
      <x:c r="K523" s="68" t="str">
        <x:v>31.3</x:v>
      </x:c>
      <x:c r="L523" s="68" t="str">
        <x:v>35</x:v>
      </x:c>
      <x:c r="M523" s="68" t="str"/>
      <x:c r="N523" s="68" t="str"/>
      <x:c r="O523" s="68" t="str">
        <x:v>66.3</x:v>
      </x:c>
      <x:c r="P523" s="68" t="str"/>
    </x:row>
    <x:row r="524">
      <x:c r="A524" s="106" t="n">
        <x:v>16</x:v>
      </x:c>
      <x:c r="B524" s="106" t="str">
        <x:v>523</x:v>
      </x:c>
      <x:c r="C524" s="167" t="str">
        <x:f>"0953 1 1000052"</x:f>
        <x:v>0953 1 1000052</x:v>
      </x:c>
      <x:c r="D524" s="68" t="str">
        <x:v>NGUYEN NHA VY</x:v>
      </x:c>
      <x:c r="E524" s="68" t="str">
        <x:v>X</x:v>
      </x:c>
      <x:c r="F524" s="68" t="str">
        <x:v>01/07/2011</x:v>
      </x:c>
      <x:c r="G524" s="68" t="str">
        <x:v>Kinh</x:v>
      </x:c>
      <x:c r="H524" s="68" t="str">
        <x:v>Xa Phu6c Long</x:v>
      </x:c>
      <x:c r="I524" s="68" t="str">
        <x:v>THCS Vinh Thanh</x:v>
      </x:c>
      <x:c r="J524" s="68" t="str">
        <x:v>Xa Wnh Thanh</x:v>
      </x:c>
      <x:c r="K524" s="68" t="str">
        <x:v>30.3</x:v>
      </x:c>
      <x:c r="L524" s="68" t="str">
        <x:v>36</x:v>
      </x:c>
      <x:c r="M524" s="68" t="str"/>
      <x:c r="N524" s="68" t="str"/>
      <x:c r="O524" s="68" t="str">
        <x:v>66.3</x:v>
      </x:c>
      <x:c r="P524" s="68" t="str"/>
    </x:row>
    <x:row r="525">
      <x:c r="A525" s="106" t="n">
        <x:v>16</x:v>
      </x:c>
      <x:c r="B525" s="106" t="str">
        <x:v>524</x:v>
      </x:c>
      <x:c r="C525" s="167" t="str">
        <x:f>"079211028973"</x:f>
        <x:v>079211028973</x:v>
      </x:c>
      <x:c r="D525" s="68" t="str">
        <x:v>NGO L£ TRUNG Hl£U</x:v>
      </x:c>
      <x:c r="E525" s="68" t="str"/>
      <x:c r="F525" s="68" t="str">
        <x:v>24/10/201 1</x:v>
      </x:c>
      <x:c r="G525" s="68" t="str">
        <x:v>Kinh</x:v>
      </x:c>
      <x:c r="H525" s="68" t="str">
        <x:v>Xa VTnh Phu6c</x:v>
      </x:c>
      <x:c r="I525" s="68" t="str">
        <x:v>THCS Phua Long</x:v>
      </x:c>
      <x:c r="J525" s="68" t="str">
        <x:v>Xa Wlnh Phudc</x:v>
      </x:c>
      <x:c r="K525" s="68" t="str">
        <x:v>3 1 .3</x:v>
      </x:c>
      <x:c r="L525" s="68" t="str">
        <x:v>34</x:v>
      </x:c>
      <x:c r="M525" s="68" t="str">
        <x:v>1,0</x:v>
      </x:c>
      <x:c r="N525" s="68" t="str"/>
      <x:c r="O525" s="68" t="str">
        <x:v>66.3</x:v>
      </x:c>
      <x:c r="P525" s="68" t="str"/>
    </x:row>
    <x:row r="526">
      <x:c r="A526" s="106" t="n">
        <x:v>16</x:v>
      </x:c>
      <x:c r="B526" s="106" t="str">
        <x:v>525</x:v>
      </x:c>
      <x:c r="C526" s="167" t="str">
        <x:f>"0953 1 1008488"</x:f>
        <x:v>0953 1 1008488</x:v>
      </x:c>
      <x:c r="D526" s="68" t="str">
        <x:v>NGUYEN THI MONG NGHI</x:v>
      </x:c>
      <x:c r="E526" s="68" t="str">
        <x:v>X</x:v>
      </x:c>
      <x:c r="F526" s="68" t="str">
        <x:v>27/02/2011</x:v>
      </x:c>
      <x:c r="G526" s="68" t="str">
        <x:v>Kinh</x:v>
      </x:c>
      <x:c r="H526" s="68" t="str">
        <x:v>Xa Phu6c Long THCS</x:v>
      </x:c>
      <x:c r="I526" s="68" t="str">
        <x:v>Vuang Hrm Nhan</x:v>
      </x:c>
      <x:c r="J526" s="68" t="str">
        <x:v>Xa Phudc Long</x:v>
      </x:c>
      <x:c r="K526" s="68" t="str">
        <x:v>30.3</x:v>
      </x:c>
      <x:c r="L526" s="68" t="str">
        <x:v>36</x:v>
      </x:c>
      <x:c r="M526" s="68" t="str"/>
      <x:c r="N526" s="68" t="str"/>
      <x:c r="O526" s="68" t="str">
        <x:v>66.3</x:v>
      </x:c>
      <x:c r="P526" s="68" t="str"/>
    </x:row>
    <x:row r="527">
      <x:c r="A527" s="106" t="n">
        <x:v>16</x:v>
      </x:c>
      <x:c r="B527" s="106" t="str">
        <x:v>526</x:v>
      </x:c>
      <x:c r="C527" s="167" t="str">
        <x:f>"09531 1007236"</x:f>
        <x:v>09531 1007236</x:v>
      </x:c>
      <x:c r="D527" s="68" t="str">
        <x:v>KIEU THI KIM DUNG</x:v>
      </x:c>
      <x:c r="E527" s="68" t="str">
        <x:v>X</x:v>
      </x:c>
      <x:c r="F527" s="68" t="str">
        <x:v>23/02/201 1</x:v>
      </x:c>
      <x:c r="G527" s="68" t="str">
        <x:v>Kinh</x:v>
      </x:c>
      <x:c r="H527" s="68" t="str">
        <x:v>Xa Phu6c Long</x:v>
      </x:c>
      <x:c r="I527" s="68" t="str">
        <x:v>THCS Phu6c Long</x:v>
      </x:c>
      <x:c r="J527" s="68" t="str">
        <x:v>Xa Phu6c Long</x:v>
      </x:c>
      <x:c r="K527" s="68" t="str">
        <x:v>30.2</x:v>
      </x:c>
      <x:c r="L527" s="68" t="str">
        <x:v>36</x:v>
      </x:c>
      <x:c r="M527" s="68" t="str"/>
      <x:c r="N527" s="68" t="str"/>
      <x:c r="O527" s="68" t="str">
        <x:v>66.2</x:v>
      </x:c>
      <x:c r="P527" s="68" t="str"/>
    </x:row>
    <x:row r="528">
      <x:c r="A528" s="106" t="n">
        <x:v>16</x:v>
      </x:c>
      <x:c r="B528" s="106" t="str">
        <x:v>527</x:v>
      </x:c>
      <x:c r="C528" s="167" t="str">
        <x:f>"0953 1 1004490"</x:f>
        <x:v>0953 1 1004490</x:v>
      </x:c>
      <x:c r="D528" s="68" t="str">
        <x:v>TRAN Y KHOA</x:v>
      </x:c>
      <x:c r="E528" s="68" t="str">
        <x:v>X</x:v>
      </x:c>
      <x:c r="F528" s="68" t="str">
        <x:v>10/04/201 1</x:v>
      </x:c>
      <x:c r="G528" s="68" t="str">
        <x:v>Kinh</x:v>
      </x:c>
      <x:c r="H528" s="68" t="str">
        <x:v>Xa Phu6c Long</x:v>
      </x:c>
      <x:c r="I528" s="68" t="str">
        <x:v>THCS Phudc Long</x:v>
      </x:c>
      <x:c r="J528" s="68" t="str">
        <x:v>Xa Phu6c Long</x:v>
      </x:c>
      <x:c r="K528" s="68" t="str">
        <x:v>30.2</x:v>
      </x:c>
      <x:c r="L528" s="68" t="str">
        <x:v>36</x:v>
      </x:c>
      <x:c r="M528" s="68" t="str"/>
      <x:c r="N528" s="68" t="str"/>
      <x:c r="O528" s="68" t="str">
        <x:v>66.2</x:v>
      </x:c>
      <x:c r="P528" s="68" t="str"/>
    </x:row>
    <x:row r="529">
      <x:c r="A529" s="106" t="n">
        <x:v>16</x:v>
      </x:c>
      <x:c r="B529" s="106" t="str">
        <x:v>528</x:v>
      </x:c>
      <x:c r="C529" s="167" t="str">
        <x:f>"0953 1 1003266"</x:f>
        <x:v>0953 1 1003266</x:v>
      </x:c>
      <x:c r="D529" s="68" t="str">
        <x:v>H6 THI YEN LINH</x:v>
      </x:c>
      <x:c r="E529" s="68" t="str">
        <x:v>X</x:v>
      </x:c>
      <x:c r="F529" s="68" t="str">
        <x:v>28/04/2011</x:v>
      </x:c>
      <x:c r="G529" s="68" t="str">
        <x:v>Kinh</x:v>
      </x:c>
      <x:c r="H529" s="68" t="str">
        <x:v>Xa VTnh Phu6c</x:v>
      </x:c>
      <x:c r="I529" s="68" t="str">
        <x:v>THCS Wnh Pha Tay</x:v>
      </x:c>
      <x:c r="J529" s="68" t="str">
        <x:v>Xa VTnh Phudc</x:v>
      </x:c>
      <x:c r="K529" s="68" t="str">
        <x:v>29.2</x:v>
      </x:c>
      <x:c r="L529" s="68" t="str">
        <x:v>36</x:v>
      </x:c>
      <x:c r="M529" s="68" t="str">
        <x:v>1.0</x:v>
      </x:c>
      <x:c r="N529" s="68" t="str"/>
      <x:c r="O529" s="68" t="str">
        <x:v>66.2</x:v>
      </x:c>
      <x:c r="P529" s="68" t="str"/>
    </x:row>
    <x:row r="530">
      <x:c r="A530" s="106" t="n">
        <x:v>16</x:v>
      </x:c>
      <x:c r="B530" s="106" t="str">
        <x:v>529</x:v>
      </x:c>
      <x:c r="C530" s="167" t="str">
        <x:f>"09521 1004603"</x:f>
        <x:v>09521 1004603</x:v>
      </x:c>
      <x:c r="D530" s="68" t="str">
        <x:v>Dt/aNG THANH DIJ</x:v>
      </x:c>
      <x:c r="E530" s="68" t="str"/>
      <x:c r="F530" s="68" t="str">
        <x:v>18/10/201 1</x:v>
      </x:c>
      <x:c r="G530" s="68" t="str">
        <x:v>Kinh</x:v>
      </x:c>
      <x:c r="H530" s="68" t="str">
        <x:v>Xa Vlnh Thanh</x:v>
      </x:c>
      <x:c r="I530" s="68" t="str">
        <x:v>THCS Hung Phd</x:v>
      </x:c>
      <x:c r="J530" s="68" t="str">
        <x:v>Xa Vinh Thanh</x:v>
      </x:c>
      <x:c r="K530" s="68" t="str">
        <x:v>31.2</x:v>
      </x:c>
      <x:c r="L530" s="68" t="str">
        <x:v>35</x:v>
      </x:c>
      <x:c r="M530" s="68" t="str"/>
      <x:c r="N530" s="68" t="str"/>
      <x:c r="O530" s="68" t="str">
        <x:v>66.2</x:v>
      </x:c>
      <x:c r="P530" s="68" t="str"/>
    </x:row>
    <x:row r="531">
      <x:c r="A531" s="106" t="n">
        <x:v>16</x:v>
      </x:c>
      <x:c r="B531" s="106" t="str">
        <x:v>530</x:v>
      </x:c>
      <x:c r="C531" s="167" t="str">
        <x:f>"09531 1006002"</x:f>
        <x:v>09531 1006002</x:v>
      </x:c>
      <x:c r="D531" s="68" t="str">
        <x:v>NGO KHANH BANG</x:v>
      </x:c>
      <x:c r="E531" s="68" t="str">
        <x:v>X</x:v>
      </x:c>
      <x:c r="F531" s="68" t="str">
        <x:v>19/09/201 1</x:v>
      </x:c>
      <x:c r="G531" s="68" t="str">
        <x:v>Kinh</x:v>
      </x:c>
      <x:c r="H531" s="68" t="str">
        <x:v>Xa VTnh Thanh</x:v>
      </x:c>
      <x:c r="I531" s="68" t="str">
        <x:v>THCS Vinh Thanh</x:v>
      </x:c>
      <x:c r="J531" s="68" t="str">
        <x:v>Xa Vinh Thanh</x:v>
      </x:c>
      <x:c r="K531" s="68" t="str">
        <x:v>30.2</x:v>
      </x:c>
      <x:c r="L531" s="68" t="str">
        <x:v>36</x:v>
      </x:c>
      <x:c r="M531" s="68" t="str"/>
      <x:c r="N531" s="68" t="str"/>
      <x:c r="O531" s="68" t="str">
        <x:v>66.2</x:v>
      </x:c>
      <x:c r="P531" s="68" t="str"/>
    </x:row>
    <x:row r="532">
      <x:c r="A532" s="106" t="n">
        <x:v>16</x:v>
      </x:c>
      <x:c r="B532" s="106" t="str">
        <x:v>531</x:v>
      </x:c>
      <x:c r="C532" s="167" t="str">
        <x:f>"09531 1002529"</x:f>
        <x:v>09531 1002529</x:v>
      </x:c>
      <x:c r="D532" s="68" t="str">
        <x:v>NGUYBN BAO TRAM</x:v>
      </x:c>
      <x:c r="E532" s="68" t="str">
        <x:v>X</x:v>
      </x:c>
      <x:c r="F532" s="68" t="str">
        <x:v>29/1 1/2011</x:v>
      </x:c>
      <x:c r="G532" s="68" t="str">
        <x:v>Kinh</x:v>
      </x:c>
      <x:c r="H532" s="68" t="str">
        <x:v>Xa Phudc Long THCS</x:v>
      </x:c>
      <x:c r="I532" s="68" t="str">
        <x:v>Vuang H&amp;u Nhan</x:v>
      </x:c>
      <x:c r="J532" s="68" t="str">
        <x:v>Xa Phu6c Long</x:v>
      </x:c>
      <x:c r="K532" s="68" t="str">
        <x:v>30.2</x:v>
      </x:c>
      <x:c r="L532" s="68" t="str">
        <x:v>36</x:v>
      </x:c>
      <x:c r="M532" s="68" t="str"/>
      <x:c r="N532" s="68" t="str"/>
      <x:c r="O532" s="68" t="str">
        <x:v>66.2</x:v>
      </x:c>
      <x:c r="P532" s="68" t="str"/>
    </x:row>
    <x:row r="533">
      <x:c r="A533" s="106" t="n">
        <x:v>16</x:v>
      </x:c>
      <x:c r="B533" s="106" t="str">
        <x:v>532</x:v>
      </x:c>
      <x:c r="C533" s="167" t="str">
        <x:f>"095211005987"</x:f>
        <x:v>095211005987</x:v>
      </x:c>
      <x:c r="D533" s="68" t="str">
        <x:v>TRAN TRUNG CHUAN</x:v>
      </x:c>
      <x:c r="E533" s="68" t="str"/>
      <x:c r="F533" s="68" t="str">
        <x:v>31/03/2011</x:v>
      </x:c>
      <x:c r="G533" s="68" t="str">
        <x:v>Kinh</x:v>
      </x:c>
      <x:c r="H533" s="68" t="str">
        <x:v>Xa Phu6c Long THCS</x:v>
      </x:c>
      <x:c r="I533" s="68" t="str">
        <x:v>Vuang Hau Nhan</x:v>
      </x:c>
      <x:c r="J533" s="68" t="str">
        <x:v>Xa Phudc Long</x:v>
      </x:c>
      <x:c r="K533" s="68" t="str">
        <x:v>30.2</x:v>
      </x:c>
      <x:c r="L533" s="68" t="str">
        <x:v>36</x:v>
      </x:c>
      <x:c r="M533" s="68" t="str"/>
      <x:c r="N533" s="68" t="str"/>
      <x:c r="O533" s="68" t="str">
        <x:v>66.2</x:v>
      </x:c>
      <x:c r="P533" s="68" t="str"/>
    </x:row>
    <x:row r="534">
      <x:c r="A534" s="106" t="n">
        <x:v>16</x:v>
      </x:c>
      <x:c r="B534" s="106" t="str">
        <x:v>533</x:v>
      </x:c>
      <x:c r="C534" s="167" t="str">
        <x:f>"09521 1006125"</x:f>
        <x:v>09521 1006125</x:v>
      </x:c>
      <x:c r="D534" s="68" t="str">
        <x:v>NGUYeN vAN KIEN</x:v>
      </x:c>
      <x:c r="E534" s="68" t="str"/>
      <x:c r="F534" s="68" t="str">
        <x:v>23/06/201 1</x:v>
      </x:c>
      <x:c r="G534" s="68" t="str">
        <x:v>Kinh</x:v>
      </x:c>
      <x:c r="H534" s="68" t="str">
        <x:v>Xa Phu6c Long</x:v>
      </x:c>
      <x:c r="I534" s="68" t="str">
        <x:v>THCS Truang Wnh KP</x:v>
      </x:c>
      <x:c r="J534" s="68" t="str">
        <x:v>Xa H6ng Dan</x:v>
      </x:c>
      <x:c r="K534" s="68" t="str">
        <x:v>30. 1</x:v>
      </x:c>
      <x:c r="L534" s="68" t="str">
        <x:v>36</x:v>
      </x:c>
      <x:c r="M534" s="68" t="str"/>
      <x:c r="N534" s="68" t="str"/>
      <x:c r="O534" s="68" t="str">
        <x:v>66. 1</x:v>
      </x:c>
      <x:c r="P534" s="68" t="str"/>
    </x:row>
    <x:row r="535">
      <x:c r="A535" s="106" t="n">
        <x:v>16</x:v>
      </x:c>
      <x:c r="B535" s="106" t="str">
        <x:v>534</x:v>
      </x:c>
      <x:c r="C535" s="167" t="str">
        <x:f>"09531 1008002"</x:f>
        <x:v>09531 1008002</x:v>
      </x:c>
      <x:c r="D535" s="68" t="str">
        <x:v>LI THI AI NAM</x:v>
      </x:c>
      <x:c r="E535" s="68" t="str">
        <x:v>X</x:v>
      </x:c>
      <x:c r="F535" s="68" t="str">
        <x:v>07/09/201 1</x:v>
      </x:c>
      <x:c r="G535" s="68" t="str">
        <x:v>Kinh</x:v>
      </x:c>
      <x:c r="H535" s="68" t="str">
        <x:v>Xa VTnh Thanh</x:v>
      </x:c>
      <x:c r="I535" s="68" t="str">
        <x:v>THCS Hung Phd</x:v>
      </x:c>
      <x:c r="J535" s="68" t="str">
        <x:v>Xa VTnh Thanh</x:v>
      </x:c>
      <x:c r="K535" s="68" t="str">
        <x:v>30.0</x:v>
      </x:c>
      <x:c r="L535" s="68" t="str">
        <x:v>36</x:v>
      </x:c>
      <x:c r="M535" s="68" t="str"/>
      <x:c r="N535" s="68" t="str"/>
      <x:c r="O535" s="68" t="str">
        <x:v>66.0</x:v>
      </x:c>
      <x:c r="P535" s="68" t="str"/>
    </x:row>
    <x:row r="536">
      <x:c r="A536" s="106" t="n">
        <x:v>16</x:v>
      </x:c>
      <x:c r="B536" s="106" t="str">
        <x:v>535</x:v>
      </x:c>
      <x:c r="C536" s="167" t="str">
        <x:f>"0953 1 1000075"</x:f>
        <x:v>0953 1 1000075</x:v>
      </x:c>
      <x:c r="D536" s="68" t="str">
        <x:v>TRUONG TbrANH THU</x:v>
      </x:c>
      <x:c r="E536" s="68" t="str">
        <x:v>X</x:v>
      </x:c>
      <x:c r="F536" s="68" t="str">
        <x:v>13/06/201 1</x:v>
      </x:c>
      <x:c r="G536" s="68" t="str">
        <x:v>Kinh</x:v>
      </x:c>
      <x:c r="H536" s="68" t="str">
        <x:v>Xa Phu6c Long</x:v>
      </x:c>
      <x:c r="I536" s="68" t="str">
        <x:v>THCS Hung Phd</x:v>
      </x:c>
      <x:c r="J536" s="68" t="str">
        <x:v>Xa Vrnh Thanh</x:v>
      </x:c>
      <x:c r="K536" s="68" t="str">
        <x:v>31.0</x:v>
      </x:c>
      <x:c r="L536" s="68" t="str">
        <x:v>35</x:v>
      </x:c>
      <x:c r="M536" s="68" t="str"/>
      <x:c r="N536" s="68" t="str"/>
      <x:c r="O536" s="68" t="str">
        <x:v>66.0</x:v>
      </x:c>
      <x:c r="P536" s="68" t="str"/>
    </x:row>
    <x:row r="537">
      <x:c r="A537" s="106" t="n">
        <x:v>16</x:v>
      </x:c>
      <x:c r="B537" s="106" t="str">
        <x:v>536</x:v>
      </x:c>
      <x:c r="C537" s="167" t="str">
        <x:f>"09521 1003920"</x:f>
        <x:v>09521 1003920</x:v>
      </x:c>
      <x:c r="D537" s="68" t="str">
        <x:v>TRAN GIA THINH</x:v>
      </x:c>
      <x:c r="E537" s="68" t="str"/>
      <x:c r="F537" s="68" t="str">
        <x:v>05/06/2011</x:v>
      </x:c>
      <x:c r="G537" s="68" t="str">
        <x:v>Kinh</x:v>
      </x:c>
      <x:c r="H537" s="68" t="str">
        <x:v>Xa Phudc Long THCS</x:v>
      </x:c>
      <x:c r="I537" s="68" t="str">
        <x:v>Vuang Hau Nhon</x:v>
      </x:c>
      <x:c r="J537" s="68" t="str">
        <x:v>Xa Phudc Long</x:v>
      </x:c>
      <x:c r="K537" s="68" t="str">
        <x:v>30.0</x:v>
      </x:c>
      <x:c r="L537" s="68" t="str">
        <x:v>36</x:v>
      </x:c>
      <x:c r="M537" s="68" t="str"/>
      <x:c r="N537" s="68" t="str"/>
      <x:c r="O537" s="68" t="str">
        <x:v>66.0</x:v>
      </x:c>
      <x:c r="P537" s="68" t="str"/>
    </x:row>
    <x:row r="538">
      <x:c r="A538" s="106" t="n">
        <x:v>16</x:v>
      </x:c>
      <x:c r="B538" s="106" t="str">
        <x:v>537</x:v>
      </x:c>
      <x:c r="C538" s="167" t="str">
        <x:f>"09521 1009549"</x:f>
        <x:v>09521 1009549</x:v>
      </x:c>
      <x:c r="D538" s="68" t="str">
        <x:v>NGUY£N vO KHA</x:v>
      </x:c>
      <x:c r="E538" s="68" t="str"/>
      <x:c r="F538" s="68" t="str">
        <x:v>05/01/2011</x:v>
      </x:c>
      <x:c r="G538" s="68" t="str">
        <x:v>Kinh</x:v>
      </x:c>
      <x:c r="H538" s="68" t="str">
        <x:v>Xa Phu6c Long THCS</x:v>
      </x:c>
      <x:c r="I538" s="68" t="str">
        <x:v>Vuang Hfru Nhan</x:v>
      </x:c>
      <x:c r="J538" s="68" t="str">
        <x:v>Xa Phu6c Long</x:v>
      </x:c>
      <x:c r="K538" s="68" t="str">
        <x:v>29.0</x:v>
      </x:c>
      <x:c r="L538" s="68" t="str">
        <x:v>36</x:v>
      </x:c>
      <x:c r="M538" s="68" t="str">
        <x:v>1.0</x:v>
      </x:c>
      <x:c r="N538" s="68" t="str"/>
      <x:c r="O538" s="68" t="str">
        <x:v>66.0</x:v>
      </x:c>
      <x:c r="P538" s="68" t="str"/>
    </x:row>
    <x:row r="539">
      <x:c r="A539" s="106" t="n">
        <x:v>16</x:v>
      </x:c>
      <x:c r="B539" s="106" t="str">
        <x:v>538</x:v>
      </x:c>
      <x:c r="C539" s="167" t="str">
        <x:f>"095311001312"</x:f>
        <x:v>095311001312</x:v>
      </x:c>
      <x:c r="D539" s="68" t="str">
        <x:v>NGUYEN THI NGOC Lal</x:v>
      </x:c>
      <x:c r="E539" s="68" t="str">
        <x:v>X</x:v>
      </x:c>
      <x:c r="F539" s="68" t="str">
        <x:v>05/06/2011</x:v>
      </x:c>
      <x:c r="G539" s="68" t="str">
        <x:v>Kinh XX</x:v>
      </x:c>
      <x:c r="H539" s="68" t="str">
        <x:v>Ninh Thenh LcJi</x:v>
      </x:c>
      <x:c r="I539" s="68" t="str">
        <x:v>THCS Phu6c Long</x:v>
      </x:c>
      <x:c r="J539" s="68" t="str">
        <x:v>Xa Phu6c Long</x:v>
      </x:c>
      <x:c r="K539" s="68" t="str">
        <x:v>30.9</x:v>
      </x:c>
      <x:c r="L539" s="68" t="str">
        <x:v>34</x:v>
      </x:c>
      <x:c r="M539" s="68" t="str">
        <x:v>1.0</x:v>
      </x:c>
      <x:c r="N539" s="68" t="str"/>
      <x:c r="O539" s="68" t="str">
        <x:v>65.9</x:v>
      </x:c>
      <x:c r="P539" s="68" t="str"/>
    </x:row>
    <x:row r="540">
      <x:c r="A540" s="106" t="n">
        <x:v>17</x:v>
      </x:c>
      <x:c r="B540" s="106" t="str">
        <x:v>539</x:v>
      </x:c>
      <x:c r="C540" s="167" t="str">
        <x:f>"0953 1 1003827 G"</x:f>
        <x:v>0953 1 1003827 G</x:v>
      </x:c>
      <x:c r="D540" s="68" t="str"/>
      <x:c r="E540" s="68" t="str">
        <x:v>X</x:v>
      </x:c>
      <x:c r="F540" s="68" t="str">
        <x:v>24/09/201 1</x:v>
      </x:c>
      <x:c r="G540" s="68" t="str">
        <x:v>Kinh</x:v>
      </x:c>
      <x:c r="H540" s="68" t="str">
        <x:v>Xa Phudc Long</x:v>
      </x:c>
      <x:c r="I540" s="68" t="str">
        <x:v>THCS Phu6c Long</x:v>
      </x:c>
      <x:c r="J540" s="68" t="str">
        <x:v>Xa Phu6c Long</x:v>
      </x:c>
      <x:c r="K540" s="68" t="str">
        <x:v>29.9</x:v>
      </x:c>
      <x:c r="L540" s="68" t="str">
        <x:v>36</x:v>
      </x:c>
      <x:c r="M540" s="68" t="str"/>
      <x:c r="N540" s="68" t="str"/>
      <x:c r="O540" s="68" t="str">
        <x:v>65.9</x:v>
      </x:c>
      <x:c r="P540" s="68" t="str"/>
    </x:row>
    <x:row r="541">
      <x:c r="A541" s="106" t="n">
        <x:v>17</x:v>
      </x:c>
      <x:c r="B541" s="106" t="str">
        <x:v>540</x:v>
      </x:c>
      <x:c r="C541" s="167" t="str">
        <x:f>"09531 1005478"</x:f>
        <x:v>09531 1005478</x:v>
      </x:c>
      <x:c r="D541" s="68" t="str">
        <x:v>Li THANH TRaC</x:v>
      </x:c>
      <x:c r="E541" s="68" t="str">
        <x:v>X</x:v>
      </x:c>
      <x:c r="F541" s="68" t="str">
        <x:v>31/12/2011</x:v>
      </x:c>
      <x:c r="G541" s="68" t="str">
        <x:v>Kinh</x:v>
      </x:c>
      <x:c r="H541" s="68" t="str">
        <x:v>Xa Phu6c Long</x:v>
      </x:c>
      <x:c r="I541" s="68" t="str">
        <x:v>THCS Phu6c Long</x:v>
      </x:c>
      <x:c r="J541" s="68" t="str">
        <x:v>Xa Phu6c Long</x:v>
      </x:c>
      <x:c r="K541" s="68" t="str">
        <x:v>29.9</x:v>
      </x:c>
      <x:c r="L541" s="68" t="str">
        <x:v>36</x:v>
      </x:c>
      <x:c r="M541" s="68" t="str"/>
      <x:c r="N541" s="68" t="str"/>
      <x:c r="O541" s="68" t="str">
        <x:v>65.9</x:v>
      </x:c>
      <x:c r="P541" s="68" t="str"/>
    </x:row>
    <x:row r="542">
      <x:c r="A542" s="106" t="n">
        <x:v>17</x:v>
      </x:c>
      <x:c r="B542" s="106" t="str">
        <x:v>541</x:v>
      </x:c>
      <x:c r="C542" s="167" t="str">
        <x:f>"0953 1 1009879"</x:f>
        <x:v>0953 1 1009879</x:v>
      </x:c>
      <x:c r="D542" s="68" t="str">
        <x:v>TRAN THI THAO VY</x:v>
      </x:c>
      <x:c r="E542" s="68" t="str">
        <x:v>X</x:v>
      </x:c>
      <x:c r="F542" s="68" t="str">
        <x:v>14/09/20 1 1</x:v>
      </x:c>
      <x:c r="G542" s="68" t="str">
        <x:v>Kinh</x:v>
      </x:c>
      <x:c r="H542" s="68" t="str">
        <x:v>Xa Vinh Phu6c</x:v>
      </x:c>
      <x:c r="I542" s="68" t="str">
        <x:v>THCS Phu6c Long</x:v>
      </x:c>
      <x:c r="J542" s="68" t="str">
        <x:v>Xa Phu6c Long</x:v>
      </x:c>
      <x:c r="K542" s="68" t="str">
        <x:v>30.9</x:v>
      </x:c>
      <x:c r="L542" s="68" t="str">
        <x:v>35</x:v>
      </x:c>
      <x:c r="M542" s="68" t="str"/>
      <x:c r="N542" s="68" t="str"/>
      <x:c r="O542" s="68" t="str">
        <x:v>65.9</x:v>
      </x:c>
      <x:c r="P542" s="68" t="str"/>
    </x:row>
    <x:row r="543">
      <x:c r="A543" s="106" t="n">
        <x:v>17</x:v>
      </x:c>
      <x:c r="B543" s="106" t="str">
        <x:v>542</x:v>
      </x:c>
      <x:c r="C543" s="167" t="str">
        <x:f>"0953 1 1009384"</x:f>
        <x:v>0953 1 1009384</x:v>
      </x:c>
      <x:c r="D543" s="68" t="str">
        <x:v>DOAN NGQC HUYEN</x:v>
      </x:c>
      <x:c r="E543" s="68" t="str">
        <x:v>X</x:v>
      </x:c>
      <x:c r="F543" s="68" t="str">
        <x:v>26/03/2011</x:v>
      </x:c>
      <x:c r="G543" s="68" t="str">
        <x:v>Kinh</x:v>
      </x:c>
      <x:c r="H543" s="68" t="str">
        <x:v>Xa'Phu6c Long</x:v>
      </x:c>
      <x:c r="I543" s="68" t="str">
        <x:v>THCS Phu6c Long</x:v>
      </x:c>
      <x:c r="J543" s="68" t="str">
        <x:v>Xa Phudc Long</x:v>
      </x:c>
      <x:c r="K543" s="68" t="str">
        <x:v>30.9</x:v>
      </x:c>
      <x:c r="L543" s="68" t="str">
        <x:v>35</x:v>
      </x:c>
      <x:c r="M543" s="68" t="str"/>
      <x:c r="N543" s="68" t="str"/>
      <x:c r="O543" s="68" t="str">
        <x:v>65.9</x:v>
      </x:c>
      <x:c r="P543" s="68" t="str"/>
    </x:row>
    <x:row r="544">
      <x:c r="A544" s="106" t="n">
        <x:v>17</x:v>
      </x:c>
      <x:c r="B544" s="106" t="str">
        <x:v>543</x:v>
      </x:c>
      <x:c r="C544" s="167" t="str">
        <x:f>"0953 1 1008329"</x:f>
        <x:v>0953 1 1008329</x:v>
      </x:c>
      <x:c r="D544" s="68" t="str">
        <x:v>NGUY£N MV PHU'ONG</x:v>
      </x:c>
      <x:c r="E544" s="68" t="str">
        <x:v>X</x:v>
      </x:c>
      <x:c r="F544" s="68" t="str">
        <x:v>04/07/2011</x:v>
      </x:c>
      <x:c r="G544" s="68" t="str">
        <x:v>Kinh</x:v>
      </x:c>
      <x:c r="H544" s="68" t="str">
        <x:v>Xa VTnh Phu6c</x:v>
      </x:c>
      <x:c r="I544" s="68" t="str">
        <x:v>THCS Wnh Pha Tay</x:v>
      </x:c>
      <x:c r="J544" s="68" t="str">
        <x:v>Xa VTnh Phu(tc</x:v>
      </x:c>
      <x:c r="K544" s="68" t="str">
        <x:v>29.9</x:v>
      </x:c>
      <x:c r="L544" s="68" t="str">
        <x:v>36</x:v>
      </x:c>
      <x:c r="M544" s="68" t="str"/>
      <x:c r="N544" s="68" t="str"/>
      <x:c r="O544" s="68" t="str">
        <x:v>65.9</x:v>
      </x:c>
      <x:c r="P544" s="68" t="str"/>
    </x:row>
    <x:row r="545">
      <x:c r="A545" s="106" t="n">
        <x:v>17</x:v>
      </x:c>
      <x:c r="B545" s="106" t="str">
        <x:v>544</x:v>
      </x:c>
      <x:c r="C545" s="167" t="str">
        <x:f>"09521 1003 199"</x:f>
        <x:v>09521 1003 199</x:v>
      </x:c>
      <x:c r="D545" s="68" t="str">
        <x:v>va CAO DtNH</x:v>
      </x:c>
      <x:c r="E545" s="68" t="str"/>
      <x:c r="F545" s="68" t="str">
        <x:v>27/07/501 1</x:v>
      </x:c>
      <x:c r="G545" s="68" t="str">
        <x:v>Kinh</x:v>
      </x:c>
      <x:c r="H545" s="68" t="str">
        <x:v>Xa Wnh Thanh</x:v>
      </x:c>
      <x:c r="I545" s="68" t="str">
        <x:v>THCS Hung Phd</x:v>
      </x:c>
      <x:c r="J545" s="68" t="str">
        <x:v>Xa Vinh Thanh</x:v>
      </x:c>
      <x:c r="K545" s="68" t="str">
        <x:v>29.9</x:v>
      </x:c>
      <x:c r="L545" s="68" t="str">
        <x:v>36</x:v>
      </x:c>
      <x:c r="M545" s="68" t="str"/>
      <x:c r="N545" s="68" t="str"/>
      <x:c r="O545" s="68" t="str">
        <x:v>65.9</x:v>
      </x:c>
      <x:c r="P545" s="68" t="str"/>
    </x:row>
    <x:row r="546">
      <x:c r="A546" s="106" t="n">
        <x:v>17</x:v>
      </x:c>
      <x:c r="B546" s="106" t="str">
        <x:v>545</x:v>
      </x:c>
      <x:c r="C546" s="167" t="str">
        <x:f>"0953 1 1003654"</x:f>
        <x:v>0953 1 1003654</x:v>
      </x:c>
      <x:c r="D546" s="68" t="str">
        <x:v>NGUY£N THI nAI DUYEN</x:v>
      </x:c>
      <x:c r="E546" s="68" t="str">
        <x:v>X</x:v>
      </x:c>
      <x:c r="F546" s="68" t="str">
        <x:v>25/09/2011</x:v>
      </x:c>
      <x:c r="G546" s="68" t="str">
        <x:v>Kinh</x:v>
      </x:c>
      <x:c r="H546" s="68" t="str">
        <x:v>Xa Vinh Thanh</x:v>
      </x:c>
      <x:c r="I546" s="68" t="str">
        <x:v>THCS Vinh Thanh</x:v>
      </x:c>
      <x:c r="J546" s="68" t="str">
        <x:v>Xa VTnh Thanh</x:v>
      </x:c>
      <x:c r="K546" s="68" t="str">
        <x:v>29.9</x:v>
      </x:c>
      <x:c r="L546" s="68" t="str">
        <x:v>36</x:v>
      </x:c>
      <x:c r="M546" s="68" t="str"/>
      <x:c r="N546" s="68" t="str"/>
      <x:c r="O546" s="68" t="str">
        <x:v>65.9</x:v>
      </x:c>
      <x:c r="P546" s="68" t="str"/>
    </x:row>
    <x:row r="547">
      <x:c r="A547" s="106" t="n">
        <x:v>17</x:v>
      </x:c>
      <x:c r="B547" s="106" t="str">
        <x:v>546</x:v>
      </x:c>
      <x:c r="C547" s="167" t="str">
        <x:f>"0953 1 100083 1"</x:f>
        <x:v>0953 1 100083 1</x:v>
      </x:c>
      <x:c r="D547" s="68" t="str">
        <x:v>NGUYeN Y£N NHI</x:v>
      </x:c>
      <x:c r="E547" s="68" t="str">
        <x:v>X</x:v>
      </x:c>
      <x:c r="F547" s="68" t="str">
        <x:v>22/05/2011</x:v>
      </x:c>
      <x:c r="G547" s="68" t="str">
        <x:v>Kinh</x:v>
      </x:c>
      <x:c r="H547" s="68" t="str">
        <x:v>Xa VTnh Phu6c</x:v>
      </x:c>
      <x:c r="I547" s="68" t="str">
        <x:v>THCS Phudc Long</x:v>
      </x:c>
      <x:c r="J547" s="68" t="str">
        <x:v>Xa Phudc Long</x:v>
      </x:c>
      <x:c r="K547" s="68" t="str">
        <x:v>29.8</x:v>
      </x:c>
      <x:c r="L547" s="68" t="str">
        <x:v>36</x:v>
      </x:c>
      <x:c r="M547" s="68" t="str"/>
      <x:c r="N547" s="68" t="str"/>
      <x:c r="O547" s="68" t="str">
        <x:v>65.8</x:v>
      </x:c>
      <x:c r="P547" s="68" t="str"/>
    </x:row>
    <x:row r="548">
      <x:c r="A548" s="106" t="n">
        <x:v>17</x:v>
      </x:c>
      <x:c r="B548" s="106" t="str">
        <x:v>547</x:v>
      </x:c>
      <x:c r="C548" s="167" t="str">
        <x:f>"09521 100343 1"</x:f>
        <x:v>09521 100343 1</x:v>
      </x:c>
      <x:c r="D548" s="68" t="str">
        <x:v>TRANG HUtNH HOANG LONG</x:v>
      </x:c>
      <x:c r="E548" s="68" t="str"/>
      <x:c r="F548" s="68" t="str">
        <x:v>28/04/201 1</x:v>
      </x:c>
      <x:c r="G548" s="68" t="str">
        <x:v>Kinh</x:v>
      </x:c>
      <x:c r="H548" s="68" t="str">
        <x:v>Xa Phudc Long</x:v>
      </x:c>
      <x:c r="I548" s="68" t="str">
        <x:v>THCS Phudc Long</x:v>
      </x:c>
      <x:c r="J548" s="68" t="str">
        <x:v>Xa Phu6c Long</x:v>
      </x:c>
      <x:c r="K548" s="68" t="str">
        <x:v>29.8</x:v>
      </x:c>
      <x:c r="L548" s="68" t="str">
        <x:v>36</x:v>
      </x:c>
      <x:c r="M548" s="68" t="str"/>
      <x:c r="N548" s="68" t="str"/>
      <x:c r="O548" s="68" t="str">
        <x:v>65.8</x:v>
      </x:c>
      <x:c r="P548" s="68" t="str"/>
    </x:row>
    <x:row r="549">
      <x:c r="A549" s="106" t="n">
        <x:v>17</x:v>
      </x:c>
      <x:c r="B549" s="106" t="str">
        <x:v>548</x:v>
      </x:c>
      <x:c r="C549" s="167" t="str">
        <x:f>"0792 1 1021183"</x:f>
        <x:v>0792 1 1021183</x:v>
      </x:c>
      <x:c r="D549" s="68" t="str">
        <x:v>H6 L£ MINH KH61</x:v>
      </x:c>
      <x:c r="E549" s="68" t="str"/>
      <x:c r="F549" s="68" t="str">
        <x:v>14/08/201 1</x:v>
      </x:c>
      <x:c r="G549" s="68" t="str">
        <x:v>Kinh</x:v>
      </x:c>
      <x:c r="H549" s="68" t="str">
        <x:v>Xa Phudc Long</x:v>
      </x:c>
      <x:c r="I549" s="68" t="str">
        <x:v>THCS Phudc Long</x:v>
      </x:c>
      <x:c r="J549" s="68" t="str">
        <x:v>Xa Phu6c Long</x:v>
      </x:c>
      <x:c r="K549" s="68" t="str">
        <x:v>29.8</x:v>
      </x:c>
      <x:c r="L549" s="68" t="str">
        <x:v>36</x:v>
      </x:c>
      <x:c r="M549" s="68" t="str"/>
      <x:c r="N549" s="68" t="str"/>
      <x:c r="O549" s="68" t="str">
        <x:v>65.8</x:v>
      </x:c>
      <x:c r="P549" s="68" t="str"/>
    </x:row>
    <x:row r="550">
      <x:c r="A550" s="106" t="n">
        <x:v>17</x:v>
      </x:c>
      <x:c r="B550" s="106" t="str">
        <x:v>549</x:v>
      </x:c>
      <x:c r="C550" s="167" t="str">
        <x:f>"0953 1 1001324"</x:f>
        <x:v>0953 1 1001324</x:v>
      </x:c>
      <x:c r="D550" s="68" t="str">
        <x:v>TRAN HUtNH KHANH BANG</x:v>
      </x:c>
      <x:c r="E550" s="68" t="str">
        <x:v>X</x:v>
      </x:c>
      <x:c r="F550" s="68" t="str">
        <x:v>24/04/201 1</x:v>
      </x:c>
      <x:c r="G550" s="68" t="str">
        <x:v>Kinh</x:v>
      </x:c>
      <x:c r="H550" s="68" t="str">
        <x:v>Xa Vrnh Thanh</x:v>
      </x:c>
      <x:c r="I550" s="68" t="str">
        <x:v>THCS Hung Pha</x:v>
      </x:c>
      <x:c r="J550" s="68" t="str">
        <x:v>Xa Vinh Thanh</x:v>
      </x:c>
      <x:c r="K550" s="68" t="str">
        <x:v>29.8</x:v>
      </x:c>
      <x:c r="L550" s="68" t="str">
        <x:v>36</x:v>
      </x:c>
      <x:c r="M550" s="68" t="str"/>
      <x:c r="N550" s="68" t="str"/>
      <x:c r="O550" s="68" t="str">
        <x:v>65.8</x:v>
      </x:c>
      <x:c r="P550" s="68" t="str"/>
    </x:row>
    <x:row r="551">
      <x:c r="A551" s="106" t="n">
        <x:v>17</x:v>
      </x:c>
      <x:c r="B551" s="106" t="str">
        <x:v>550</x:v>
      </x:c>
      <x:c r="C551" s="167" t="str">
        <x:f>"0952 1 1006101"</x:f>
        <x:v>0952 1 1006101</x:v>
      </x:c>
      <x:c r="D551" s="68" t="str">
        <x:v>Li HAI THIEN</x:v>
      </x:c>
      <x:c r="E551" s="68" t="str"/>
      <x:c r="F551" s="68" t="str">
        <x:v>17/03/201 1</x:v>
      </x:c>
      <x:c r="G551" s="68" t="str">
        <x:v>Kinh</x:v>
      </x:c>
      <x:c r="H551" s="68" t="str">
        <x:v>Xa VTnh Thanh</x:v>
      </x:c>
      <x:c r="I551" s="68" t="str">
        <x:v>THCS Hung Phd</x:v>
      </x:c>
      <x:c r="J551" s="68" t="str">
        <x:v>Xa Wnh Thanh</x:v>
      </x:c>
      <x:c r="K551" s="68" t="str">
        <x:v>29.8</x:v>
      </x:c>
      <x:c r="L551" s="68" t="str">
        <x:v>36</x:v>
      </x:c>
      <x:c r="M551" s="68" t="str"/>
      <x:c r="N551" s="68" t="str"/>
      <x:c r="O551" s="68" t="str">
        <x:v>65.8</x:v>
      </x:c>
      <x:c r="P551" s="68" t="str"/>
    </x:row>
    <x:row r="552">
      <x:c r="A552" s="106" t="n">
        <x:v>17</x:v>
      </x:c>
      <x:c r="B552" s="106" t="str">
        <x:v>551</x:v>
      </x:c>
      <x:c r="C552" s="167" t="str">
        <x:f>"0953 1 1006004"</x:f>
        <x:v>0953 1 1006004</x:v>
      </x:c>
      <x:c r="D552" s="68" t="str">
        <x:v>NGUYEN THI NGQC ANH</x:v>
      </x:c>
      <x:c r="E552" s="68" t="str">
        <x:v>X</x:v>
      </x:c>
      <x:c r="F552" s="68" t="str">
        <x:v>26/08/2011</x:v>
      </x:c>
      <x:c r="G552" s="68" t="str">
        <x:v>Kinh</x:v>
      </x:c>
      <x:c r="H552" s="68" t="str">
        <x:v>Xg PhuCyc Long</x:v>
      </x:c>
      <x:c r="I552" s="68" t="str">
        <x:v>THCS VTnh Thanh</x:v>
      </x:c>
      <x:c r="J552" s="68" t="str">
        <x:v>Xa Vlnh Thanh</x:v>
      </x:c>
      <x:c r="K552" s="68" t="str">
        <x:v>29.8</x:v>
      </x:c>
      <x:c r="L552" s="68" t="str">
        <x:v>36</x:v>
      </x:c>
      <x:c r="M552" s="68" t="str"/>
      <x:c r="N552" s="68" t="str"/>
      <x:c r="O552" s="68" t="str">
        <x:v>65.8</x:v>
      </x:c>
      <x:c r="P552" s="68" t="str"/>
    </x:row>
    <x:row r="553">
      <x:c r="A553" s="106" t="n">
        <x:v>17</x:v>
      </x:c>
      <x:c r="B553" s="106" t="str">
        <x:v>552</x:v>
      </x:c>
      <x:c r="C553" s="167" t="str">
        <x:f>"09531 1000144"</x:f>
        <x:v>09531 1000144</x:v>
      </x:c>
      <x:c r="D553" s="68" t="str">
        <x:v>NGUYEN THI HUtNH AN</x:v>
      </x:c>
      <x:c r="E553" s="68" t="str">
        <x:v>X</x:v>
      </x:c>
      <x:c r="F553" s="68" t="str">
        <x:v>24/03/2011</x:v>
      </x:c>
      <x:c r="G553" s="68" t="str">
        <x:v>Kinh</x:v>
      </x:c>
      <x:c r="H553" s="68" t="str">
        <x:v>Xa Phu6c Long</x:v>
      </x:c>
      <x:c r="I553" s="68" t="str">
        <x:v>THCS Vuang Hnu Nhan</x:v>
      </x:c>
      <x:c r="J553" s="68" t="str">
        <x:v>Xa Phu6c Long</x:v>
      </x:c>
      <x:c r="K553" s="68" t="str">
        <x:v>29.8</x:v>
      </x:c>
      <x:c r="L553" s="68" t="str">
        <x:v>36</x:v>
      </x:c>
      <x:c r="M553" s="68" t="str"/>
      <x:c r="N553" s="68" t="str"/>
      <x:c r="O553" s="68" t="str">
        <x:v>65.8</x:v>
      </x:c>
      <x:c r="P553" s="68" t="str"/>
    </x:row>
    <x:row r="554">
      <x:c r="A554" s="106" t="n">
        <x:v>17</x:v>
      </x:c>
      <x:c r="B554" s="106" t="str">
        <x:v>553</x:v>
      </x:c>
      <x:c r="C554" s="167" t="str">
        <x:f>"0952 1 1002147"</x:f>
        <x:v>0952 1 1002147</x:v>
      </x:c>
      <x:c r="D554" s="68" t="str">
        <x:v>NGUYEN CHi HUY</x:v>
      </x:c>
      <x:c r="E554" s="68" t="str"/>
      <x:c r="F554" s="68" t="str">
        <x:v>22/07/201 1</x:v>
      </x:c>
      <x:c r="G554" s="68" t="str">
        <x:v>Kinh</x:v>
      </x:c>
      <x:c r="H554" s="68" t="str">
        <x:v>Xa Phudc Long</x:v>
      </x:c>
      <x:c r="I554" s="68" t="str">
        <x:v>THCS Vuang Hau Nhan</x:v>
      </x:c>
      <x:c r="J554" s="68" t="str">
        <x:v>Xa Phu6c Long</x:v>
      </x:c>
      <x:c r="K554" s="68" t="str">
        <x:v>29.8</x:v>
      </x:c>
      <x:c r="L554" s="68" t="str">
        <x:v>36</x:v>
      </x:c>
      <x:c r="M554" s="68" t="str"/>
      <x:c r="N554" s="68" t="str"/>
      <x:c r="O554" s="68" t="str">
        <x:v>65.8</x:v>
      </x:c>
      <x:c r="P554" s="68" t="str"/>
    </x:row>
    <x:row r="555">
      <x:c r="A555" s="106" t="n">
        <x:v>17</x:v>
      </x:c>
      <x:c r="B555" s="106" t="str">
        <x:v>554</x:v>
      </x:c>
      <x:c r="C555" s="167" t="str">
        <x:f>"095211008667"</x:f>
        <x:v>095211008667</x:v>
      </x:c>
      <x:c r="D555" s="68" t="str">
        <x:v>KHU'U HOANG NHAT DUY</x:v>
      </x:c>
      <x:c r="E555" s="68" t="str"/>
      <x:c r="F555" s="68" t="str">
        <x:v>14/08/201 1</x:v>
      </x:c>
      <x:c r="G555" s="68" t="str">
        <x:v>Khmer</x:v>
      </x:c>
      <x:c r="H555" s="68" t="str">
        <x:v>Xa Vinh phu6c</x:v>
      </x:c>
      <x:c r="I555" s="68" t="str">
        <x:v>THCS Vinh Pha Tay</x:v>
      </x:c>
      <x:c r="J555" s="68" t="str">
        <x:v>Xa VTnh Phu6c</x:v>
      </x:c>
      <x:c r="K555" s="68" t="str">
        <x:v>29.7</x:v>
      </x:c>
      <x:c r="L555" s="68" t="str">
        <x:v>35</x:v>
      </x:c>
      <x:c r="M555" s="68" t="str">
        <x:v>1.0</x:v>
      </x:c>
      <x:c r="N555" s="68" t="str"/>
      <x:c r="O555" s="68" t="str">
        <x:v>65.7</x:v>
      </x:c>
      <x:c r="P555" s="68" t="str"/>
    </x:row>
    <x:row r="556">
      <x:c r="A556" s="106" t="n">
        <x:v>17</x:v>
      </x:c>
      <x:c r="B556" s="106" t="str">
        <x:v>555</x:v>
      </x:c>
      <x:c r="C556" s="167" t="str">
        <x:f>"0953 1 1002223"</x:f>
        <x:v>0953 1 1002223</x:v>
      </x:c>
      <x:c r="D556" s="68" t="str">
        <x:v>Va PnAM QUtNH NHU</x:v>
      </x:c>
      <x:c r="E556" s="68" t="str">
        <x:v>X</x:v>
      </x:c>
      <x:c r="F556" s="68" t="str">
        <x:v>21/1 1/2011</x:v>
      </x:c>
      <x:c r="G556" s="68" t="str">
        <x:v>Kinh</x:v>
      </x:c>
      <x:c r="H556" s="68" t="str">
        <x:v>Xa Wnh Phu6c</x:v>
      </x:c>
      <x:c r="I556" s="68" t="str">
        <x:v>THCS Wnh Pha Tay</x:v>
      </x:c>
      <x:c r="J556" s="68" t="str">
        <x:v>Xa Wnh Phudc</x:v>
      </x:c>
      <x:c r="K556" s="68" t="str">
        <x:v>29.7</x:v>
      </x:c>
      <x:c r="L556" s="68" t="str">
        <x:v>36</x:v>
      </x:c>
      <x:c r="M556" s="68" t="str"/>
      <x:c r="N556" s="68" t="str"/>
      <x:c r="O556" s="68" t="str">
        <x:v>65.7</x:v>
      </x:c>
      <x:c r="P556" s="68" t="str"/>
    </x:row>
    <x:row r="557">
      <x:c r="A557" s="106" t="n">
        <x:v>17</x:v>
      </x:c>
      <x:c r="B557" s="106" t="str">
        <x:v>556</x:v>
      </x:c>
      <x:c r="C557" s="167" t="str">
        <x:f>"09531 1002104"</x:f>
        <x:v>09531 1002104</x:v>
      </x:c>
      <x:c r="D557" s="68" t="str">
        <x:v>NGUYEN THI THAO NGUYEN</x:v>
      </x:c>
      <x:c r="E557" s="68" t="str">
        <x:v>X</x:v>
      </x:c>
      <x:c r="F557" s="68" t="str">
        <x:v>23/09/201 1</x:v>
      </x:c>
      <x:c r="G557" s="68" t="str">
        <x:v>Kinh</x:v>
      </x:c>
      <x:c r="H557" s="68" t="str">
        <x:v>Xa Vinh Thanh</x:v>
      </x:c>
      <x:c r="I557" s="68" t="str">
        <x:v>THCS Hung Phd</x:v>
      </x:c>
      <x:c r="J557" s="68" t="str">
        <x:v>Xa Vinh Thanh</x:v>
      </x:c>
      <x:c r="K557" s="68" t="str">
        <x:v>29.7</x:v>
      </x:c>
      <x:c r="L557" s="68" t="str">
        <x:v>36</x:v>
      </x:c>
      <x:c r="M557" s="68" t="str"/>
      <x:c r="N557" s="68" t="str"/>
      <x:c r="O557" s="68" t="str">
        <x:v>65.7</x:v>
      </x:c>
      <x:c r="P557" s="68" t="str"/>
    </x:row>
    <x:row r="558">
      <x:c r="A558" s="106" t="n">
        <x:v>17</x:v>
      </x:c>
      <x:c r="B558" s="106" t="str">
        <x:v>557</x:v>
      </x:c>
      <x:c r="C558" s="167" t="str">
        <x:f>"095211009786"</x:f>
        <x:v>095211009786</x:v>
      </x:c>
      <x:c r="D558" s="68" t="str">
        <x:v>NGUY£N QU6C TRANG</x:v>
      </x:c>
      <x:c r="E558" s="68" t="str"/>
      <x:c r="F558" s="68" t="str">
        <x:v>22/1 1/2011</x:v>
      </x:c>
      <x:c r="G558" s="68" t="str">
        <x:v>Khmer I</x:v>
      </x:c>
      <x:c r="H558" s="68" t="str">
        <x:v>Xa Wnh Phu6c</x:v>
      </x:c>
      <x:c r="I558" s="68" t="str">
        <x:v>THCS Phu6c Long</x:v>
      </x:c>
      <x:c r="J558" s="68" t="str">
        <x:v>Xa Phu6c Long</x:v>
      </x:c>
      <x:c r="K558" s="68" t="str">
        <x:v>30.7</x:v>
      </x:c>
      <x:c r="L558" s="68" t="str">
        <x:v>34</x:v>
      </x:c>
      <x:c r="M558" s="68" t="str">
        <x:v>1.0</x:v>
      </x:c>
      <x:c r="N558" s="68" t="str"/>
      <x:c r="O558" s="68" t="str">
        <x:v>65.7</x:v>
      </x:c>
      <x:c r="P558" s="68" t="str"/>
    </x:row>
    <x:row r="559">
      <x:c r="A559" s="106" t="n">
        <x:v>17</x:v>
      </x:c>
      <x:c r="B559" s="106" t="str">
        <x:v>558</x:v>
      </x:c>
      <x:c r="C559" s="167" t="str">
        <x:f>"0953 1 1008979"</x:f>
        <x:v>0953 1 1008979</x:v>
      </x:c>
      <x:c r="D559" s="68" t="str">
        <x:v>NGUYEN LAN ANH</x:v>
      </x:c>
      <x:c r="E559" s="68" t="str">
        <x:v>X</x:v>
      </x:c>
      <x:c r="F559" s="68" t="str">
        <x:v>02/10/2011</x:v>
      </x:c>
      <x:c r="G559" s="68" t="str">
        <x:v>Kinh</x:v>
      </x:c>
      <x:c r="H559" s="68" t="str">
        <x:v>Xa Phu6c Long</x:v>
      </x:c>
      <x:c r="I559" s="68" t="str">
        <x:v>THCS Phudc Long</x:v>
      </x:c>
      <x:c r="J559" s="68" t="str">
        <x:v>Xa Phudc Long</x:v>
      </x:c>
      <x:c r="K559" s="68" t="str">
        <x:v>29.6</x:v>
      </x:c>
      <x:c r="L559" s="68" t="str">
        <x:v>36</x:v>
      </x:c>
      <x:c r="M559" s="68" t="str"/>
      <x:c r="N559" s="68" t="str"/>
      <x:c r="O559" s="68" t="str">
        <x:v>65.6</x:v>
      </x:c>
      <x:c r="P559" s="68" t="str"/>
    </x:row>
    <x:row r="560">
      <x:c r="A560" s="106" t="n">
        <x:v>17</x:v>
      </x:c>
      <x:c r="B560" s="106" t="str">
        <x:v>559</x:v>
      </x:c>
      <x:c r="C560" s="167" t="str">
        <x:f>"0953 1 1001849"</x:f>
        <x:v>0953 1 1001849</x:v>
      </x:c>
      <x:c r="D560" s="68" t="str">
        <x:v>NGUYEN cAM LY</x:v>
      </x:c>
      <x:c r="E560" s="68" t="str">
        <x:v>X</x:v>
      </x:c>
      <x:c r="F560" s="68" t="str">
        <x:v>16/01/2011</x:v>
      </x:c>
      <x:c r="G560" s="68" t="str">
        <x:v>Kinh</x:v>
      </x:c>
      <x:c r="H560" s="68" t="str">
        <x:v>Xa Phu6c Long</x:v>
      </x:c>
      <x:c r="I560" s="68" t="str">
        <x:v>THCS Phu6c Long</x:v>
      </x:c>
      <x:c r="J560" s="68" t="str">
        <x:v>Xa Phu a Long</x:v>
      </x:c>
      <x:c r="K560" s="68" t="str">
        <x:v>30.6</x:v>
      </x:c>
      <x:c r="L560" s="68" t="str">
        <x:v>35</x:v>
      </x:c>
      <x:c r="M560" s="68" t="str"/>
      <x:c r="N560" s="68" t="str"/>
      <x:c r="O560" s="68" t="str">
        <x:v>65.6</x:v>
      </x:c>
      <x:c r="P560" s="68" t="str"/>
    </x:row>
    <x:row r="561">
      <x:c r="A561" s="106" t="n">
        <x:v>17</x:v>
      </x:c>
      <x:c r="B561" s="106" t="str">
        <x:v>560</x:v>
      </x:c>
      <x:c r="C561" s="167" t="str">
        <x:f>"095209007248"</x:f>
        <x:v>095209007248</x:v>
      </x:c>
      <x:c r="D561" s="68" t="str">
        <x:v>THACH HOAI BAO</x:v>
      </x:c>
      <x:c r="E561" s="68" t="str"/>
      <x:c r="F561" s="68" t="str">
        <x:v>20/12/2009</x:v>
      </x:c>
      <x:c r="G561" s="68" t="str">
        <x:v>Khmer I</x:v>
      </x:c>
      <x:c r="H561" s="68" t="str">
        <x:v>Xa Phu6c Long</x:v>
      </x:c>
      <x:c r="I561" s="68" t="str">
        <x:v>THCS Phu6c Long</x:v>
      </x:c>
      <x:c r="J561" s="68" t="str">
        <x:v>Xa Phu6c Long</x:v>
      </x:c>
      <x:c r="K561" s="68" t="str">
        <x:v>28.6</x:v>
      </x:c>
      <x:c r="L561" s="68" t="str">
        <x:v>36</x:v>
      </x:c>
      <x:c r="M561" s="68" t="str">
        <x:v>1.0</x:v>
      </x:c>
      <x:c r="N561" s="68" t="str"/>
      <x:c r="O561" s="68" t="str">
        <x:v>65.6</x:v>
      </x:c>
      <x:c r="P561" s="68" t="str"/>
    </x:row>
    <x:row r="562">
      <x:c r="A562" s="106" t="n">
        <x:v>17</x:v>
      </x:c>
      <x:c r="B562" s="106" t="str">
        <x:v>561</x:v>
      </x:c>
      <x:c r="C562" s="167" t="str">
        <x:f>"09521 1006462"</x:f>
        <x:v>09521 1006462</x:v>
      </x:c>
      <x:c r="D562" s="68" t="str">
        <x:v>TRAN NGUYEN KHANH NGUYEN</x:v>
      </x:c>
      <x:c r="E562" s="68" t="str"/>
      <x:c r="F562" s="68" t="str">
        <x:v>19/12/2011</x:v>
      </x:c>
      <x:c r="G562" s="68" t="str">
        <x:v>Kinh</x:v>
      </x:c>
      <x:c r="H562" s="68" t="str">
        <x:v>Xa Phu a Long</x:v>
      </x:c>
      <x:c r="I562" s="68" t="str">
        <x:v>THCS Phu6c Long</x:v>
      </x:c>
      <x:c r="J562" s="68" t="str">
        <x:v>Xa Phudc Long</x:v>
      </x:c>
      <x:c r="K562" s="68" t="str">
        <x:v>29.6</x:v>
      </x:c>
      <x:c r="L562" s="68" t="str">
        <x:v>36</x:v>
      </x:c>
      <x:c r="M562" s="68" t="str"/>
      <x:c r="N562" s="68" t="str"/>
      <x:c r="O562" s="68" t="str">
        <x:v>65.6</x:v>
      </x:c>
      <x:c r="P562" s="68" t="str"/>
    </x:row>
    <x:row r="563">
      <x:c r="A563" s="106" t="n">
        <x:v>17</x:v>
      </x:c>
      <x:c r="B563" s="106" t="str">
        <x:v>562</x:v>
      </x:c>
      <x:c r="C563" s="167" t="str">
        <x:f>"095211002069"</x:f>
        <x:v>095211002069</x:v>
      </x:c>
      <x:c r="D563" s="68" t="str">
        <x:v>TRAN DANG KHOA</x:v>
      </x:c>
      <x:c r="E563" s="68" t="str"/>
      <x:c r="F563" s="68" t="str">
        <x:v>07/07/2011</x:v>
      </x:c>
      <x:c r="G563" s="68" t="str">
        <x:v>Kinh</x:v>
      </x:c>
      <x:c r="H563" s="68" t="str">
        <x:v>Xa VTnh Thanh</x:v>
      </x:c>
      <x:c r="I563" s="68" t="str">
        <x:v>THCS Hung Phd</x:v>
      </x:c>
      <x:c r="J563" s="68" t="str">
        <x:v>Xa Vinh Thanh</x:v>
      </x:c>
      <x:c r="K563" s="68" t="str">
        <x:v>30.6</x:v>
      </x:c>
      <x:c r="L563" s="68" t="str">
        <x:v>35</x:v>
      </x:c>
      <x:c r="M563" s="68" t="str"/>
      <x:c r="N563" s="68" t="str"/>
      <x:c r="O563" s="68" t="str">
        <x:v>65.6</x:v>
      </x:c>
      <x:c r="P563" s="68" t="str"/>
    </x:row>
    <x:row r="564">
      <x:c r="A564" s="106" t="n">
        <x:v>17</x:v>
      </x:c>
      <x:c r="B564" s="106" t="str">
        <x:v>563</x:v>
      </x:c>
      <x:c r="C564" s="167" t="str">
        <x:f>"09531 1009440"</x:f>
        <x:v>09531 1009440</x:v>
      </x:c>
      <x:c r="D564" s="68" t="str">
        <x:v>HUtNH GLA HAN</x:v>
      </x:c>
      <x:c r="E564" s="68" t="str">
        <x:v>X</x:v>
      </x:c>
      <x:c r="F564" s="68" t="str">
        <x:v>02/1 1/2011</x:v>
      </x:c>
      <x:c r="G564" s="68" t="str">
        <x:v>Kinh</x:v>
      </x:c>
      <x:c r="H564" s="68" t="str">
        <x:v>Xa Phudc Long</x:v>
      </x:c>
      <x:c r="I564" s="68" t="str">
        <x:v>THCS Phua Long</x:v>
      </x:c>
      <x:c r="J564" s="68" t="str">
        <x:v>Xa Phudc Long</x:v>
      </x:c>
      <x:c r="K564" s="68" t="str">
        <x:v>30.5</x:v>
      </x:c>
      <x:c r="L564" s="68" t="str">
        <x:v>35</x:v>
      </x:c>
      <x:c r="M564" s="68" t="str"/>
      <x:c r="N564" s="68" t="str"/>
      <x:c r="O564" s="68" t="str">
        <x:v>65.5</x:v>
      </x:c>
      <x:c r="P564" s="68" t="str"/>
    </x:row>
    <x:row r="565">
      <x:c r="A565" s="106" t="n">
        <x:v>17</x:v>
      </x:c>
      <x:c r="B565" s="106" t="str">
        <x:v>564</x:v>
      </x:c>
      <x:c r="C565" s="167" t="str">
        <x:f>"0953 1 1 009055"</x:f>
        <x:v>0953 1 1 009055</x:v>
      </x:c>
      <x:c r="D565" s="68" t="str">
        <x:v>DANH LAN ANH</x:v>
      </x:c>
      <x:c r="E565" s="68" t="str">
        <x:v>X</x:v>
      </x:c>
      <x:c r="F565" s="68" t="str">
        <x:v>10/1 1/2011</x:v>
      </x:c>
      <x:c r="G565" s="68" t="str">
        <x:v>Khmer I</x:v>
      </x:c>
      <x:c r="H565" s="68" t="str">
        <x:v>Xa VTnh Phu6c</x:v>
      </x:c>
      <x:c r="I565" s="68" t="str">
        <x:v>THCS VTnh Pha Tay</x:v>
      </x:c>
      <x:c r="J565" s="68" t="str">
        <x:v>Xa VTnh Phu6c</x:v>
      </x:c>
      <x:c r="K565" s="68" t="str">
        <x:v>30.5</x:v>
      </x:c>
      <x:c r="L565" s="68" t="str">
        <x:v>34</x:v>
      </x:c>
      <x:c r="M565" s="68" t="str">
        <x:v>1.0</x:v>
      </x:c>
      <x:c r="N565" s="68" t="str"/>
      <x:c r="O565" s="68" t="str">
        <x:v>65.5</x:v>
      </x:c>
      <x:c r="P565" s="68" t="str"/>
    </x:row>
    <x:row r="566">
      <x:c r="A566" s="106" t="n">
        <x:v>17</x:v>
      </x:c>
      <x:c r="B566" s="106" t="str">
        <x:v>565</x:v>
      </x:c>
      <x:c r="C566" s="167" t="str">
        <x:f>"09521 1001590"</x:f>
        <x:v>09521 1001590</x:v>
      </x:c>
      <x:c r="D566" s="68" t="str">
        <x:v>DU'ONG DaC PnAT</x:v>
      </x:c>
      <x:c r="E566" s="68" t="str"/>
      <x:c r="F566" s="68" t="str">
        <x:v>15/09/20 1 1</x:v>
      </x:c>
      <x:c r="G566" s="68" t="str">
        <x:v>Kinh</x:v>
      </x:c>
      <x:c r="H566" s="68" t="str">
        <x:v>Xa Wnh Thanh</x:v>
      </x:c>
      <x:c r="I566" s="68" t="str">
        <x:v>THCS Hung Phd</x:v>
      </x:c>
      <x:c r="J566" s="68" t="str">
        <x:v>Xa Wnh Thanh</x:v>
      </x:c>
      <x:c r="K566" s="68" t="str">
        <x:v>29.5</x:v>
      </x:c>
      <x:c r="L566" s="68" t="str">
        <x:v>36</x:v>
      </x:c>
      <x:c r="M566" s="68" t="str"/>
      <x:c r="N566" s="68" t="str"/>
      <x:c r="O566" s="68" t="str">
        <x:v>65.5</x:v>
      </x:c>
      <x:c r="P566" s="68" t="str"/>
    </x:row>
    <x:row r="567">
      <x:c r="A567" s="106" t="n">
        <x:v>17</x:v>
      </x:c>
      <x:c r="B567" s="106" t="str">
        <x:v>566</x:v>
      </x:c>
      <x:c r="C567" s="167" t="str">
        <x:f>"095311007307"</x:f>
        <x:v>095311007307</x:v>
      </x:c>
      <x:c r="D567" s="68" t="str">
        <x:v>NGUYEN HUtNH KHA AI</x:v>
      </x:c>
      <x:c r="E567" s="68" t="str">
        <x:v>X</x:v>
      </x:c>
      <x:c r="F567" s="68" t="str">
        <x:v>29/12/201 1</x:v>
      </x:c>
      <x:c r="G567" s="68" t="str">
        <x:v>Kinh Xa</x:v>
      </x:c>
      <x:c r="H567" s="68" t="str">
        <x:v>Ninh Th4nh Lui</x:v>
      </x:c>
      <x:c r="I567" s="68" t="str">
        <x:v>THCS Phu6c Long</x:v>
      </x:c>
      <x:c r="J567" s="68" t="str">
        <x:v>Xa VTnh Phudc</x:v>
      </x:c>
      <x:c r="K567" s="68" t="str">
        <x:v>30.5</x:v>
      </x:c>
      <x:c r="L567" s="68" t="str">
        <x:v>34</x:v>
      </x:c>
      <x:c r="M567" s="68" t="str">
        <x:v>1.0</x:v>
      </x:c>
      <x:c r="N567" s="68" t="str"/>
      <x:c r="O567" s="68" t="str">
        <x:v>65.5</x:v>
      </x:c>
      <x:c r="P567" s="68" t="str"/>
    </x:row>
    <x:row r="568">
      <x:c r="A568" s="106" t="n">
        <x:v>17</x:v>
      </x:c>
      <x:c r="B568" s="106" t="str">
        <x:v>567</x:v>
      </x:c>
      <x:c r="C568" s="167" t="str">
        <x:f>"095211005881"</x:f>
        <x:v>095211005881</x:v>
      </x:c>
      <x:c r="D568" s="68" t="str">
        <x:v>DANH THAI</x:v>
      </x:c>
      <x:c r="E568" s="68" t="str"/>
      <x:c r="F568" s="68" t="str">
        <x:v>13/01/201 1</x:v>
      </x:c>
      <x:c r="G568" s="68" t="str">
        <x:v>Khmerl</x:v>
      </x:c>
      <x:c r="H568" s="68" t="str">
        <x:v>Xa Wnh phu6c</x:v>
      </x:c>
      <x:c r="I568" s="68" t="str">
        <x:v>THCS Wnh Pha Tay</x:v>
      </x:c>
      <x:c r="J568" s="68" t="str">
        <x:v>Xa Wnh Phu6c</x:v>
      </x:c>
      <x:c r="K568" s="68" t="str">
        <x:v>28.4</x:v>
      </x:c>
      <x:c r="L568" s="68" t="str">
        <x:v>36</x:v>
      </x:c>
      <x:c r="M568" s="68" t="str">
        <x:v>1.0</x:v>
      </x:c>
      <x:c r="N568" s="68" t="str"/>
      <x:c r="O568" s="68" t="str">
        <x:v>65.4</x:v>
      </x:c>
      <x:c r="P568" s="68" t="str"/>
    </x:row>
    <x:row r="569">
      <x:c r="A569" s="106" t="n">
        <x:v>17</x:v>
      </x:c>
      <x:c r="B569" s="106" t="str">
        <x:v>568</x:v>
      </x:c>
      <x:c r="C569" s="167" t="str">
        <x:f>"095211004527"</x:f>
        <x:v>095211004527</x:v>
      </x:c>
      <x:c r="D569" s="68" t="str">
        <x:v>NGUYEN DANG KH61</x:v>
      </x:c>
      <x:c r="E569" s="68" t="str"/>
      <x:c r="F569" s="68" t="str">
        <x:v>28/03/2011</x:v>
      </x:c>
      <x:c r="G569" s="68" t="str">
        <x:v>Kinh</x:v>
      </x:c>
      <x:c r="H569" s="68" t="str">
        <x:v>Xi Phu6c Long</x:v>
      </x:c>
      <x:c r="I569" s="68" t="str">
        <x:v>THCS VTnh Thanh</x:v>
      </x:c>
      <x:c r="J569" s="68" t="str">
        <x:v>Xa VTnh Thanh</x:v>
      </x:c>
      <x:c r="K569" s="68" t="str">
        <x:v>29.4</x:v>
      </x:c>
      <x:c r="L569" s="68" t="str">
        <x:v>36</x:v>
      </x:c>
      <x:c r="M569" s="68" t="str"/>
      <x:c r="N569" s="68" t="str"/>
      <x:c r="O569" s="68" t="str">
        <x:v>65.4</x:v>
      </x:c>
      <x:c r="P569" s="68" t="str"/>
    </x:row>
    <x:row r="570">
      <x:c r="A570" s="106" t="n">
        <x:v>17</x:v>
      </x:c>
      <x:c r="B570" s="106" t="str">
        <x:v>569</x:v>
      </x:c>
      <x:c r="C570" s="167" t="str">
        <x:f>"09531 1005292"</x:f>
        <x:v>09531 1005292</x:v>
      </x:c>
      <x:c r="D570" s="68" t="str">
        <x:v>TRAN THI TUYET MAI</x:v>
      </x:c>
      <x:c r="E570" s="68" t="str">
        <x:v>X</x:v>
      </x:c>
      <x:c r="F570" s="68" t="str">
        <x:v>29/12/2011</x:v>
      </x:c>
      <x:c r="G570" s="68" t="str">
        <x:v>Kinh</x:v>
      </x:c>
      <x:c r="H570" s="68" t="str">
        <x:v>Xa Hang Dan</x:v>
      </x:c>
      <x:c r="I570" s="68" t="str">
        <x:v>THCS Phu6c Long</x:v>
      </x:c>
      <x:c r="J570" s="68" t="str">
        <x:v>Xa Vinh phu6c</x:v>
      </x:c>
      <x:c r="K570" s="68" t="str">
        <x:v>29.4</x:v>
      </x:c>
      <x:c r="L570" s="68" t="str">
        <x:v>36</x:v>
      </x:c>
      <x:c r="M570" s="68" t="str"/>
      <x:c r="N570" s="68" t="str"/>
      <x:c r="O570" s="68" t="str">
        <x:v>65.4</x:v>
      </x:c>
      <x:c r="P570" s="68" t="str"/>
    </x:row>
    <x:row r="571">
      <x:c r="A571" s="106" t="n">
        <x:v>17</x:v>
      </x:c>
      <x:c r="B571" s="106" t="str">
        <x:v>570</x:v>
      </x:c>
      <x:c r="C571" s="167" t="str">
        <x:f>"09521 1005035"</x:f>
        <x:v>09521 1005035</x:v>
      </x:c>
      <x:c r="D571" s="68" t="str">
        <x:v>HLrtNH DUY KHANH</x:v>
      </x:c>
      <x:c r="E571" s="68" t="str"/>
      <x:c r="F571" s="68" t="str">
        <x:v>25/06/2011</x:v>
      </x:c>
      <x:c r="G571" s="68" t="str">
        <x:v>Kinh</x:v>
      </x:c>
      <x:c r="H571" s="68" t="str">
        <x:v>Xa Phu6c Long</x:v>
      </x:c>
      <x:c r="I571" s="68" t="str">
        <x:v>THCS Phudc Long</x:v>
      </x:c>
      <x:c r="J571" s="68" t="str">
        <x:v>Xa Phu6c Long</x:v>
      </x:c>
      <x:c r="K571" s="68" t="str">
        <x:v>30.3</x:v>
      </x:c>
      <x:c r="L571" s="68" t="str">
        <x:v>35</x:v>
      </x:c>
      <x:c r="M571" s="68" t="str"/>
      <x:c r="N571" s="68" t="str"/>
      <x:c r="O571" s="68" t="str">
        <x:v>65.3</x:v>
      </x:c>
      <x:c r="P571" s="68" t="str"/>
    </x:row>
    <x:row r="572">
      <x:c r="A572" s="106" t="n">
        <x:v>17</x:v>
      </x:c>
      <x:c r="B572" s="106" t="str">
        <x:v>571</x:v>
      </x:c>
      <x:c r="C572" s="167" t="str">
        <x:f>"09521 1002889"</x:f>
        <x:v>09521 1002889</x:v>
      </x:c>
      <x:c r="D572" s="68" t="str">
        <x:v>NGUYEN vAN THAI</x:v>
      </x:c>
      <x:c r="E572" s="68" t="str"/>
      <x:c r="F572" s="68" t="str">
        <x:v>29/03/2011</x:v>
      </x:c>
      <x:c r="G572" s="68" t="str">
        <x:v>Kinh</x:v>
      </x:c>
      <x:c r="H572" s="68" t="str">
        <x:v>Xa Phu6c Long</x:v>
      </x:c>
      <x:c r="I572" s="68" t="str">
        <x:v>THCS PhUdc Long</x:v>
      </x:c>
      <x:c r="J572" s="68" t="str">
        <x:v>Xa Phudc Long</x:v>
      </x:c>
      <x:c r="K572" s="68" t="str">
        <x:v>29.3</x:v>
      </x:c>
      <x:c r="L572" s="68" t="str">
        <x:v>36</x:v>
      </x:c>
      <x:c r="M572" s="68" t="str"/>
      <x:c r="N572" s="68" t="str"/>
      <x:c r="O572" s="68" t="str">
        <x:v>65.3</x:v>
      </x:c>
      <x:c r="P572" s="68" t="str"/>
    </x:row>
    <x:row r="573">
      <x:c r="A573" s="106" t="n">
        <x:v>17</x:v>
      </x:c>
      <x:c r="B573" s="106" t="str">
        <x:v>572</x:v>
      </x:c>
      <x:c r="C573" s="167" t="str">
        <x:f>"0953 1 1002385"</x:f>
        <x:v>0953 1 1002385</x:v>
      </x:c>
      <x:c r="D573" s="68" t="str">
        <x:v>NGUYEN THI KV DUaNG</x:v>
      </x:c>
      <x:c r="E573" s="68" t="str">
        <x:v>X</x:v>
      </x:c>
      <x:c r="F573" s="68" t="str">
        <x:v>18/12/2011</x:v>
      </x:c>
      <x:c r="G573" s="68" t="str">
        <x:v>Kinh</x:v>
      </x:c>
      <x:c r="H573" s="68" t="str">
        <x:v>Xa Vmh Phudc</x:v>
      </x:c>
      <x:c r="I573" s="68" t="str">
        <x:v>THCS Vinh Pha Tay</x:v>
      </x:c>
      <x:c r="J573" s="68" t="str">
        <x:v>Xa VTnh Phu6c</x:v>
      </x:c>
      <x:c r="K573" s="68" t="str">
        <x:v>31.3</x:v>
      </x:c>
      <x:c r="L573" s="68" t="str">
        <x:v>34</x:v>
      </x:c>
      <x:c r="M573" s="68" t="str"/>
      <x:c r="N573" s="68" t="str"/>
      <x:c r="O573" s="68" t="str">
        <x:v>65.3</x:v>
      </x:c>
      <x:c r="P573" s="68" t="str"/>
    </x:row>
    <x:row r="574">
      <x:c r="A574" s="106" t="n">
        <x:v>18</x:v>
      </x:c>
      <x:c r="B574" s="106" t="str">
        <x:v>573</x:v>
      </x:c>
      <x:c r="C574" s="167" t="str">
        <x:f>"09521 1010402"</x:f>
        <x:v>09521 1010402</x:v>
      </x:c>
      <x:c r="D574" s="68" t="str">
        <x:v>LU'U GLA PHAT</x:v>
      </x:c>
      <x:c r="E574" s="68" t="str"/>
      <x:c r="F574" s="68" t="str">
        <x:v>16/01/201 1</x:v>
      </x:c>
      <x:c r="G574" s="68" t="str">
        <x:v>Kinh</x:v>
      </x:c>
      <x:c r="H574" s="68" t="str">
        <x:v>Xg \nnh Thanh</x:v>
      </x:c>
      <x:c r="I574" s="68" t="str">
        <x:v>THCS Hung Phi</x:v>
      </x:c>
      <x:c r="J574" s="68" t="str">
        <x:v>Xa \4nh Thanh</x:v>
      </x:c>
      <x:c r="K574" s="68" t="str">
        <x:v>30.3</x:v>
      </x:c>
      <x:c r="L574" s="68" t="str">
        <x:v>35</x:v>
      </x:c>
      <x:c r="M574" s="68" t="str"/>
      <x:c r="N574" s="68" t="str"/>
      <x:c r="O574" s="68" t="str">
        <x:v>65.3</x:v>
      </x:c>
      <x:c r="P574" s="68" t="str"/>
    </x:row>
    <x:row r="575">
      <x:c r="A575" s="106" t="n">
        <x:v>18</x:v>
      </x:c>
      <x:c r="B575" s="106" t="str">
        <x:v>574</x:v>
      </x:c>
      <x:c r="C575" s="167" t="str">
        <x:f>"0953 1 1008374"</x:f>
        <x:v>0953 1 1008374</x:v>
      </x:c>
      <x:c r="D575" s="68" t="str">
        <x:v>PRAM DEEM HANG</x:v>
      </x:c>
      <x:c r="E575" s="68" t="str">
        <x:v>X</x:v>
      </x:c>
      <x:c r="F575" s="68" t="str">
        <x:v>09/08/201 1</x:v>
      </x:c>
      <x:c r="G575" s="68" t="str">
        <x:v>Kinh</x:v>
      </x:c>
      <x:c r="H575" s="68" t="str">
        <x:v>Xa Vinh Phu6c</x:v>
      </x:c>
      <x:c r="I575" s="68" t="str">
        <x:v>THCS VTnh Thanh</x:v>
      </x:c>
      <x:c r="J575" s="68" t="str">
        <x:v>Xa Vinh Thanh</x:v>
      </x:c>
      <x:c r="K575" s="68" t="str">
        <x:v>29.3</x:v>
      </x:c>
      <x:c r="L575" s="68" t="str">
        <x:v>35</x:v>
      </x:c>
      <x:c r="M575" s="68" t="str">
        <x:v>1.0</x:v>
      </x:c>
      <x:c r="N575" s="68" t="str"/>
      <x:c r="O575" s="68" t="str">
        <x:v>65.3</x:v>
      </x:c>
      <x:c r="P575" s="68" t="str"/>
    </x:row>
    <x:row r="576">
      <x:c r="A576" s="106" t="n">
        <x:v>18</x:v>
      </x:c>
      <x:c r="B576" s="106" t="str">
        <x:v>575</x:v>
      </x:c>
      <x:c r="C576" s="167" t="str">
        <x:f>"09521 1 003535"</x:f>
        <x:v>09521 1 003535</x:v>
      </x:c>
      <x:c r="D576" s="68" t="str">
        <x:v>PRAM HOANG Bl</x:v>
      </x:c>
      <x:c r="E576" s="68" t="str"/>
      <x:c r="F576" s="68" t="str">
        <x:v>08/Oi/201 1</x:v>
      </x:c>
      <x:c r="G576" s="68" t="str">
        <x:v>Kinh</x:v>
      </x:c>
      <x:c r="H576" s="68" t="str">
        <x:v>Xa Phu a Long</x:v>
      </x:c>
      <x:c r="I576" s="68" t="str">
        <x:v>THCS Truong Wnh KV</x:v>
      </x:c>
      <x:c r="J576" s="68" t="str">
        <x:v>Xa H6ng Dan</x:v>
      </x:c>
      <x:c r="K576" s="68" t="str">
        <x:v>30.3</x:v>
      </x:c>
      <x:c r="L576" s="68" t="str">
        <x:v>35</x:v>
      </x:c>
      <x:c r="M576" s="68" t="str"/>
      <x:c r="N576" s="68" t="str"/>
      <x:c r="O576" s="68" t="str">
        <x:v>65.3</x:v>
      </x:c>
      <x:c r="P576" s="68" t="str"/>
    </x:row>
    <x:row r="577">
      <x:c r="A577" s="106" t="n">
        <x:v>18</x:v>
      </x:c>
      <x:c r="B577" s="106" t="str">
        <x:v>576</x:v>
      </x:c>
      <x:c r="C577" s="167" t="str">
        <x:f>"09521 1003533"</x:f>
        <x:v>09521 1003533</x:v>
      </x:c>
      <x:c r="D577" s="68" t="str">
        <x:v>TRAN GLA BAO</x:v>
      </x:c>
      <x:c r="E577" s="68" t="str"/>
      <x:c r="F577" s="68" t="str">
        <x:v>31/05/2011</x:v>
      </x:c>
      <x:c r="G577" s="68" t="str">
        <x:v>Kinh</x:v>
      </x:c>
      <x:c r="H577" s="68" t="str">
        <x:v>Xa Phu6c Long</x:v>
      </x:c>
      <x:c r="I577" s="68" t="str">
        <x:v>THCS Vuang Hau Nhan</x:v>
      </x:c>
      <x:c r="J577" s="68" t="str">
        <x:v>Xa Phu6c Long</x:v>
      </x:c>
      <x:c r="K577" s="68" t="str">
        <x:v>29.3</x:v>
      </x:c>
      <x:c r="L577" s="68" t="str">
        <x:v>36</x:v>
      </x:c>
      <x:c r="M577" s="68" t="str"/>
      <x:c r="N577" s="68" t="str"/>
      <x:c r="O577" s="68" t="str">
        <x:v>65.3</x:v>
      </x:c>
      <x:c r="P577" s="68" t="str"/>
    </x:row>
    <x:row r="578">
      <x:c r="A578" s="106" t="n">
        <x:v>18</x:v>
      </x:c>
      <x:c r="B578" s="106" t="str">
        <x:v>577</x:v>
      </x:c>
      <x:c r="C578" s="167" t="str">
        <x:f>"095311008110"</x:f>
        <x:v>095311008110</x:v>
      </x:c>
      <x:c r="D578" s="68" t="str">
        <x:v>NGUYEN NGQC NGAN</x:v>
      </x:c>
      <x:c r="E578" s="68" t="str">
        <x:v>X</x:v>
      </x:c>
      <x:c r="F578" s="68" t="str">
        <x:v>20/12/201 1</x:v>
      </x:c>
      <x:c r="G578" s="68" t="str">
        <x:v>Kinh</x:v>
      </x:c>
      <x:c r="H578" s="68" t="str">
        <x:v>Xa Phu6c Long</x:v>
      </x:c>
      <x:c r="I578" s="68" t="str">
        <x:v>THCS Phu6c Long</x:v>
      </x:c>
      <x:c r="J578" s="68" t="str">
        <x:v>Xa Phudc Long</x:v>
      </x:c>
      <x:c r="K578" s="68" t="str">
        <x:v>29.2</x:v>
      </x:c>
      <x:c r="L578" s="68" t="str">
        <x:v>36</x:v>
      </x:c>
      <x:c r="M578" s="68" t="str"/>
      <x:c r="N578" s="68" t="str"/>
      <x:c r="O578" s="68" t="str">
        <x:v>65.2</x:v>
      </x:c>
      <x:c r="P578" s="68" t="str"/>
    </x:row>
    <x:row r="579">
      <x:c r="A579" s="106" t="n">
        <x:v>18</x:v>
      </x:c>
      <x:c r="B579" s="106" t="str">
        <x:v>578</x:v>
      </x:c>
      <x:c r="C579" s="167" t="str">
        <x:f>"09521 1005979"</x:f>
        <x:v>09521 1005979</x:v>
      </x:c>
      <x:c r="D579" s="68" t="str">
        <x:v>NGUYEN LAM KHEEM</x:v>
      </x:c>
      <x:c r="E579" s="68" t="str"/>
      <x:c r="F579" s="68" t="str">
        <x:v>16/09/201 1</x:v>
      </x:c>
      <x:c r="G579" s="68" t="str">
        <x:v>Kinh</x:v>
      </x:c>
      <x:c r="H579" s="68" t="str">
        <x:v>Xa Wnh Thanh</x:v>
      </x:c>
      <x:c r="I579" s="68" t="str">
        <x:v>THCS Hung Phd</x:v>
      </x:c>
      <x:c r="J579" s="68" t="str">
        <x:v>Xa Vmh Thanh</x:v>
      </x:c>
      <x:c r="K579" s="68" t="str">
        <x:v>29.2</x:v>
      </x:c>
      <x:c r="L579" s="68" t="str">
        <x:v>36</x:v>
      </x:c>
      <x:c r="M579" s="68" t="str"/>
      <x:c r="N579" s="68" t="str"/>
      <x:c r="O579" s="68" t="str">
        <x:v>65.2</x:v>
      </x:c>
      <x:c r="P579" s="68" t="str"/>
    </x:row>
    <x:row r="580">
      <x:c r="A580" s="106" t="n">
        <x:v>18</x:v>
      </x:c>
      <x:c r="B580" s="106" t="str">
        <x:v>579</x:v>
      </x:c>
      <x:c r="C580" s="167" t="str">
        <x:f>"0952 1 1007207"</x:f>
        <x:v>0952 1 1007207</x:v>
      </x:c>
      <x:c r="D580" s="68" t="str">
        <x:v>NGO DANG KHOA</x:v>
      </x:c>
      <x:c r="E580" s="68" t="str"/>
      <x:c r="F580" s="68" t="str">
        <x:v>18/01/2011</x:v>
      </x:c>
      <x:c r="G580" s="68" t="str">
        <x:v>Kinh</x:v>
      </x:c>
      <x:c r="H580" s="68" t="str">
        <x:v>Xa VTnh Thanh</x:v>
      </x:c>
      <x:c r="I580" s="68" t="str">
        <x:v>THCS Vinh Thanh</x:v>
      </x:c>
      <x:c r="J580" s="68" t="str">
        <x:v>Xa VTnh Thanh</x:v>
      </x:c>
      <x:c r="K580" s="68" t="str">
        <x:v>29.2</x:v>
      </x:c>
      <x:c r="L580" s="68" t="str">
        <x:v>36</x:v>
      </x:c>
      <x:c r="M580" s="68" t="str"/>
      <x:c r="N580" s="68" t="str"/>
      <x:c r="O580" s="68" t="str">
        <x:v>65.2</x:v>
      </x:c>
      <x:c r="P580" s="68" t="str"/>
    </x:row>
    <x:row r="581">
      <x:c r="A581" s="106" t="n">
        <x:v>18</x:v>
      </x:c>
      <x:c r="B581" s="106" t="str">
        <x:v>580</x:v>
      </x:c>
      <x:c r="C581" s="167" t="str">
        <x:f>"0953 1 1004392"</x:f>
        <x:v>0953 1 1004392</x:v>
      </x:c>
      <x:c r="D581" s="68" t="str">
        <x:v>v6 NHU NGUYEN</x:v>
      </x:c>
      <x:c r="E581" s="68" t="str">
        <x:v>X</x:v>
      </x:c>
      <x:c r="F581" s="68" t="str">
        <x:v>19/08/2011</x:v>
      </x:c>
      <x:c r="G581" s="68" t="str">
        <x:v>Kinh</x:v>
      </x:c>
      <x:c r="H581" s="68" t="str">
        <x:v>Xa Vinh Phu6c</x:v>
      </x:c>
      <x:c r="I581" s="68" t="str">
        <x:v>THCS Vinh Thanh</x:v>
      </x:c>
      <x:c r="J581" s="68" t="str">
        <x:v>Xa Vinh Thanh</x:v>
      </x:c>
      <x:c r="K581" s="68" t="str">
        <x:v>29. 1</x:v>
      </x:c>
      <x:c r="L581" s="68" t="str">
        <x:v>35</x:v>
      </x:c>
      <x:c r="M581" s="68" t="str">
        <x:v>1.0</x:v>
      </x:c>
      <x:c r="N581" s="68" t="str"/>
      <x:c r="O581" s="68" t="str">
        <x:v>65.1</x:v>
      </x:c>
      <x:c r="P581" s="68" t="str"/>
    </x:row>
    <x:row r="582">
      <x:c r="A582" s="106" t="n">
        <x:v>18</x:v>
      </x:c>
      <x:c r="B582" s="106" t="str">
        <x:v>581</x:v>
      </x:c>
      <x:c r="C582" s="167" t="str">
        <x:f>"095211001465"</x:f>
        <x:v>095211001465</x:v>
      </x:c>
      <x:c r="D582" s="68" t="str">
        <x:v>Lau TRQNG KHANG</x:v>
      </x:c>
      <x:c r="E582" s="68" t="str"/>
      <x:c r="F582" s="68" t="str">
        <x:v>02/04/2011</x:v>
      </x:c>
      <x:c r="G582" s="68" t="str">
        <x:v>Kinh</x:v>
      </x:c>
      <x:c r="H582" s="68" t="str">
        <x:v>Xa Phudc Long</x:v>
      </x:c>
      <x:c r="I582" s="68" t="str">
        <x:v>THCS Vuang Hfru Nhan</x:v>
      </x:c>
      <x:c r="J582" s="68" t="str">
        <x:v>Xa Phu6c Long</x:v>
      </x:c>
      <x:c r="K582" s="68" t="str">
        <x:v>29.1</x:v>
      </x:c>
      <x:c r="L582" s="68" t="str">
        <x:v>36</x:v>
      </x:c>
      <x:c r="M582" s="68" t="str"/>
      <x:c r="N582" s="68" t="str"/>
      <x:c r="O582" s="68" t="str">
        <x:v>65.1</x:v>
      </x:c>
      <x:c r="P582" s="68" t="str"/>
    </x:row>
    <x:row r="583">
      <x:c r="A583" s="106" t="n">
        <x:v>18</x:v>
      </x:c>
      <x:c r="B583" s="106" t="str">
        <x:v>582</x:v>
      </x:c>
      <x:c r="C583" s="167" t="str">
        <x:f>"095211009920"</x:f>
        <x:v>095211009920</x:v>
      </x:c>
      <x:c r="D583" s="68" t="str">
        <x:v>a MINH KHUONG</x:v>
      </x:c>
      <x:c r="E583" s="68" t="str"/>
      <x:c r="F583" s="68" t="str">
        <x:v>31/01/2011</x:v>
      </x:c>
      <x:c r="G583" s="68" t="str">
        <x:v>Kinh</x:v>
      </x:c>
      <x:c r="H583" s="68" t="str">
        <x:v>Xa Phu a Long</x:v>
      </x:c>
      <x:c r="I583" s="68" t="str">
        <x:v>THCS Vuang Hau Nhan</x:v>
      </x:c>
      <x:c r="J583" s="68" t="str">
        <x:v>Xa Phu6c Long</x:v>
      </x:c>
      <x:c r="K583" s="68" t="str">
        <x:v>29.1</x:v>
      </x:c>
      <x:c r="L583" s="68" t="str">
        <x:v>36</x:v>
      </x:c>
      <x:c r="M583" s="68" t="str"/>
      <x:c r="N583" s="68" t="str"/>
      <x:c r="O583" s="68" t="str">
        <x:v>65.1</x:v>
      </x:c>
      <x:c r="P583" s="68" t="str"/>
    </x:row>
    <x:row r="584">
      <x:c r="A584" s="106" t="n">
        <x:v>18</x:v>
      </x:c>
      <x:c r="B584" s="106" t="str">
        <x:v>583</x:v>
      </x:c>
      <x:c r="C584" s="167" t="str">
        <x:f>"095311001951"</x:f>
        <x:v>095311001951</x:v>
      </x:c>
      <x:c r="D584" s="68" t="str">
        <x:v>NGUy£N THI THU'ONG</x:v>
      </x:c>
      <x:c r="E584" s="68" t="str">
        <x:v>X</x:v>
      </x:c>
      <x:c r="F584" s="68" t="str">
        <x:v>16/03/201 1</x:v>
      </x:c>
      <x:c r="G584" s="68" t="str">
        <x:v>Kinh</x:v>
      </x:c>
      <x:c r="H584" s="68" t="str">
        <x:v>Xa Phu6c Long</x:v>
      </x:c>
      <x:c r="I584" s="68" t="str">
        <x:v>THCS Phudc Long</x:v>
      </x:c>
      <x:c r="J584" s="68" t="str">
        <x:v>Xa Phu a Long</x:v>
      </x:c>
      <x:c r="K584" s="68" t="str">
        <x:v>31.0</x:v>
      </x:c>
      <x:c r="L584" s="68" t="str">
        <x:v>34</x:v>
      </x:c>
      <x:c r="M584" s="68" t="str"/>
      <x:c r="N584" s="68" t="str"/>
      <x:c r="O584" s="68" t="str">
        <x:v>65.0</x:v>
      </x:c>
      <x:c r="P584" s="68" t="str"/>
    </x:row>
    <x:row r="585">
      <x:c r="A585" s="106" t="n">
        <x:v>18</x:v>
      </x:c>
      <x:c r="B585" s="106" t="str">
        <x:v>584</x:v>
      </x:c>
      <x:c r="C585" s="167" t="str">
        <x:f>"095211001228"</x:f>
        <x:v>095211001228</x:v>
      </x:c>
      <x:c r="D585" s="68" t="str">
        <x:v>HUtNH MINH KH61</x:v>
      </x:c>
      <x:c r="E585" s="68" t="str"/>
      <x:c r="F585" s="68" t="str">
        <x:v>06/03/2011</x:v>
      </x:c>
      <x:c r="G585" s="68" t="str">
        <x:v>Kinh</x:v>
      </x:c>
      <x:c r="H585" s="68" t="str">
        <x:v>XI Vinh Thanh</x:v>
      </x:c>
      <x:c r="I585" s="68" t="str">
        <x:v>THCS Vinh Phi Tay</x:v>
      </x:c>
      <x:c r="J585" s="68" t="str">
        <x:v>Xa VTnh Phu6c</x:v>
      </x:c>
      <x:c r="K585" s="68" t="str">
        <x:v>31.0</x:v>
      </x:c>
      <x:c r="L585" s="68" t="str">
        <x:v>34</x:v>
      </x:c>
      <x:c r="M585" s="68" t="str"/>
      <x:c r="N585" s="68" t="str"/>
      <x:c r="O585" s="68" t="str">
        <x:v>65.0</x:v>
      </x:c>
      <x:c r="P585" s="68" t="str"/>
    </x:row>
    <x:row r="586">
      <x:c r="A586" s="106" t="n">
        <x:v>18</x:v>
      </x:c>
      <x:c r="B586" s="106" t="str">
        <x:v>585</x:v>
      </x:c>
      <x:c r="C586" s="167" t="str">
        <x:f>"0953 1 1006070"</x:f>
        <x:v>0953 1 1006070</x:v>
      </x:c>
      <x:c r="D586" s="68" t="str">
        <x:v>LE KHANH NnA</x:v>
      </x:c>
      <x:c r="E586" s="68" t="str">
        <x:v>X</x:v>
      </x:c>
      <x:c r="F586" s="68" t="str">
        <x:v>07/05/2011</x:v>
      </x:c>
      <x:c r="G586" s="68" t="str">
        <x:v>Kinh</x:v>
      </x:c>
      <x:c r="H586" s="68" t="str">
        <x:v>Xa VTnh Phu6c</x:v>
      </x:c>
      <x:c r="I586" s="68" t="str">
        <x:v>THCS VTnh Pha Tay</x:v>
      </x:c>
      <x:c r="J586" s="68" t="str">
        <x:v>Xa Vrnh Phudc</x:v>
      </x:c>
      <x:c r="K586" s="68" t="str">
        <x:v>30.0</x:v>
      </x:c>
      <x:c r="L586" s="68" t="str">
        <x:v>34</x:v>
      </x:c>
      <x:c r="M586" s="68" t="str">
        <x:v>1.0</x:v>
      </x:c>
      <x:c r="N586" s="68" t="str"/>
      <x:c r="O586" s="68" t="str">
        <x:v>65.0</x:v>
      </x:c>
      <x:c r="P586" s="68" t="str"/>
    </x:row>
    <x:row r="587">
      <x:c r="A587" s="106" t="n">
        <x:v>18</x:v>
      </x:c>
      <x:c r="B587" s="106" t="str">
        <x:v>586</x:v>
      </x:c>
      <x:c r="C587" s="167" t="str">
        <x:f>"0952 1 1003748"</x:f>
        <x:v>0952 1 1003748</x:v>
      </x:c>
      <x:c r="D587" s="68" t="str">
        <x:v>QUACH HAI NINH</x:v>
      </x:c>
      <x:c r="E587" s="68" t="str"/>
      <x:c r="F587" s="68" t="str">
        <x:v>06/05/2011</x:v>
      </x:c>
      <x:c r="G587" s="68" t="str">
        <x:v>Kinh</x:v>
      </x:c>
      <x:c r="H587" s="68" t="str">
        <x:v>Xa VTnh Thanh</x:v>
      </x:c>
      <x:c r="I587" s="68" t="str">
        <x:v>THCS Hung Phd</x:v>
      </x:c>
      <x:c r="J587" s="68" t="str">
        <x:v>Xa Vinh Thanh</x:v>
      </x:c>
      <x:c r="K587" s="68" t="str">
        <x:v>29.0</x:v>
      </x:c>
      <x:c r="L587" s="68" t="str">
        <x:v>36</x:v>
      </x:c>
      <x:c r="M587" s="68" t="str"/>
      <x:c r="N587" s="68" t="str"/>
      <x:c r="O587" s="68" t="str">
        <x:v>65.0</x:v>
      </x:c>
      <x:c r="P587" s="68" t="str"/>
    </x:row>
    <x:row r="588">
      <x:c r="A588" s="106" t="n">
        <x:v>18</x:v>
      </x:c>
      <x:c r="B588" s="106" t="str">
        <x:v>587</x:v>
      </x:c>
      <x:c r="C588" s="167" t="str">
        <x:f>"09521 1004148"</x:f>
        <x:v>09521 1004148</x:v>
      </x:c>
      <x:c r="D588" s="68" t="str">
        <x:v>NGUY£N CHi BAO</x:v>
      </x:c>
      <x:c r="E588" s="68" t="str"/>
      <x:c r="F588" s="68" t="str">
        <x:v>05/08/2011</x:v>
      </x:c>
      <x:c r="G588" s="68" t="str">
        <x:v>Kinh</x:v>
      </x:c>
      <x:c r="H588" s="68" t="str">
        <x:v>Xa Vinh Thanh</x:v>
      </x:c>
      <x:c r="I588" s="68" t="str">
        <x:v>THCS-Hung Phd</x:v>
      </x:c>
      <x:c r="J588" s="68" t="str">
        <x:v>Xa VTnh Thanh</x:v>
      </x:c>
      <x:c r="K588" s="68" t="str">
        <x:v>29.0</x:v>
      </x:c>
      <x:c r="L588" s="68" t="str">
        <x:v>36</x:v>
      </x:c>
      <x:c r="M588" s="68" t="str"/>
      <x:c r="N588" s="68" t="str"/>
      <x:c r="O588" s="68" t="str">
        <x:v>65.0</x:v>
      </x:c>
      <x:c r="P588" s="68" t="str"/>
    </x:row>
    <x:row r="589">
      <x:c r="A589" s="106" t="n">
        <x:v>18</x:v>
      </x:c>
      <x:c r="B589" s="106" t="str">
        <x:v>588</x:v>
      </x:c>
      <x:c r="C589" s="167" t="str">
        <x:f>"09521 1002016"</x:f>
        <x:v>09521 1002016</x:v>
      </x:c>
      <x:c r="D589" s="68" t="str">
        <x:v>Le THANH DUY</x:v>
      </x:c>
      <x:c r="E589" s="68" t="str"/>
      <x:c r="F589" s="68" t="str">
        <x:v>20/07/2011</x:v>
      </x:c>
      <x:c r="G589" s="68" t="str">
        <x:v>Kinh</x:v>
      </x:c>
      <x:c r="H589" s="68" t="str">
        <x:v>Xa Phudc Long</x:v>
      </x:c>
      <x:c r="I589" s="68" t="str">
        <x:v>THCS Vuang HOu Nhan</x:v>
      </x:c>
      <x:c r="J589" s="68" t="str">
        <x:v>Xa Phu(tc Long</x:v>
      </x:c>
      <x:c r="K589" s="68" t="str">
        <x:v>29.0</x:v>
      </x:c>
      <x:c r="L589" s="68" t="str">
        <x:v>36</x:v>
      </x:c>
      <x:c r="M589" s="68" t="str"/>
      <x:c r="N589" s="68" t="str"/>
      <x:c r="O589" s="68" t="str">
        <x:v>65.0</x:v>
      </x:c>
      <x:c r="P589" s="68" t="str"/>
    </x:row>
    <x:row r="590">
      <x:c r="A590" s="106" t="n">
        <x:v>18</x:v>
      </x:c>
      <x:c r="B590" s="106" t="str">
        <x:v>589</x:v>
      </x:c>
      <x:c r="C590" s="167" t="str">
        <x:f>"09531 1002992"</x:f>
        <x:v>09531 1002992</x:v>
      </x:c>
      <x:c r="D590" s="68" t="str">
        <x:v>TRAN QUY£N NGHI</x:v>
      </x:c>
      <x:c r="E590" s="68" t="str">
        <x:v>X</x:v>
      </x:c>
      <x:c r="F590" s="68" t="str">
        <x:v>21/10/201 1</x:v>
      </x:c>
      <x:c r="G590" s="68" t="str">
        <x:v>Kinh</x:v>
      </x:c>
      <x:c r="H590" s="68" t="str">
        <x:v>Xa Phu6c Long</x:v>
      </x:c>
      <x:c r="I590" s="68" t="str">
        <x:v>THCS Phu6c Long</x:v>
      </x:c>
      <x:c r="J590" s="68" t="str">
        <x:v>Xa Phudc Long</x:v>
      </x:c>
      <x:c r="K590" s="68" t="str">
        <x:v>29.9</x:v>
      </x:c>
      <x:c r="L590" s="68" t="str">
        <x:v>35</x:v>
      </x:c>
      <x:c r="M590" s="68" t="str"/>
      <x:c r="N590" s="68" t="str"/>
      <x:c r="O590" s="68" t="str">
        <x:v>64.9</x:v>
      </x:c>
      <x:c r="P590" s="68" t="str"/>
    </x:row>
    <x:row r="591">
      <x:c r="A591" s="106" t="n">
        <x:v>18</x:v>
      </x:c>
      <x:c r="B591" s="106" t="str">
        <x:v>590</x:v>
      </x:c>
      <x:c r="C591" s="167" t="str">
        <x:f>"095211001247"</x:f>
        <x:v>095211001247</x:v>
      </x:c>
      <x:c r="D591" s="68" t="str">
        <x:v>PRAM CHI KHANG</x:v>
      </x:c>
      <x:c r="E591" s="68" t="str"/>
      <x:c r="F591" s="68" t="str">
        <x:v>06/03/2011</x:v>
      </x:c>
      <x:c r="G591" s="68" t="str">
        <x:v>Kinh</x:v>
      </x:c>
      <x:c r="H591" s="68" t="str">
        <x:v>Xa Vrnh Phu6c</x:v>
      </x:c>
      <x:c r="I591" s="68" t="str">
        <x:v>THCS Wnh Pha Tay</x:v>
      </x:c>
      <x:c r="J591" s="68" t="str">
        <x:v>Xa VTnh Phudc</x:v>
      </x:c>
      <x:c r="K591" s="68" t="str">
        <x:v>28.9</x:v>
      </x:c>
      <x:c r="L591" s="68" t="str">
        <x:v>36</x:v>
      </x:c>
      <x:c r="M591" s="68" t="str"/>
      <x:c r="N591" s="68" t="str"/>
      <x:c r="O591" s="68" t="str">
        <x:v>64.9</x:v>
      </x:c>
      <x:c r="P591" s="68" t="str"/>
    </x:row>
    <x:row r="592">
      <x:c r="A592" s="106" t="n">
        <x:v>18</x:v>
      </x:c>
      <x:c r="B592" s="106" t="str">
        <x:v>591</x:v>
      </x:c>
      <x:c r="C592" s="167" t="str">
        <x:f>"095211008305"</x:f>
        <x:v>095211008305</x:v>
      </x:c>
      <x:c r="D592" s="68" t="str">
        <x:v>NGUYBN vAN AN</x:v>
      </x:c>
      <x:c r="E592" s="68" t="str"/>
      <x:c r="F592" s="68" t="str">
        <x:v>14/04/201 1</x:v>
      </x:c>
      <x:c r="G592" s="68" t="str">
        <x:v>Kinh</x:v>
      </x:c>
      <x:c r="H592" s="68" t="str">
        <x:v>Xa VTnh Thanh</x:v>
      </x:c>
      <x:c r="I592" s="68" t="str">
        <x:v>THCS Hung Phd</x:v>
      </x:c>
      <x:c r="J592" s="68" t="str">
        <x:v>Xa Wnh Thanh</x:v>
      </x:c>
      <x:c r="K592" s="68" t="str">
        <x:v>30.9</x:v>
      </x:c>
      <x:c r="L592" s="68" t="str">
        <x:v>34</x:v>
      </x:c>
      <x:c r="M592" s="68" t="str"/>
      <x:c r="N592" s="68" t="str"/>
      <x:c r="O592" s="68" t="str">
        <x:v>64.9</x:v>
      </x:c>
      <x:c r="P592" s="68" t="str"/>
    </x:row>
    <x:row r="593">
      <x:c r="A593" s="106" t="n">
        <x:v>18</x:v>
      </x:c>
      <x:c r="B593" s="106" t="str">
        <x:v>592</x:v>
      </x:c>
      <x:c r="C593" s="167" t="str">
        <x:f>"09531 1009214"</x:f>
        <x:v>09531 1009214</x:v>
      </x:c>
      <x:c r="D593" s="68" t="str">
        <x:v>MAI vAN NHA THY</x:v>
      </x:c>
      <x:c r="E593" s="68" t="str">
        <x:v>X</x:v>
      </x:c>
      <x:c r="F593" s="68" t="str">
        <x:v>19/10/2011</x:v>
      </x:c>
      <x:c r="G593" s="68" t="str">
        <x:v>Kinh</x:v>
      </x:c>
      <x:c r="H593" s="68" t="str">
        <x:v>Xg Phu a Long</x:v>
      </x:c>
      <x:c r="I593" s="68" t="str">
        <x:v>THCS Phu6c Lang</x:v>
      </x:c>
      <x:c r="J593" s="68" t="str">
        <x:v>Xa Phu6c Long</x:v>
      </x:c>
      <x:c r="K593" s="68" t="str">
        <x:v>30.8</x:v>
      </x:c>
      <x:c r="L593" s="68" t="str">
        <x:v>34</x:v>
      </x:c>
      <x:c r="M593" s="68" t="str"/>
      <x:c r="N593" s="68" t="str"/>
      <x:c r="O593" s="68" t="str">
        <x:v>64.8</x:v>
      </x:c>
      <x:c r="P593" s="68" t="str"/>
    </x:row>
    <x:row r="594">
      <x:c r="A594" s="106" t="n">
        <x:v>18</x:v>
      </x:c>
      <x:c r="B594" s="106" t="str">
        <x:v>593</x:v>
      </x:c>
      <x:c r="C594" s="167" t="str">
        <x:f>"095211008692"</x:f>
        <x:v>095211008692</x:v>
      </x:c>
      <x:c r="D594" s="68" t="str">
        <x:v>TRAN MAI vANG</x:v>
      </x:c>
      <x:c r="E594" s="68" t="str"/>
      <x:c r="F594" s="68" t="str">
        <x:v>10/02/201 1</x:v>
      </x:c>
      <x:c r="G594" s="68" t="str">
        <x:v>Kinh</x:v>
      </x:c>
      <x:c r="H594" s="68" t="str">
        <x:v>Xa Phu6c Long</x:v>
      </x:c>
      <x:c r="I594" s="68" t="str">
        <x:v>THCS Phu6c Long</x:v>
      </x:c>
      <x:c r="J594" s="68" t="str">
        <x:v>Xa Phu6c Long</x:v>
      </x:c>
      <x:c r="K594" s="68" t="str">
        <x:v>28.7</x:v>
      </x:c>
      <x:c r="L594" s="68" t="str">
        <x:v>36</x:v>
      </x:c>
      <x:c r="M594" s="68" t="str"/>
      <x:c r="N594" s="68" t="str"/>
      <x:c r="O594" s="68" t="str">
        <x:v>64.7</x:v>
      </x:c>
      <x:c r="P594" s="68" t="str"/>
    </x:row>
    <x:row r="595">
      <x:c r="A595" s="106" t="n">
        <x:v>18</x:v>
      </x:c>
      <x:c r="B595" s="106" t="str">
        <x:v>594</x:v>
      </x:c>
      <x:c r="C595" s="167" t="str">
        <x:f>"095210003845"</x:f>
        <x:v>095210003845</x:v>
      </x:c>
      <x:c r="D595" s="68" t="str">
        <x:v>NGUYEN VHET HAO</x:v>
      </x:c>
      <x:c r="E595" s="68" t="str"/>
      <x:c r="F595" s="68" t="str">
        <x:v>20/05/2010</x:v>
      </x:c>
      <x:c r="G595" s="68" t="str">
        <x:v>Kinh</x:v>
      </x:c>
      <x:c r="H595" s="68" t="str">
        <x:v>Xa Phu6c Long</x:v>
      </x:c>
      <x:c r="I595" s="68" t="str">
        <x:v>THCS Phudc Long</x:v>
      </x:c>
      <x:c r="J595" s="68" t="str">
        <x:v>Xa Phu6c Long</x:v>
      </x:c>
      <x:c r="K595" s="68" t="str">
        <x:v>28.7</x:v>
      </x:c>
      <x:c r="L595" s="68" t="str">
        <x:v>36</x:v>
      </x:c>
      <x:c r="M595" s="68" t="str"/>
      <x:c r="N595" s="68" t="str"/>
      <x:c r="O595" s="68" t="str">
        <x:v>64.7</x:v>
      </x:c>
      <x:c r="P595" s="68" t="str"/>
    </x:row>
    <x:row r="596">
      <x:c r="A596" s="106" t="n">
        <x:v>18</x:v>
      </x:c>
      <x:c r="B596" s="106" t="str">
        <x:v>595</x:v>
      </x:c>
      <x:c r="C596" s="167" t="str">
        <x:f>"095211005867"</x:f>
        <x:v>095211005867</x:v>
      </x:c>
      <x:c r="D596" s="68" t="str">
        <x:v>TRAN HUtNH DU'ONG</x:v>
      </x:c>
      <x:c r="E596" s="68" t="str"/>
      <x:c r="F596" s="68" t="str">
        <x:v>29/01/2011</x:v>
      </x:c>
      <x:c r="G596" s="68" t="str">
        <x:v>Kinh</x:v>
      </x:c>
      <x:c r="H596" s="68" t="str">
        <x:v>Xa Phu a Long</x:v>
      </x:c>
      <x:c r="I596" s="68" t="str">
        <x:v>THCS PhMc Long</x:v>
      </x:c>
      <x:c r="J596" s="68" t="str">
        <x:v>Xa Phu6c Long</x:v>
      </x:c>
      <x:c r="K596" s="68" t="str">
        <x:v>30.7</x:v>
      </x:c>
      <x:c r="L596" s="68" t="str">
        <x:v>34</x:v>
      </x:c>
      <x:c r="M596" s="68" t="str"/>
      <x:c r="N596" s="68" t="str"/>
      <x:c r="O596" s="68" t="str">
        <x:v>64.7</x:v>
      </x:c>
      <x:c r="P596" s="68" t="str"/>
    </x:row>
    <x:row r="597">
      <x:c r="A597" s="106" t="n">
        <x:v>18</x:v>
      </x:c>
      <x:c r="B597" s="106" t="str">
        <x:v>596</x:v>
      </x:c>
      <x:c r="C597" s="167" t="str">
        <x:f>"095211008801"</x:f>
        <x:v>095211008801</x:v>
      </x:c>
      <x:c r="D597" s="68" t="str">
        <x:v>DatiNG MIMI KrET</x:v>
      </x:c>
      <x:c r="E597" s="68" t="str"/>
      <x:c r="F597" s="68" t="str">
        <x:v>01/01/2011</x:v>
      </x:c>
      <x:c r="G597" s="68" t="str">
        <x:v>Kinh</x:v>
      </x:c>
      <x:c r="H597" s="68" t="str">
        <x:v>Xa H6ng Dan</x:v>
      </x:c>
      <x:c r="I597" s="68" t="str">
        <x:v>THCS Phu6c Long</x:v>
      </x:c>
      <x:c r="J597" s="68" t="str">
        <x:v>Xa VTnh Phu6c</x:v>
      </x:c>
      <x:c r="K597" s="68" t="str">
        <x:v>30.6</x:v>
      </x:c>
      <x:c r="L597" s="68" t="str">
        <x:v>34</x:v>
      </x:c>
      <x:c r="M597" s="68" t="str"/>
      <x:c r="N597" s="68" t="str"/>
      <x:c r="O597" s="68" t="str">
        <x:v>64.6</x:v>
      </x:c>
      <x:c r="P597" s="68" t="str"/>
    </x:row>
    <x:row r="598">
      <x:c r="A598" s="106" t="n">
        <x:v>18</x:v>
      </x:c>
      <x:c r="B598" s="106" t="str">
        <x:v>597</x:v>
      </x:c>
      <x:c r="C598" s="167" t="str">
        <x:f>"095211005 144"</x:f>
        <x:v>095211005 144</x:v>
      </x:c>
      <x:c r="D598" s="68" t="str">
        <x:v>NGUYeN TE£N DAT</x:v>
      </x:c>
      <x:c r="E598" s="68" t="str"/>
      <x:c r="F598" s="68" t="str">
        <x:v>22/04/2011</x:v>
      </x:c>
      <x:c r="G598" s="68" t="str">
        <x:v>Kinh</x:v>
      </x:c>
      <x:c r="H598" s="68" t="str">
        <x:v>Xg Phu6c Long</x:v>
      </x:c>
      <x:c r="I598" s="68" t="str">
        <x:v>THCS Phu a Long</x:v>
      </x:c>
      <x:c r="J598" s="68" t="str">
        <x:v>Xa Phu6c Long</x:v>
      </x:c>
      <x:c r="K598" s="68" t="str">
        <x:v>29.5</x:v>
      </x:c>
      <x:c r="L598" s="68" t="str">
        <x:v>35</x:v>
      </x:c>
      <x:c r="M598" s="68" t="str"/>
      <x:c r="N598" s="68" t="str"/>
      <x:c r="O598" s="68" t="str">
        <x:v>64.5</x:v>
      </x:c>
      <x:c r="P598" s="68" t="str"/>
    </x:row>
    <x:row r="599">
      <x:c r="A599" s="106" t="n">
        <x:v>18</x:v>
      </x:c>
      <x:c r="B599" s="106" t="str">
        <x:v>598</x:v>
      </x:c>
      <x:c r="C599" s="167" t="str">
        <x:f>"095311003731"</x:f>
        <x:v>095311003731</x:v>
      </x:c>
      <x:c r="D599" s="68" t="str">
        <x:v>NGUY€N THEEN K[M</x:v>
      </x:c>
      <x:c r="E599" s="68" t="str">
        <x:v>X</x:v>
      </x:c>
      <x:c r="F599" s="68" t="str">
        <x:v>20/07/201 1</x:v>
      </x:c>
      <x:c r="G599" s="68" t="str">
        <x:v>Kinh</x:v>
      </x:c>
      <x:c r="H599" s="68" t="str">
        <x:v>Xa Phudc Long</x:v>
      </x:c>
      <x:c r="I599" s="68" t="str">
        <x:v>THCS Phu6c Long</x:v>
      </x:c>
      <x:c r="J599" s="68" t="str">
        <x:v>Xa Phudc Long</x:v>
      </x:c>
      <x:c r="K599" s="68" t="str">
        <x:v>28.5</x:v>
      </x:c>
      <x:c r="L599" s="68" t="str">
        <x:v>36</x:v>
      </x:c>
      <x:c r="M599" s="68" t="str"/>
      <x:c r="N599" s="68" t="str"/>
      <x:c r="O599" s="68" t="str">
        <x:v>64.5</x:v>
      </x:c>
      <x:c r="P599" s="68" t="str"/>
    </x:row>
    <x:row r="600">
      <x:c r="A600" s="106" t="n">
        <x:v>18</x:v>
      </x:c>
      <x:c r="B600" s="106" t="str">
        <x:v>599</x:v>
      </x:c>
      <x:c r="C600" s="167" t="str">
        <x:f>"0953 1 10033 1 1"</x:f>
        <x:v>0953 1 10033 1 1</x:v>
      </x:c>
      <x:c r="D600" s="68" t="str">
        <x:v>PHAM THI AN THUY£N</x:v>
      </x:c>
      <x:c r="E600" s="68" t="str">
        <x:v>X</x:v>
      </x:c>
      <x:c r="F600" s="68" t="str">
        <x:v>25/01/201 1</x:v>
      </x:c>
      <x:c r="G600" s="68" t="str">
        <x:v>Kinh</x:v>
      </x:c>
      <x:c r="H600" s="68" t="str">
        <x:v>Xa Phudc Long</x:v>
      </x:c>
      <x:c r="I600" s="68" t="str">
        <x:v>THCS Phudc Long</x:v>
      </x:c>
      <x:c r="J600" s="68" t="str">
        <x:v>Xa Phu6c Long</x:v>
      </x:c>
      <x:c r="K600" s="68" t="str">
        <x:v>30.5</x:v>
      </x:c>
      <x:c r="L600" s="68" t="str">
        <x:v>34</x:v>
      </x:c>
      <x:c r="M600" s="68" t="str"/>
      <x:c r="N600" s="68" t="str"/>
      <x:c r="O600" s="68" t="str">
        <x:v>64.5</x:v>
      </x:c>
      <x:c r="P600" s="68" t="str"/>
    </x:row>
    <x:row r="601">
      <x:c r="A601" s="106" t="n">
        <x:v>18</x:v>
      </x:c>
      <x:c r="B601" s="106" t="str">
        <x:v>600</x:v>
      </x:c>
      <x:c r="C601" s="167" t="str">
        <x:f>"095210006921"</x:f>
        <x:v>095210006921</x:v>
      </x:c>
      <x:c r="D601" s="68" t="str">
        <x:v>L£ DiNH CHtrONG</x:v>
      </x:c>
      <x:c r="E601" s="68" t="str"/>
      <x:c r="F601" s="68" t="str">
        <x:v>24/10/2010</x:v>
      </x:c>
      <x:c r="G601" s="68" t="str">
        <x:v>Kinh</x:v>
      </x:c>
      <x:c r="H601" s="68" t="str">
        <x:v>Xa VTnh Thanh</x:v>
      </x:c>
      <x:c r="I601" s="68" t="str">
        <x:v>THCS Binh Tri D6ng A</x:v>
      </x:c>
      <x:c r="J601" s="68" t="str">
        <x:v>Binh Tri D6ng A</x:v>
      </x:c>
      <x:c r="K601" s="68" t="str">
        <x:v>30.5</x:v>
      </x:c>
      <x:c r="L601" s="68" t="str">
        <x:v>34</x:v>
      </x:c>
      <x:c r="M601" s="68" t="str"/>
      <x:c r="N601" s="68" t="str"/>
      <x:c r="O601" s="68" t="str">
        <x:v>64.5</x:v>
      </x:c>
      <x:c r="P601" s="68" t="str"/>
    </x:row>
    <x:row r="602">
      <x:c r="A602" s="106" t="n">
        <x:v>18</x:v>
      </x:c>
      <x:c r="B602" s="106" t="str">
        <x:v>601</x:v>
      </x:c>
      <x:c r="C602" s="167" t="str">
        <x:f>"095211003581"</x:f>
        <x:v>095211003581</x:v>
      </x:c>
      <x:c r="D602" s="68" t="str">
        <x:v>TO MINH QUANG</x:v>
      </x:c>
      <x:c r="E602" s="68" t="str"/>
      <x:c r="F602" s="68" t="str">
        <x:v>20/02/2011</x:v>
      </x:c>
      <x:c r="G602" s="68" t="str">
        <x:v>Kinh</x:v>
      </x:c>
      <x:c r="H602" s="68" t="str">
        <x:v>Xa Phu6c Long</x:v>
      </x:c>
      <x:c r="I602" s="68" t="str">
        <x:v>THCS Phudc Long</x:v>
      </x:c>
      <x:c r="J602" s="68" t="str">
        <x:v>Xa Phudc Long</x:v>
      </x:c>
      <x:c r="K602" s="68" t="str">
        <x:v>30.4</x:v>
      </x:c>
      <x:c r="L602" s="68" t="str">
        <x:v>34</x:v>
      </x:c>
      <x:c r="M602" s="68" t="str"/>
      <x:c r="N602" s="68" t="str"/>
      <x:c r="O602" s="68" t="str">
        <x:v>64.4</x:v>
      </x:c>
      <x:c r="P602" s="68" t="str"/>
    </x:row>
    <x:row r="603">
      <x:c r="A603" s="106" t="n">
        <x:v>18</x:v>
      </x:c>
      <x:c r="B603" s="106" t="str">
        <x:v>602</x:v>
      </x:c>
      <x:c r="C603" s="167" t="str">
        <x:f>"095211006427"</x:f>
        <x:v>095211006427</x:v>
      </x:c>
      <x:c r="D603" s="68" t="str">
        <x:v>NGUYEN MINH KHAI</x:v>
      </x:c>
      <x:c r="E603" s="68" t="str"/>
      <x:c r="F603" s="68" t="str">
        <x:v>18/08/201 1</x:v>
      </x:c>
      <x:c r="G603" s="68" t="str">
        <x:v>Kinh</x:v>
      </x:c>
      <x:c r="H603" s="68" t="str">
        <x:v>Xa Wnh Phudc</x:v>
      </x:c>
      <x:c r="I603" s="68" t="str">
        <x:v>THCS Vinh Pha Tay</x:v>
      </x:c>
      <x:c r="J603" s="68" t="str">
        <x:v>Xa Vinh Phudc</x:v>
      </x:c>
      <x:c r="K603" s="68" t="str">
        <x:v>29.4</x:v>
      </x:c>
      <x:c r="L603" s="68" t="str">
        <x:v>34</x:v>
      </x:c>
      <x:c r="M603" s="68" t="str">
        <x:v>1.0</x:v>
      </x:c>
      <x:c r="N603" s="68" t="str"/>
      <x:c r="O603" s="68" t="str">
        <x:v>64.4</x:v>
      </x:c>
      <x:c r="P603" s="68" t="str"/>
    </x:row>
    <x:row r="604">
      <x:c r="A604" s="106" t="n">
        <x:v>18</x:v>
      </x:c>
      <x:c r="B604" s="106" t="str">
        <x:v>603</x:v>
      </x:c>
      <x:c r="C604" s="167" t="str">
        <x:f>"09521 1005497"</x:f>
        <x:v>09521 1005497</x:v>
      </x:c>
      <x:c r="D604" s="68" t="str">
        <x:v>HUVNH TRUNG HAU</x:v>
      </x:c>
      <x:c r="E604" s="68" t="str"/>
      <x:c r="F604" s="68" t="str">
        <x:v>04/04/2011</x:v>
      </x:c>
      <x:c r="G604" s="68" t="str">
        <x:v>Kinh</x:v>
      </x:c>
      <x:c r="H604" s="68" t="str">
        <x:v>Xa Phudc Long</x:v>
      </x:c>
      <x:c r="I604" s="68" t="str">
        <x:v>THCS Vuang Hau Nhan</x:v>
      </x:c>
      <x:c r="J604" s="68" t="str">
        <x:v>Xa Phu6c Long</x:v>
      </x:c>
      <x:c r="K604" s="68" t="str">
        <x:v>28.4</x:v>
      </x:c>
      <x:c r="L604" s="68" t="str">
        <x:v>36</x:v>
      </x:c>
      <x:c r="M604" s="68" t="str"/>
      <x:c r="N604" s="68" t="str"/>
      <x:c r="O604" s="68" t="str">
        <x:v>64.4</x:v>
      </x:c>
      <x:c r="P604" s="68" t="str"/>
    </x:row>
    <x:row r="605">
      <x:c r="A605" s="106" t="n">
        <x:v>18</x:v>
      </x:c>
      <x:c r="B605" s="106" t="str">
        <x:v>604</x:v>
      </x:c>
      <x:c r="C605" s="167" t="str">
        <x:f>"09531 1005928"</x:f>
        <x:v>09531 1005928</x:v>
      </x:c>
      <x:c r="D605" s="68" t="str">
        <x:v>NG6 KHANH BANG</x:v>
      </x:c>
      <x:c r="E605" s="68" t="str">
        <x:v>X</x:v>
      </x:c>
      <x:c r="F605" s="68" t="str">
        <x:v>11/01/2011</x:v>
      </x:c>
      <x:c r="G605" s="68" t="str">
        <x:v>Kinh</x:v>
      </x:c>
      <x:c r="H605" s="68" t="str">
        <x:v>Xa Phu(ic Long</x:v>
      </x:c>
      <x:c r="I605" s="68" t="str">
        <x:v>THCS Phu6c Long</x:v>
      </x:c>
      <x:c r="J605" s="68" t="str">
        <x:v>Xa Phu6c Long</x:v>
      </x:c>
      <x:c r="K605" s="68" t="str">
        <x:v>30.3</x:v>
      </x:c>
      <x:c r="L605" s="68" t="str">
        <x:v>34</x:v>
      </x:c>
      <x:c r="M605" s="68" t="str"/>
      <x:c r="N605" s="68" t="str"/>
      <x:c r="O605" s="68" t="str">
        <x:v>64.3</x:v>
      </x:c>
      <x:c r="P605" s="68" t="str"/>
    </x:row>
    <x:row r="606">
      <x:c r="A606" s="106" t="n">
        <x:v>18</x:v>
      </x:c>
      <x:c r="B606" s="106" t="str">
        <x:v>605</x:v>
      </x:c>
      <x:c r="C606" s="167" t="str">
        <x:f>"0943 1 1009978"</x:f>
        <x:v>0943 1 1009978</x:v>
      </x:c>
      <x:c r="D606" s="68" t="str">
        <x:v>Pn4M THI TtJ6NG LAM</x:v>
      </x:c>
      <x:c r="E606" s="68" t="str">
        <x:v>X</x:v>
      </x:c>
      <x:c r="F606" s="68" t="str">
        <x:v>02/05/201 1</x:v>
      </x:c>
      <x:c r="G606" s="68" t="str">
        <x:v>Kinh</x:v>
      </x:c>
      <x:c r="H606" s="68" t="str">
        <x:v>Xa Phu6c Long</x:v>
      </x:c>
      <x:c r="I606" s="68" t="str">
        <x:v>THCS Vuang Htru Nhan</x:v>
      </x:c>
      <x:c r="J606" s="68" t="str">
        <x:v>Xa Phua Long</x:v>
      </x:c>
      <x:c r="K606" s="68" t="str">
        <x:v>30.3</x:v>
      </x:c>
      <x:c r="L606" s="68" t="str">
        <x:v>34</x:v>
      </x:c>
      <x:c r="M606" s="68" t="str"/>
      <x:c r="N606" s="68" t="str"/>
      <x:c r="O606" s="68" t="str">
        <x:v>64.3</x:v>
      </x:c>
      <x:c r="P606" s="68" t="str"/>
    </x:row>
    <x:row r="607">
      <x:c r="A607" s="106" t="n">
        <x:v>18</x:v>
      </x:c>
      <x:c r="B607" s="106" t="str">
        <x:v>606</x:v>
      </x:c>
      <x:c r="C607" s="167" t="str">
        <x:f>"0963 1 1011329"</x:f>
        <x:v>0963 1 1011329</x:v>
      </x:c>
      <x:c r="D607" s="68" t="str">
        <x:v>NGUY£N THI THAO DUY£N</x:v>
      </x:c>
      <x:c r="E607" s="68" t="str">
        <x:v>X</x:v>
      </x:c>
      <x:c r="F607" s="68" t="str">
        <x:v>03/09/2011</x:v>
      </x:c>
      <x:c r="G607" s="68" t="str">
        <x:v>Kinh</x:v>
      </x:c>
      <x:c r="H607" s="68" t="str">
        <x:v>Xi Phu6c Long</x:v>
      </x:c>
      <x:c r="I607" s="68" t="str">
        <x:v>THCS Phu6c Long</x:v>
      </x:c>
      <x:c r="J607" s="68" t="str">
        <x:v>Xa Phu6c Long</x:v>
      </x:c>
      <x:c r="K607" s="68" t="str">
        <x:v>30.2</x:v>
      </x:c>
      <x:c r="L607" s="68" t="str">
        <x:v>34</x:v>
      </x:c>
      <x:c r="M607" s="68" t="str"/>
      <x:c r="N607" s="68" t="str"/>
      <x:c r="O607" s="68" t="str">
        <x:v>64.2</x:v>
      </x:c>
      <x:c r="P607" s="68" t="str"/>
    </x:row>
    <x:row r="608">
      <x:c r="A608" s="106" t="n">
        <x:v>19</x:v>
      </x:c>
      <x:c r="B608" s="106" t="str">
        <x:v>607</x:v>
      </x:c>
      <x:c r="C608" s="167" t="str">
        <x:f>"0953 1 1008255"</x:f>
        <x:v>0953 1 1008255</x:v>
      </x:c>
      <x:c r="D608" s="68" t="str">
        <x:v>TRAN THI TRaC HUaNG</x:v>
      </x:c>
      <x:c r="E608" s="68" t="str">
        <x:v>X</x:v>
      </x:c>
      <x:c r="F608" s="68" t="str">
        <x:v>04/09/20 1 1</x:v>
      </x:c>
      <x:c r="G608" s="68" t="str">
        <x:v>Kinh</x:v>
      </x:c>
      <x:c r="H608" s="68" t="str">
        <x:v>Xa Vlnh Phudc</x:v>
      </x:c>
      <x:c r="I608" s="68" t="str">
        <x:v>THCS Wnh Pha Tay</x:v>
      </x:c>
      <x:c r="J608" s="68" t="str">
        <x:v>Xa VTnh Phudc</x:v>
      </x:c>
      <x:c r="K608" s="68" t="str">
        <x:v>30.2</x:v>
      </x:c>
      <x:c r="L608" s="68" t="str">
        <x:v>33</x:v>
      </x:c>
      <x:c r="M608" s="68" t="str">
        <x:v>1.0</x:v>
      </x:c>
      <x:c r="N608" s="68" t="str"/>
      <x:c r="O608" s="68" t="str">
        <x:v>64.2</x:v>
      </x:c>
      <x:c r="P608" s="68" t="str"/>
    </x:row>
    <x:row r="609">
      <x:c r="A609" s="106" t="n">
        <x:v>19</x:v>
      </x:c>
      <x:c r="B609" s="106" t="str">
        <x:v>608</x:v>
      </x:c>
      <x:c r="C609" s="167" t="str">
        <x:f>"09521100 1555"</x:f>
        <x:v>09521100 1555</x:v>
      </x:c>
      <x:c r="D609" s="68" t="str">
        <x:v>NGUYEN TH THEN</x:v>
      </x:c>
      <x:c r="E609" s="68" t="str"/>
      <x:c r="F609" s="68" t="str">
        <x:v>19/05/201 1</x:v>
      </x:c>
      <x:c r="G609" s="68" t="str">
        <x:v>Kinh</x:v>
      </x:c>
      <x:c r="H609" s="68" t="str">
        <x:v>Xa Vinh Thanh</x:v>
      </x:c>
      <x:c r="I609" s="68" t="str">
        <x:v>THCS Hung Phi</x:v>
      </x:c>
      <x:c r="J609" s="68" t="str">
        <x:v>Xa VTnh Thanh</x:v>
      </x:c>
      <x:c r="K609" s="68" t="str">
        <x:v>29.1</x:v>
      </x:c>
      <x:c r="L609" s="68" t="str">
        <x:v>35</x:v>
      </x:c>
      <x:c r="M609" s="68" t="str"/>
      <x:c r="N609" s="68" t="str"/>
      <x:c r="O609" s="68" t="str">
        <x:v>64. 1</x:v>
      </x:c>
      <x:c r="P609" s="68" t="str"/>
    </x:row>
    <x:row r="610">
      <x:c r="A610" s="106" t="n">
        <x:v>19</x:v>
      </x:c>
      <x:c r="B610" s="106" t="str">
        <x:v>609</x:v>
      </x:c>
      <x:c r="C610" s="167" t="str">
        <x:f>"0953 1 1001605"</x:f>
        <x:v>0953 1 1001605</x:v>
      </x:c>
      <x:c r="D610" s="68" t="str">
        <x:v>Li TH! NGQC TRAM</x:v>
      </x:c>
      <x:c r="E610" s="68" t="str">
        <x:v>X</x:v>
      </x:c>
      <x:c r="F610" s="68" t="str">
        <x:v>13/10/20 1 1</x:v>
      </x:c>
      <x:c r="G610" s="68" t="str">
        <x:v>Kinh</x:v>
      </x:c>
      <x:c r="H610" s="68" t="str">
        <x:v>Xa Phu6c Long</x:v>
      </x:c>
      <x:c r="I610" s="68" t="str">
        <x:v>THCS Vuang Hnu Nhon</x:v>
      </x:c>
      <x:c r="J610" s="68" t="str">
        <x:v>Xa Phudc Long</x:v>
      </x:c>
      <x:c r="K610" s="68" t="str">
        <x:v>28.1</x:v>
      </x:c>
      <x:c r="L610" s="68" t="str">
        <x:v>1 36</x:v>
      </x:c>
      <x:c r="M610" s="68" t="str">
        <x:v>1</x:v>
      </x:c>
      <x:c r="N610" s="68" t="str">
        <x:v>1</x:v>
      </x:c>
      <x:c r="O610" s="68" t="str">
        <x:v>64.1</x:v>
      </x:c>
      <x:c r="P610" s="68" t="str"/>
    </x:row>
    <x:row r="611">
      <x:c r="A611" s="106" t="n">
        <x:v>19</x:v>
      </x:c>
      <x:c r="B611" s="106" t="str">
        <x:v>610</x:v>
      </x:c>
      <x:c r="C611" s="167" t="str">
        <x:f>"09531 1006912"</x:f>
        <x:v>09531 1006912</x:v>
      </x:c>
      <x:c r="D611" s="68" t="str">
        <x:v>ve) DUENNHU NGUyEN</x:v>
      </x:c>
      <x:c r="E611" s="68" t="str">
        <x:v>X</x:v>
      </x:c>
      <x:c r="F611" s="68" t="str">
        <x:v>08/07/201 1</x:v>
      </x:c>
      <x:c r="G611" s="68" t="str">
        <x:v>Kinh</x:v>
      </x:c>
      <x:c r="H611" s="68" t="str">
        <x:v>Xa Viral PhMc</x:v>
      </x:c>
      <x:c r="I611" s="68" t="str">
        <x:v>THCS LV Tv Tr9ng</x:v>
      </x:c>
      <x:c r="J611" s="68" t="str">
        <x:v>Binh Duang</x:v>
      </x:c>
      <x:c r="K611" s="68" t="str">
        <x:v>30.1</x:v>
      </x:c>
      <x:c r="L611" s="68" t="str">
        <x:v>34</x:v>
      </x:c>
      <x:c r="M611" s="68" t="str"/>
      <x:c r="N611" s="68" t="str"/>
      <x:c r="O611" s="68" t="str">
        <x:v>64.1</x:v>
      </x:c>
      <x:c r="P611" s="68" t="str"/>
    </x:row>
    <x:row r="612">
      <x:c r="A612" s="106" t="n">
        <x:v>19</x:v>
      </x:c>
      <x:c r="B612" s="106" t="str">
        <x:v>611</x:v>
      </x:c>
      <x:c r="C612" s="167" t="str">
        <x:f>"0953 1 1005020"</x:f>
        <x:v>0953 1 1005020</x:v>
      </x:c>
      <x:c r="D612" s="68" t="str">
        <x:v>DANG THI KIM YEN</x:v>
      </x:c>
      <x:c r="E612" s="68" t="str">
        <x:v>X</x:v>
      </x:c>
      <x:c r="F612" s="68" t="str">
        <x:v>31/05/2011</x:v>
      </x:c>
      <x:c r="G612" s="68" t="str">
        <x:v>Kinh</x:v>
      </x:c>
      <x:c r="H612" s="68" t="str">
        <x:v>Xa Vinh Phudc</x:v>
      </x:c>
      <x:c r="I612" s="68" t="str">
        <x:v>THCS VTnh Pha Tay</x:v>
      </x:c>
      <x:c r="J612" s="68" t="str">
        <x:v>Xa VTnh Phudc 1</x:v>
      </x:c>
      <x:c r="K612" s="68" t="str">
        <x:v>30.0</x:v>
      </x:c>
      <x:c r="L612" s="68" t="str">
        <x:v>1 34 34</x:v>
      </x:c>
      <x:c r="M612" s="68" t="str">
        <x:v>1 1</x:v>
      </x:c>
      <x:c r="N612" s="68" t="str"/>
      <x:c r="O612" s="68" t="str">
        <x:v>64.0</x:v>
      </x:c>
      <x:c r="P612" s="68" t="str"/>
    </x:row>
    <x:row r="613">
      <x:c r="A613" s="106" t="n">
        <x:v>19</x:v>
      </x:c>
      <x:c r="B613" s="106" t="str">
        <x:v>612</x:v>
      </x:c>
      <x:c r="C613" s="167" t="str">
        <x:f>"09521 1009205"</x:f>
        <x:v>09521 1009205</x:v>
      </x:c>
      <x:c r="D613" s="68" t="str">
        <x:v>NG6 DANG KH61</x:v>
      </x:c>
      <x:c r="E613" s="68" t="str"/>
      <x:c r="F613" s="68" t="str">
        <x:v>05/02/201 1</x:v>
      </x:c>
      <x:c r="G613" s="68" t="str">
        <x:v>Kinh</x:v>
      </x:c>
      <x:c r="H613" s="68" t="str">
        <x:v>Xa VTnh Thanh</x:v>
      </x:c>
      <x:c r="I613" s="68" t="str">
        <x:v>THCS Hung Phd I</x:v>
      </x:c>
      <x:c r="J613" s="68" t="str">
        <x:v>XaVinhThanh I</x:v>
      </x:c>
      <x:c r="K613" s="68" t="str">
        <x:v>30.0</x:v>
      </x:c>
      <x:c r="L613" s="68" t="str">
        <x:v>34</x:v>
      </x:c>
      <x:c r="M613" s="68" t="str"/>
      <x:c r="N613" s="68" t="str"/>
      <x:c r="O613" s="68" t="str">
        <x:v>64.0</x:v>
      </x:c>
      <x:c r="P613" s="68" t="str"/>
    </x:row>
    <x:row r="614">
      <x:c r="A614" s="106" t="n">
        <x:v>19</x:v>
      </x:c>
      <x:c r="B614" s="106" t="str">
        <x:v>613</x:v>
      </x:c>
      <x:c r="C614" s="167" t="str">
        <x:f>"0953 1 1008204"</x:f>
        <x:v>0953 1 1008204</x:v>
      </x:c>
      <x:c r="D614" s="68" t="str">
        <x:v>TRAN BiCH HUY£N</x:v>
      </x:c>
      <x:c r="E614" s="68" t="str">
        <x:v>X</x:v>
      </x:c>
      <x:c r="F614" s="68" t="str">
        <x:v>17/03/201 1</x:v>
      </x:c>
      <x:c r="G614" s="68" t="str">
        <x:v>Kinh</x:v>
      </x:c>
      <x:c r="H614" s="68" t="str">
        <x:v>Xa Phu6c Long</x:v>
      </x:c>
      <x:c r="I614" s="68" t="str">
        <x:v>THCS Hung Phd</x:v>
      </x:c>
      <x:c r="J614" s="68" t="str">
        <x:v>Xa VTnh Thanh</x:v>
      </x:c>
      <x:c r="K614" s="68" t="str">
        <x:v>30.0</x:v>
      </x:c>
      <x:c r="L614" s="68" t="str">
        <x:v>34</x:v>
      </x:c>
      <x:c r="M614" s="68" t="str"/>
      <x:c r="N614" s="68" t="str"/>
      <x:c r="O614" s="68" t="str">
        <x:v>64.0</x:v>
      </x:c>
      <x:c r="P614" s="68" t="str"/>
    </x:row>
    <x:row r="615">
      <x:c r="A615" s="106" t="n">
        <x:v>19</x:v>
      </x:c>
      <x:c r="B615" s="106" t="str">
        <x:v>614</x:v>
      </x:c>
      <x:c r="C615" s="167" t="str">
        <x:f>"0953 1 1006927"</x:f>
        <x:v>0953 1 1006927</x:v>
      </x:c>
      <x:c r="D615" s="68" t="str">
        <x:v>NGUYEN H6NG NFIUNG</x:v>
      </x:c>
      <x:c r="E615" s="68" t="str">
        <x:v>X</x:v>
      </x:c>
      <x:c r="F615" s="68" t="str">
        <x:v>19/12/2011</x:v>
      </x:c>
      <x:c r="G615" s="68" t="str">
        <x:v>Kinh</x:v>
      </x:c>
      <x:c r="H615" s="68" t="str">
        <x:v>Xa Phu6c Long</x:v>
      </x:c>
      <x:c r="I615" s="68" t="str">
        <x:v>THCS Phudc Long</x:v>
      </x:c>
      <x:c r="J615" s="68" t="str">
        <x:v>Xa Phu6c Long</x:v>
      </x:c>
      <x:c r="K615" s="68" t="str">
        <x:v>29.9</x:v>
      </x:c>
      <x:c r="L615" s="68" t="str">
        <x:v>34</x:v>
      </x:c>
      <x:c r="M615" s="68" t="str"/>
      <x:c r="N615" s="68" t="str"/>
      <x:c r="O615" s="68" t="str">
        <x:v>63.9</x:v>
      </x:c>
      <x:c r="P615" s="68" t="str"/>
    </x:row>
    <x:row r="616">
      <x:c r="A616" s="106" t="n">
        <x:v>19</x:v>
      </x:c>
      <x:c r="B616" s="106" t="str">
        <x:v>615</x:v>
      </x:c>
      <x:c r="C616" s="167" t="str">
        <x:f>"095211003 134"</x:f>
        <x:v>095211003 134</x:v>
      </x:c>
      <x:c r="D616" s="68" t="str">
        <x:v>CAO THANH THANG</x:v>
      </x:c>
      <x:c r="E616" s="68" t="str"/>
      <x:c r="F616" s="68" t="str">
        <x:v>17/05/201 1</x:v>
      </x:c>
      <x:c r="G616" s="68" t="str">
        <x:v>Kinh</x:v>
      </x:c>
      <x:c r="H616" s="68" t="str">
        <x:v>Xi Phudc Long</x:v>
      </x:c>
      <x:c r="I616" s="68" t="str">
        <x:v>THCS Phudc Long</x:v>
      </x:c>
      <x:c r="J616" s="68" t="str">
        <x:v>Xa Phu6c Long</x:v>
      </x:c>
      <x:c r="K616" s="68" t="str">
        <x:v>29.9</x:v>
      </x:c>
      <x:c r="L616" s="68" t="str">
        <x:v>34</x:v>
      </x:c>
      <x:c r="M616" s="68" t="str"/>
      <x:c r="N616" s="68" t="str"/>
      <x:c r="O616" s="68" t="str">
        <x:v>63.9</x:v>
      </x:c>
      <x:c r="P616" s="68" t="str"/>
    </x:row>
    <x:row r="617">
      <x:c r="A617" s="106" t="n">
        <x:v>19</x:v>
      </x:c>
      <x:c r="B617" s="106" t="str">
        <x:v>616</x:v>
      </x:c>
      <x:c r="C617" s="167" t="str">
        <x:f>"0933 1 1001692"</x:f>
        <x:v>0933 1 1001692</x:v>
      </x:c>
      <x:c r="D617" s="68" t="str">
        <x:v>TRAN THI MY QUV£N</x:v>
      </x:c>
      <x:c r="E617" s="68" t="str">
        <x:v>X</x:v>
      </x:c>
      <x:c r="F617" s="68" t="str">
        <x:v>02/03/201 1</x:v>
      </x:c>
      <x:c r="G617" s="68" t="str">
        <x:v>Kinh</x:v>
      </x:c>
      <x:c r="H617" s="68" t="str">
        <x:v>Xa Phu6c Long</x:v>
      </x:c>
      <x:c r="I617" s="68" t="str">
        <x:v>THCS Phudc Long</x:v>
      </x:c>
      <x:c r="J617" s="68" t="str">
        <x:v>Xa Phudc Long</x:v>
      </x:c>
      <x:c r="K617" s="68" t="str">
        <x:v>29.9</x:v>
      </x:c>
      <x:c r="L617" s="68" t="str">
        <x:v>34</x:v>
      </x:c>
      <x:c r="M617" s="68" t="str"/>
      <x:c r="N617" s="68" t="str"/>
      <x:c r="O617" s="68" t="str">
        <x:v>63.9</x:v>
      </x:c>
      <x:c r="P617" s="68" t="str"/>
    </x:row>
    <x:row r="618">
      <x:c r="A618" s="106" t="n">
        <x:v>19</x:v>
      </x:c>
      <x:c r="B618" s="106" t="str">
        <x:v>617</x:v>
      </x:c>
      <x:c r="C618" s="167" t="str">
        <x:f>"095211008851"</x:f>
        <x:v>095211008851</x:v>
      </x:c>
      <x:c r="D618" s="68" t="str">
        <x:v>TRAN vO LEN</x:v>
      </x:c>
      <x:c r="E618" s="68" t="str"/>
      <x:c r="F618" s="68" t="str">
        <x:v>12/10/201 1</x:v>
      </x:c>
      <x:c r="G618" s="68" t="str">
        <x:v>Kinh</x:v>
      </x:c>
      <x:c r="H618" s="68" t="str">
        <x:v>Xa VTnh phu6c</x:v>
      </x:c>
      <x:c r="I618" s="68" t="str">
        <x:v>THCS Phu6c Lorlg</x:v>
      </x:c>
      <x:c r="J618" s="68" t="str">
        <x:v>XX Phu6c Long</x:v>
      </x:c>
      <x:c r="K618" s="68" t="str">
        <x:v>31.9</x:v>
      </x:c>
      <x:c r="L618" s="68" t="str">
        <x:v>32</x:v>
      </x:c>
      <x:c r="M618" s="68" t="str"/>
      <x:c r="N618" s="68" t="str"/>
      <x:c r="O618" s="68" t="str">
        <x:v>63.9</x:v>
      </x:c>
      <x:c r="P618" s="68" t="str"/>
    </x:row>
    <x:row r="619">
      <x:c r="A619" s="106" t="n">
        <x:v>19</x:v>
      </x:c>
      <x:c r="B619" s="106" t="str">
        <x:v>618</x:v>
      </x:c>
      <x:c r="C619" s="167" t="str">
        <x:f>"09521 lool049"</x:f>
        <x:v>09521 lool049</x:v>
      </x:c>
      <x:c r="D619" s="68" t="str">
        <x:v>Li CHi HAI</x:v>
      </x:c>
      <x:c r="E619" s="68" t="str"/>
      <x:c r="F619" s="68" t="str">
        <x:v>26/1 1/2011</x:v>
      </x:c>
      <x:c r="G619" s="68" t="str">
        <x:v>Kinh</x:v>
      </x:c>
      <x:c r="H619" s="68" t="str">
        <x:v>Xa Vinh Phudc</x:v>
      </x:c>
      <x:c r="I619" s="68" t="str">
        <x:v>THCS VTnh Pha Tay</x:v>
      </x:c>
      <x:c r="J619" s="68" t="str">
        <x:v>Xa VTnh phu6c</x:v>
      </x:c>
      <x:c r="K619" s="68" t="str">
        <x:v>28.9</x:v>
      </x:c>
      <x:c r="L619" s="68" t="str">
        <x:v>34</x:v>
      </x:c>
      <x:c r="M619" s="68" t="str">
        <x:v>1.0</x:v>
      </x:c>
      <x:c r="N619" s="68" t="str"/>
      <x:c r="O619" s="68" t="str">
        <x:v>63.9</x:v>
      </x:c>
      <x:c r="P619" s="68" t="str"/>
    </x:row>
    <x:row r="620">
      <x:c r="A620" s="106" t="n">
        <x:v>19</x:v>
      </x:c>
      <x:c r="B620" s="106" t="str">
        <x:v>619</x:v>
      </x:c>
      <x:c r="C620" s="167" t="str">
        <x:f>"09531 1010070"</x:f>
        <x:v>09531 1010070</x:v>
      </x:c>
      <x:c r="D620" s="68" t="str">
        <x:v>vO FtUtNH NHtEN</x:v>
      </x:c>
      <x:c r="E620" s="68" t="str">
        <x:v>X</x:v>
      </x:c>
      <x:c r="F620" s="68" t="str">
        <x:v>20/04/20 1 1</x:v>
      </x:c>
      <x:c r="G620" s="68" t="str">
        <x:v>Kinh</x:v>
      </x:c>
      <x:c r="H620" s="68" t="str">
        <x:v>Xa VTnh Thanh</x:v>
      </x:c>
      <x:c r="I620" s="68" t="str">
        <x:v>THCS Hung Phd</x:v>
      </x:c>
      <x:c r="J620" s="68" t="str">
        <x:v>Xa Vinh Thanh</x:v>
      </x:c>
      <x:c r="K620" s="68" t="str">
        <x:v>29.9</x:v>
      </x:c>
      <x:c r="L620" s="68" t="str">
        <x:v>34</x:v>
      </x:c>
      <x:c r="M620" s="68" t="str"/>
      <x:c r="N620" s="68" t="str"/>
      <x:c r="O620" s="68" t="str">
        <x:v>63.9</x:v>
      </x:c>
      <x:c r="P620" s="68" t="str"/>
    </x:row>
    <x:row r="621">
      <x:c r="A621" s="106" t="n">
        <x:v>19</x:v>
      </x:c>
      <x:c r="B621" s="106" t="str">
        <x:v>620</x:v>
      </x:c>
      <x:c r="C621" s="167" t="str">
        <x:f>"09521 1009054"</x:f>
        <x:v>09521 1009054</x:v>
      </x:c>
      <x:c r="D621" s="68" t="str">
        <x:v>THAI Mac PHAT</x:v>
      </x:c>
      <x:c r="E621" s="68" t="str"/>
      <x:c r="F621" s="68" t="str">
        <x:v>21/11/2011</x:v>
      </x:c>
      <x:c r="G621" s="68" t="str">
        <x:v>Kinh</x:v>
      </x:c>
      <x:c r="H621" s="68" t="str">
        <x:v>Xa \4nh Thanh</x:v>
      </x:c>
      <x:c r="I621" s="68" t="str">
        <x:v>THCS Hung Pha</x:v>
      </x:c>
      <x:c r="J621" s="68" t="str">
        <x:v>Xa VTnh Thanh</x:v>
      </x:c>
      <x:c r="K621" s="68" t="str">
        <x:v>28.9</x:v>
      </x:c>
      <x:c r="L621" s="68" t="str">
        <x:v>35</x:v>
      </x:c>
      <x:c r="M621" s="68" t="str"/>
      <x:c r="N621" s="68" t="str"/>
      <x:c r="O621" s="68" t="str">
        <x:v>63.9</x:v>
      </x:c>
      <x:c r="P621" s="68" t="str"/>
    </x:row>
    <x:row r="622">
      <x:c r="A622" s="106" t="n">
        <x:v>19</x:v>
      </x:c>
      <x:c r="B622" s="106" t="str">
        <x:v>621</x:v>
      </x:c>
      <x:c r="C622" s="167" t="str">
        <x:f>"095211007410"</x:f>
        <x:v>095211007410</x:v>
      </x:c>
      <x:c r="D622" s="68" t="str">
        <x:v>TRAN TRUNG MAN</x:v>
      </x:c>
      <x:c r="E622" s="68" t="str"/>
      <x:c r="F622" s="68" t="str">
        <x:v>12/07/2011</x:v>
      </x:c>
      <x:c r="G622" s="68" t="str">
        <x:v>Kinh</x:v>
      </x:c>
      <x:c r="H622" s="68" t="str">
        <x:v>Xa H6ng Dan</x:v>
      </x:c>
      <x:c r="I622" s="68" t="str">
        <x:v>THCS Truang VTnh KV</x:v>
      </x:c>
      <x:c r="J622" s="68" t="str">
        <x:v>Xa H6ng Dan</x:v>
      </x:c>
      <x:c r="K622" s="68" t="str">
        <x:v>29.9</x:v>
      </x:c>
      <x:c r="L622" s="68" t="str">
        <x:v>34</x:v>
      </x:c>
      <x:c r="M622" s="68" t="str"/>
      <x:c r="N622" s="68" t="str"/>
      <x:c r="O622" s="68" t="str">
        <x:v>63.9</x:v>
      </x:c>
      <x:c r="P622" s="68" t="str"/>
    </x:row>
    <x:row r="623">
      <x:c r="A623" s="106" t="n">
        <x:v>19</x:v>
      </x:c>
      <x:c r="B623" s="106" t="str">
        <x:v>622</x:v>
      </x:c>
      <x:c r="C623" s="167" t="str">
        <x:f>"09521 1008055"</x:f>
        <x:v>09521 1008055</x:v>
      </x:c>
      <x:c r="D623" s="68" t="str">
        <x:v>NGUYEN E{UVNH TRQNG</x:v>
      </x:c>
      <x:c r="E623" s="68" t="str"/>
      <x:c r="F623" s="68" t="str">
        <x:v>10/08/201 1</x:v>
      </x:c>
      <x:c r="G623" s="68" t="str">
        <x:v>Kinh</x:v>
      </x:c>
      <x:c r="H623" s="68" t="str">
        <x:v>Xa Phu6c Long</x:v>
      </x:c>
      <x:c r="I623" s="68" t="str">
        <x:v>THCS Phu6c Long</x:v>
      </x:c>
      <x:c r="J623" s="68" t="str">
        <x:v>Xa Phudc Long</x:v>
      </x:c>
      <x:c r="K623" s="68" t="str">
        <x:v>29.8</x:v>
      </x:c>
      <x:c r="L623" s="68" t="str">
        <x:v>34</x:v>
      </x:c>
      <x:c r="M623" s="68" t="str"/>
      <x:c r="N623" s="68" t="str"/>
      <x:c r="O623" s="68" t="str">
        <x:v>63.8</x:v>
      </x:c>
      <x:c r="P623" s="68" t="str"/>
    </x:row>
    <x:row r="624">
      <x:c r="A624" s="106" t="n">
        <x:v>19</x:v>
      </x:c>
      <x:c r="B624" s="106" t="str">
        <x:v>623</x:v>
      </x:c>
      <x:c r="C624" s="167" t="str">
        <x:f>"0953 1 10045 19"</x:f>
        <x:v>0953 1 10045 19</x:v>
      </x:c>
      <x:c r="D624" s="68" t="str">
        <x:v>NGUYEN THI H6NG LAM</x:v>
      </x:c>
      <x:c r="E624" s="68" t="str">
        <x:v>X</x:v>
      </x:c>
      <x:c r="F624" s="68" t="str">
        <x:v>04/05/2011</x:v>
      </x:c>
      <x:c r="G624" s="68" t="str">
        <x:v>Kinh</x:v>
      </x:c>
      <x:c r="H624" s="68" t="str">
        <x:v>Xa Phudc Long</x:v>
      </x:c>
      <x:c r="I624" s="68" t="str">
        <x:v>THCS Phu6c Long</x:v>
      </x:c>
      <x:c r="J624" s="68" t="str">
        <x:v>Xa Phu6c Long</x:v>
      </x:c>
      <x:c r="K624" s="68" t="str">
        <x:v>29.8</x:v>
      </x:c>
      <x:c r="L624" s="68" t="str">
        <x:v>34</x:v>
      </x:c>
      <x:c r="M624" s="68" t="str"/>
      <x:c r="N624" s="68" t="str"/>
      <x:c r="O624" s="68" t="str">
        <x:v>63.8</x:v>
      </x:c>
      <x:c r="P624" s="68" t="str"/>
    </x:row>
    <x:row r="625">
      <x:c r="A625" s="106" t="n">
        <x:v>19</x:v>
      </x:c>
      <x:c r="B625" s="106" t="str">
        <x:v>624</x:v>
      </x:c>
      <x:c r="C625" s="167" t="str">
        <x:f>"095311010181"</x:f>
        <x:v>095311010181</x:v>
      </x:c>
      <x:c r="D625" s="68" t="str">
        <x:v>DANG HA THU THAO</x:v>
      </x:c>
      <x:c r="E625" s="68" t="str">
        <x:v>X</x:v>
      </x:c>
      <x:c r="F625" s="68" t="str">
        <x:v>18/1 1/2011</x:v>
      </x:c>
      <x:c r="G625" s="68" t="str">
        <x:v>Kinh</x:v>
      </x:c>
      <x:c r="H625" s="68" t="str">
        <x:v>Xa VTnh Thanh</x:v>
      </x:c>
      <x:c r="I625" s="68" t="str">
        <x:v>THCS Wnh Pha Tay</x:v>
      </x:c>
      <x:c r="J625" s="68" t="str">
        <x:v>Xa Vinh Phudc</x:v>
      </x:c>
      <x:c r="K625" s="68" t="str">
        <x:v>29.8</x:v>
      </x:c>
      <x:c r="L625" s="68" t="str">
        <x:v>34</x:v>
      </x:c>
      <x:c r="M625" s="68" t="str"/>
      <x:c r="N625" s="68" t="str"/>
      <x:c r="O625" s="68" t="str">
        <x:v>63.8</x:v>
      </x:c>
      <x:c r="P625" s="68" t="str"/>
    </x:row>
    <x:row r="626">
      <x:c r="A626" s="106" t="n">
        <x:v>19</x:v>
      </x:c>
      <x:c r="B626" s="106" t="str">
        <x:v>625</x:v>
      </x:c>
      <x:c r="C626" s="167" t="str">
        <x:f>"09531 1003244"</x:f>
        <x:v>09531 1003244</x:v>
      </x:c>
      <x:c r="D626" s="68" t="str">
        <x:v>PF£AN THI ANH THU</x:v>
      </x:c>
      <x:c r="E626" s="68" t="str">
        <x:v>X</x:v>
      </x:c>
      <x:c r="F626" s="68" t="str">
        <x:v>06/08/2011</x:v>
      </x:c>
      <x:c r="G626" s="68" t="str">
        <x:v>Kinh</x:v>
      </x:c>
      <x:c r="H626" s="68" t="str">
        <x:v>Xa Vinh Thanh</x:v>
      </x:c>
      <x:c r="I626" s="68" t="str">
        <x:v>THCS Vrnh Thanh</x:v>
      </x:c>
      <x:c r="J626" s="68" t="str">
        <x:v>Xa Vmh Thanh</x:v>
      </x:c>
      <x:c r="K626" s="68" t="str">
        <x:v>29.8</x:v>
      </x:c>
      <x:c r="L626" s="68" t="str">
        <x:v>34</x:v>
      </x:c>
      <x:c r="M626" s="68" t="str"/>
      <x:c r="N626" s="68" t="str"/>
      <x:c r="O626" s="68" t="str">
        <x:v>63.8</x:v>
      </x:c>
      <x:c r="P626" s="68" t="str"/>
    </x:row>
    <x:row r="627">
      <x:c r="A627" s="106" t="n">
        <x:v>19</x:v>
      </x:c>
      <x:c r="B627" s="106" t="str">
        <x:v>626</x:v>
      </x:c>
      <x:c r="C627" s="167" t="str">
        <x:f>"0953 1 1001539"</x:f>
        <x:v>0953 1 1001539</x:v>
      </x:c>
      <x:c r="D627" s="68" t="str">
        <x:v>HUtNH PnAM HOAI TF[U'</x:v>
      </x:c>
      <x:c r="E627" s="68" t="str">
        <x:v>X</x:v>
      </x:c>
      <x:c r="F627" s="68" t="str">
        <x:v>11/12/2011</x:v>
      </x:c>
      <x:c r="G627" s="68" t="str">
        <x:v>Kinh</x:v>
      </x:c>
      <x:c r="H627" s="68" t="str">
        <x:v>Xa H6ng Dan</x:v>
      </x:c>
      <x:c r="I627" s="68" t="str">
        <x:v>THCS Truong Vinh KV</x:v>
      </x:c>
      <x:c r="J627" s="68" t="str">
        <x:v>Xa H6ng Dan</x:v>
      </x:c>
      <x:c r="K627" s="68" t="str">
        <x:v>27.8</x:v>
      </x:c>
      <x:c r="L627" s="68" t="str">
        <x:v>36</x:v>
      </x:c>
      <x:c r="M627" s="68" t="str"/>
      <x:c r="N627" s="68" t="str"/>
      <x:c r="O627" s="68" t="str">
        <x:v>63.8</x:v>
      </x:c>
      <x:c r="P627" s="68" t="str"/>
    </x:row>
    <x:row r="628">
      <x:c r="A628" s="106" t="n">
        <x:v>19</x:v>
      </x:c>
      <x:c r="B628" s="106" t="str">
        <x:v>627</x:v>
      </x:c>
      <x:c r="C628" s="167" t="str">
        <x:f>"0953 1 1010293"</x:f>
        <x:v>0953 1 1010293</x:v>
      </x:c>
      <x:c r="D628" s="68" t="str">
        <x:v>L£ LAM DIEM MY</x:v>
      </x:c>
      <x:c r="E628" s="68" t="str">
        <x:v>X</x:v>
      </x:c>
      <x:c r="F628" s="68" t="str">
        <x:v>24/08/201 1</x:v>
      </x:c>
      <x:c r="G628" s="68" t="str">
        <x:v>Kinh</x:v>
      </x:c>
      <x:c r="H628" s="68" t="str">
        <x:v>Xa Vinh Hall</x:v>
      </x:c>
      <x:c r="I628" s="68" t="str">
        <x:v>THCS VTnh Thinh</x:v>
      </x:c>
      <x:c r="J628" s="68" t="str">
        <x:v>Xa VTnh Hau</x:v>
      </x:c>
      <x:c r="K628" s="68" t="str">
        <x:v>28.8</x:v>
      </x:c>
      <x:c r="L628" s="68" t="str">
        <x:v>34</x:v>
      </x:c>
      <x:c r="M628" s="68" t="str">
        <x:v>1.0</x:v>
      </x:c>
      <x:c r="N628" s="68" t="str"/>
      <x:c r="O628" s="68" t="str">
        <x:v>63.8</x:v>
      </x:c>
      <x:c r="P628" s="68" t="str"/>
    </x:row>
    <x:row r="629">
      <x:c r="A629" s="106" t="n">
        <x:v>19</x:v>
      </x:c>
      <x:c r="B629" s="106" t="str">
        <x:v>628</x:v>
      </x:c>
      <x:c r="C629" s="167" t="str">
        <x:f>"09531 1009361"</x:f>
        <x:v>09531 1009361</x:v>
      </x:c>
      <x:c r="D629" s="68" t="str">
        <x:v>DUONG THI TbruV DUONG</x:v>
      </x:c>
      <x:c r="E629" s="68" t="str">
        <x:v>X</x:v>
      </x:c>
      <x:c r="F629" s="68" t="str">
        <x:v>07/09/201 1</x:v>
      </x:c>
      <x:c r="G629" s="68" t="str">
        <x:v>Kinh</x:v>
      </x:c>
      <x:c r="H629" s="68" t="str">
        <x:v>Xa Vinh Phu6c</x:v>
      </x:c>
      <x:c r="I629" s="68" t="str">
        <x:v>THCS PhMc Long</x:v>
      </x:c>
      <x:c r="J629" s="68" t="str">
        <x:v>Xa Phu6c Long</x:v>
      </x:c>
      <x:c r="K629" s="68" t="str">
        <x:v>29.7</x:v>
      </x:c>
      <x:c r="L629" s="68" t="str">
        <x:v>34</x:v>
      </x:c>
      <x:c r="M629" s="68" t="str"/>
      <x:c r="N629" s="68" t="str"/>
      <x:c r="O629" s="68" t="str">
        <x:v>63.7</x:v>
      </x:c>
      <x:c r="P629" s="68" t="str"/>
    </x:row>
    <x:row r="630">
      <x:c r="A630" s="106" t="n">
        <x:v>19</x:v>
      </x:c>
      <x:c r="B630" s="106" t="str">
        <x:v>629</x:v>
      </x:c>
      <x:c r="C630" s="167" t="str">
        <x:f>"0953 1 1006905"</x:f>
        <x:v>0953 1 1006905</x:v>
      </x:c>
      <x:c r="D630" s="68" t="str">
        <x:v>NGUY£N THI Kn4' MY</x:v>
      </x:c>
      <x:c r="E630" s="68" t="str">
        <x:v>X</x:v>
      </x:c>
      <x:c r="F630" s="68" t="str">
        <x:v>10/07/201 1</x:v>
      </x:c>
      <x:c r="G630" s="68" t="str">
        <x:v>Kinh</x:v>
      </x:c>
      <x:c r="H630" s="68" t="str">
        <x:v>Xa Phu6c Long</x:v>
      </x:c>
      <x:c r="I630" s="68" t="str">
        <x:v>THCS Phudc Long</x:v>
      </x:c>
      <x:c r="J630" s="68" t="str">
        <x:v>Xa Phu6c Long</x:v>
      </x:c>
      <x:c r="K630" s="68" t="str">
        <x:v>29.7</x:v>
      </x:c>
      <x:c r="L630" s="68" t="str">
        <x:v>34</x:v>
      </x:c>
      <x:c r="M630" s="68" t="str"/>
      <x:c r="N630" s="68" t="str"/>
      <x:c r="O630" s="68" t="str">
        <x:v>63.7</x:v>
      </x:c>
      <x:c r="P630" s="68" t="str"/>
    </x:row>
    <x:row r="631">
      <x:c r="A631" s="106" t="n">
        <x:v>19</x:v>
      </x:c>
      <x:c r="B631" s="106" t="str">
        <x:v>630</x:v>
      </x:c>
      <x:c r="C631" s="167" t="str">
        <x:f>"0953 1 1005374"</x:f>
        <x:v>0953 1 1005374</x:v>
      </x:c>
      <x:c r="D631" s="68" t="str">
        <x:v>LE ANH THU</x:v>
      </x:c>
      <x:c r="E631" s="68" t="str">
        <x:v>X</x:v>
      </x:c>
      <x:c r="F631" s="68" t="str">
        <x:v>12/05/201 1</x:v>
      </x:c>
      <x:c r="G631" s="68" t="str">
        <x:v>Kinh</x:v>
      </x:c>
      <x:c r="H631" s="68" t="str">
        <x:v>Xa VTnh phu6c</x:v>
      </x:c>
      <x:c r="I631" s="68" t="str">
        <x:v>THCS Wnh Pha Tay</x:v>
      </x:c>
      <x:c r="J631" s="68" t="str">
        <x:v>Xa VTnh Phudc</x:v>
      </x:c>
      <x:c r="K631" s="68" t="str">
        <x:v>29.7</x:v>
      </x:c>
      <x:c r="L631" s="68" t="str">
        <x:v>34</x:v>
      </x:c>
      <x:c r="M631" s="68" t="str"/>
      <x:c r="N631" s="68" t="str"/>
      <x:c r="O631" s="68" t="str">
        <x:v>63.7</x:v>
      </x:c>
      <x:c r="P631" s="68" t="str"/>
    </x:row>
    <x:row r="632">
      <x:c r="A632" s="106" t="n">
        <x:v>19</x:v>
      </x:c>
      <x:c r="B632" s="106" t="str">
        <x:v>631</x:v>
      </x:c>
      <x:c r="C632" s="167" t="str">
        <x:f>"0953 1 1001518"</x:f>
        <x:v>0953 1 1001518</x:v>
      </x:c>
      <x:c r="D632" s="68" t="str">
        <x:v>LAM THI PHITONG Ln'rH</x:v>
      </x:c>
      <x:c r="E632" s="68" t="str">
        <x:v>X</x:v>
      </x:c>
      <x:c r="F632" s="68" t="str">
        <x:v>19/04/201 1</x:v>
      </x:c>
      <x:c r="G632" s="68" t="str">
        <x:v>Kinh</x:v>
      </x:c>
      <x:c r="H632" s="68" t="str">
        <x:v>Xi Phu6c Long</x:v>
      </x:c>
      <x:c r="I632" s="68" t="str">
        <x:v>THCS Hung Phd</x:v>
      </x:c>
      <x:c r="J632" s="68" t="str">
        <x:v>Xa Vmh Thanh</x:v>
      </x:c>
      <x:c r="K632" s="68" t="str">
        <x:v>29.7</x:v>
      </x:c>
      <x:c r="L632" s="68" t="str">
        <x:v>34</x:v>
      </x:c>
      <x:c r="M632" s="68" t="str"/>
      <x:c r="N632" s="68" t="str"/>
      <x:c r="O632" s="68" t="str">
        <x:v>63.7</x:v>
      </x:c>
      <x:c r="P632" s="68" t="str"/>
    </x:row>
    <x:row r="633">
      <x:c r="A633" s="106" t="n">
        <x:v>19</x:v>
      </x:c>
      <x:c r="B633" s="106" t="str">
        <x:v>632</x:v>
      </x:c>
      <x:c r="C633" s="167" t="str">
        <x:f>"09521 1009094"</x:f>
        <x:v>09521 1009094</x:v>
      </x:c>
      <x:c r="D633" s="68" t="str">
        <x:v>NGO TUAN DAT</x:v>
      </x:c>
      <x:c r="E633" s="68" t="str"/>
      <x:c r="F633" s="68" t="str">
        <x:v>03/02/2011</x:v>
      </x:c>
      <x:c r="G633" s="68" t="str">
        <x:v>Khrner :</x:v>
      </x:c>
      <x:c r="H633" s="68" t="str">
        <x:v>Xa VTnh Thanh</x:v>
      </x:c>
      <x:c r="I633" s="68" t="str">
        <x:v>THCS Vrnh Thanh</x:v>
      </x:c>
      <x:c r="J633" s="68" t="str">
        <x:v>Xa Vinh Thanh</x:v>
      </x:c>
      <x:c r="K633" s="68" t="str">
        <x:v>28.7</x:v>
      </x:c>
      <x:c r="L633" s="68" t="str">
        <x:v>34</x:v>
      </x:c>
      <x:c r="M633" s="68" t="str">
        <x:v>1.0</x:v>
      </x:c>
      <x:c r="N633" s="68" t="str"/>
      <x:c r="O633" s="68" t="str">
        <x:v>63.7</x:v>
      </x:c>
      <x:c r="P633" s="68" t="str"/>
    </x:row>
    <x:row r="634">
      <x:c r="A634" s="106" t="n">
        <x:v>19</x:v>
      </x:c>
      <x:c r="B634" s="106" t="str">
        <x:v>633</x:v>
      </x:c>
      <x:c r="C634" s="167" t="str">
        <x:f>"09531 1008025"</x:f>
        <x:v>09531 1008025</x:v>
      </x:c>
      <x:c r="D634" s="68" t="str">
        <x:v>TRAN THEEN Dl</x:v>
      </x:c>
      <x:c r="E634" s="68" t="str">
        <x:v>X</x:v>
      </x:c>
      <x:c r="F634" s="68" t="str">
        <x:v>28/12/2011</x:v>
      </x:c>
      <x:c r="G634" s="68" t="str">
        <x:v>Kinh</x:v>
      </x:c>
      <x:c r="H634" s="68" t="str">
        <x:v>Xa Phu6c Long</x:v>
      </x:c>
      <x:c r="I634" s="68" t="str">
        <x:v>THCS Phudc Long</x:v>
      </x:c>
      <x:c r="J634" s="68" t="str">
        <x:v>Xa Phu6c Long</x:v>
      </x:c>
      <x:c r="K634" s="68" t="str">
        <x:v>29.6</x:v>
      </x:c>
      <x:c r="L634" s="68" t="str">
        <x:v>34</x:v>
      </x:c>
      <x:c r="M634" s="68" t="str"/>
      <x:c r="N634" s="68" t="str"/>
      <x:c r="O634" s="68" t="str">
        <x:v>63.6</x:v>
      </x:c>
      <x:c r="P634" s="68" t="str"/>
    </x:row>
    <x:row r="635">
      <x:c r="A635" s="106" t="n">
        <x:v>19</x:v>
      </x:c>
      <x:c r="B635" s="106" t="str">
        <x:v>634</x:v>
      </x:c>
      <x:c r="C635" s="167" t="str">
        <x:f>"095211005537"</x:f>
        <x:v>095211005537</x:v>
      </x:c>
      <x:c r="D635" s="68" t="str">
        <x:v>TRAN MINH KH61</x:v>
      </x:c>
      <x:c r="E635" s="68" t="str"/>
      <x:c r="F635" s="68" t="str">
        <x:v>14/10/201 1</x:v>
      </x:c>
      <x:c r="G635" s="68" t="str">
        <x:v>Kinh</x:v>
      </x:c>
      <x:c r="H635" s="68" t="str">
        <x:v>Xa Vinh Phudc</x:v>
      </x:c>
      <x:c r="I635" s="68" t="str">
        <x:v>THCS VTnh Pha Tay</x:v>
      </x:c>
      <x:c r="J635" s="68" t="str">
        <x:v>Xa Vinh Phu6c</x:v>
      </x:c>
      <x:c r="K635" s="68" t="str">
        <x:v>29.6</x:v>
      </x:c>
      <x:c r="L635" s="68" t="str">
        <x:v>34</x:v>
      </x:c>
      <x:c r="M635" s="68" t="str"/>
      <x:c r="N635" s="68" t="str"/>
      <x:c r="O635" s="68" t="str">
        <x:v>63.6</x:v>
      </x:c>
      <x:c r="P635" s="68" t="str"/>
    </x:row>
    <x:row r="636">
      <x:c r="A636" s="106" t="n">
        <x:v>19</x:v>
      </x:c>
      <x:c r="B636" s="106" t="str">
        <x:v>635</x:v>
      </x:c>
      <x:c r="C636" s="167" t="str">
        <x:f>"079211010157"</x:f>
        <x:v>079211010157</x:v>
      </x:c>
      <x:c r="D636" s="68" t="str">
        <x:v>NGO NnNH TRi</x:v>
      </x:c>
      <x:c r="E636" s="68" t="str"/>
      <x:c r="F636" s="68" t="str">
        <x:v>20/09/201 1</x:v>
      </x:c>
      <x:c r="G636" s="68" t="str">
        <x:v>Kinh</x:v>
      </x:c>
      <x:c r="H636" s="68" t="str">
        <x:v>Xa Vinh Phu6c</x:v>
      </x:c>
      <x:c r="I636" s="68" t="str">
        <x:v>THCS Vinh Pha Tay</x:v>
      </x:c>
      <x:c r="J636" s="68" t="str">
        <x:v>Xa Wnh Phu6c</x:v>
      </x:c>
      <x:c r="K636" s="68" t="str">
        <x:v>29.6</x:v>
      </x:c>
      <x:c r="L636" s="68" t="str">
        <x:v>34</x:v>
      </x:c>
      <x:c r="M636" s="68" t="str"/>
      <x:c r="N636" s="68" t="str"/>
      <x:c r="O636" s="68" t="str">
        <x:v>63.6</x:v>
      </x:c>
      <x:c r="P636" s="68" t="str"/>
    </x:row>
    <x:row r="637">
      <x:c r="A637" s="106" t="n">
        <x:v>19</x:v>
      </x:c>
      <x:c r="B637" s="106" t="str">
        <x:v>636</x:v>
      </x:c>
      <x:c r="C637" s="167" t="str">
        <x:f>"09531 1004046"</x:f>
        <x:v>09531 1004046</x:v>
      </x:c>
      <x:c r="D637" s="68" t="str">
        <x:v>NGUYEN NGQC THU</x:v>
      </x:c>
      <x:c r="E637" s="68" t="str">
        <x:v>X</x:v>
      </x:c>
      <x:c r="F637" s="68" t="str">
        <x:v>08/07/201 1</x:v>
      </x:c>
      <x:c r="G637" s="68" t="str">
        <x:v>Kinh</x:v>
      </x:c>
      <x:c r="H637" s="68" t="str">
        <x:v>Xa Phu6c Long</x:v>
      </x:c>
      <x:c r="I637" s="68" t="str">
        <x:v>THCS Vinh Thanh</x:v>
      </x:c>
      <x:c r="J637" s="68" t="str">
        <x:v>Xa Wmh Thanh</x:v>
      </x:c>
      <x:c r="K637" s="68" t="str">
        <x:v>29.6</x:v>
      </x:c>
      <x:c r="L637" s="68" t="str">
        <x:v>34</x:v>
      </x:c>
      <x:c r="M637" s="68" t="str"/>
      <x:c r="N637" s="68" t="str"/>
      <x:c r="O637" s="68" t="str">
        <x:v>63.6</x:v>
      </x:c>
      <x:c r="P637" s="68" t="str"/>
    </x:row>
    <x:row r="638">
      <x:c r="A638" s="106" t="n">
        <x:v>19</x:v>
      </x:c>
      <x:c r="B638" s="106" t="str">
        <x:v>637</x:v>
      </x:c>
      <x:c r="C638" s="167" t="str">
        <x:f>"095211005973"</x:f>
        <x:v>095211005973</x:v>
      </x:c>
      <x:c r="D638" s="68" t="str">
        <x:v>;Tim TU'ONG</x:v>
      </x:c>
      <x:c r="E638" s="68" t="str"/>
      <x:c r="F638" s="68" t="str">
        <x:v>10/04/201 1</x:v>
      </x:c>
      <x:c r="G638" s="68" t="str">
        <x:v>Kinh</x:v>
      </x:c>
      <x:c r="H638" s="68" t="str">
        <x:v>Xa Phudc Long</x:v>
      </x:c>
      <x:c r="I638" s="68" t="str">
        <x:v>THCS Vuang Htru Nhan</x:v>
      </x:c>
      <x:c r="J638" s="68" t="str">
        <x:v>Xa Phudc Long</x:v>
      </x:c>
      <x:c r="K638" s="68" t="str">
        <x:v>29.6</x:v>
      </x:c>
      <x:c r="L638" s="68" t="str">
        <x:v>34</x:v>
      </x:c>
      <x:c r="M638" s="68" t="str"/>
      <x:c r="N638" s="68" t="str"/>
      <x:c r="O638" s="68" t="str">
        <x:v>63.6</x:v>
      </x:c>
      <x:c r="P638" s="68" t="str"/>
    </x:row>
    <x:row r="639">
      <x:c r="A639" s="106" t="n">
        <x:v>19</x:v>
      </x:c>
      <x:c r="B639" s="106" t="str">
        <x:v>638</x:v>
      </x:c>
      <x:c r="C639" s="167" t="str">
        <x:f>"095311005156"</x:f>
        <x:v>095311005156</x:v>
      </x:c>
      <x:c r="D639" s="68" t="str">
        <x:v>NGUY£N THI NHUMUQI</x:v>
      </x:c>
      <x:c r="E639" s="68" t="str">
        <x:v>X</x:v>
      </x:c>
      <x:c r="F639" s="68" t="str">
        <x:v>09/09/201 1</x:v>
      </x:c>
      <x:c r="G639" s="68" t="str">
        <x:v>Kinh</x:v>
      </x:c>
      <x:c r="H639" s="68" t="str">
        <x:v>Xa Vinh Thanh</x:v>
      </x:c>
      <x:c r="I639" s="68" t="str">
        <x:v>THCS Hung Phd</x:v>
      </x:c>
      <x:c r="J639" s="68" t="str">
        <x:v>Xa Vinh Thanh</x:v>
      </x:c>
      <x:c r="K639" s="68" t="str">
        <x:v>29.6</x:v>
      </x:c>
      <x:c r="L639" s="68" t="str">
        <x:v>34</x:v>
      </x:c>
      <x:c r="M639" s="68" t="str"/>
      <x:c r="N639" s="68" t="str"/>
      <x:c r="O639" s="68" t="str">
        <x:v>63.6</x:v>
      </x:c>
      <x:c r="P639" s="68" t="str"/>
    </x:row>
    <x:row r="640">
      <x:c r="A640" s="106" t="n">
        <x:v>19</x:v>
      </x:c>
      <x:c r="B640" s="106" t="str">
        <x:v>639</x:v>
      </x:c>
      <x:c r="C640" s="167" t="str">
        <x:f>"095209000699"</x:f>
        <x:v>095209000699</x:v>
      </x:c>
      <x:c r="D640" s="68" t="str">
        <x:v>TRAN TAN LOC</x:v>
      </x:c>
      <x:c r="E640" s="68" t="str"/>
      <x:c r="F640" s="68" t="str">
        <x:v>02/04/2009</x:v>
      </x:c>
      <x:c r="G640" s="68" t="str">
        <x:v>Kinh</x:v>
      </x:c>
      <x:c r="H640" s="68" t="str">
        <x:v>Xa Phu6c Long</x:v>
      </x:c>
      <x:c r="I640" s="68" t="str">
        <x:v>THCS Phudc Long</x:v>
      </x:c>
      <x:c r="J640" s="68" t="str">
        <x:v>Xa Phu6c Long</x:v>
      </x:c>
      <x:c r="K640" s="68" t="str">
        <x:v>29.5</x:v>
      </x:c>
      <x:c r="L640" s="68" t="str">
        <x:v>34</x:v>
      </x:c>
      <x:c r="M640" s="68" t="str"/>
      <x:c r="N640" s="68" t="str"/>
      <x:c r="O640" s="68" t="str">
        <x:v>63.5</x:v>
      </x:c>
      <x:c r="P640" s="68" t="str"/>
    </x:row>
    <x:row r="641">
      <x:c r="A641" s="106" t="n">
        <x:v>19</x:v>
      </x:c>
      <x:c r="B641" s="106" t="str">
        <x:v>640</x:v>
      </x:c>
      <x:c r="C641" s="167" t="str">
        <x:f>"0953 1 1009268"</x:f>
        <x:v>0953 1 1009268</x:v>
      </x:c>
      <x:c r="D641" s="68" t="str">
        <x:v>NGUY£N Lg TtJdNG VY</x:v>
      </x:c>
      <x:c r="E641" s="68" t="str">
        <x:v>X</x:v>
      </x:c>
      <x:c r="F641" s="68" t="str">
        <x:v>04/1 1/2011</x:v>
      </x:c>
      <x:c r="G641" s="68" t="str">
        <x:v>Kinh</x:v>
      </x:c>
      <x:c r="H641" s="68" t="str">
        <x:v>Xa Vinh Thanh</x:v>
      </x:c>
      <x:c r="I641" s="68" t="str">
        <x:v>THCS Hung Phd</x:v>
      </x:c>
      <x:c r="J641" s="68" t="str">
        <x:v>Xa Vmh Thanh</x:v>
      </x:c>
      <x:c r="K641" s="68" t="str">
        <x:v>29.5</x:v>
      </x:c>
      <x:c r="L641" s="68" t="str">
        <x:v>34</x:v>
      </x:c>
      <x:c r="M641" s="68" t="str"/>
      <x:c r="N641" s="68" t="str"/>
      <x:c r="O641" s="68" t="str">
        <x:v>63.5</x:v>
      </x:c>
      <x:c r="P641" s="68" t="str"/>
    </x:row>
    <x:row r="642">
      <x:c r="A642" s="106" t="n">
        <x:v>20</x:v>
      </x:c>
      <x:c r="B642" s="106" t="str">
        <x:v>641</x:v>
      </x:c>
      <x:c r="C642" s="167" t="str">
        <x:f>"095311000151"</x:f>
        <x:v>095311000151</x:v>
      </x:c>
      <x:c r="D642" s="68" t="str">
        <x:v>TRAN THI GLA HAN</x:v>
      </x:c>
      <x:c r="E642" s="68" t="str">
        <x:v>X</x:v>
      </x:c>
      <x:c r="F642" s="68" t="str">
        <x:v>26/06/2011</x:v>
      </x:c>
      <x:c r="G642" s="68" t="str">
        <x:v>Kinh</x:v>
      </x:c>
      <x:c r="H642" s="68" t="str">
        <x:v>Xa Phu6c Long</x:v>
      </x:c>
      <x:c r="I642" s="68" t="str">
        <x:v>THCS Vuang Htru Nhan</x:v>
      </x:c>
      <x:c r="J642" s="68" t="str">
        <x:v>Xa Phu6c Long</x:v>
      </x:c>
      <x:c r="K642" s="68" t="str">
        <x:v>29.5</x:v>
      </x:c>
      <x:c r="L642" s="68" t="str">
        <x:v>34</x:v>
      </x:c>
      <x:c r="M642" s="68" t="str"/>
      <x:c r="N642" s="68" t="str"/>
      <x:c r="O642" s="68" t="str">
        <x:v>63.5</x:v>
      </x:c>
      <x:c r="P642" s="68" t="str"/>
    </x:row>
    <x:row r="643">
      <x:c r="A643" s="106" t="n">
        <x:v>20</x:v>
      </x:c>
      <x:c r="B643" s="106" t="str">
        <x:v>642</x:v>
      </x:c>
      <x:c r="C643" s="167" t="str">
        <x:f>"09531 1005729"</x:f>
        <x:v>09531 1005729</x:v>
      </x:c>
      <x:c r="D643" s="68" t="str">
        <x:v>Li NGQC TRAN</x:v>
      </x:c>
      <x:c r="E643" s="68" t="str">
        <x:v>X</x:v>
      </x:c>
      <x:c r="F643" s="68" t="str">
        <x:v>26/03/2011</x:v>
      </x:c>
      <x:c r="G643" s="68" t="str">
        <x:v>Kinh</x:v>
      </x:c>
      <x:c r="H643" s="68" t="str">
        <x:v>Xa Phu6c Long</x:v>
      </x:c>
      <x:c r="I643" s="68" t="str">
        <x:v>THCS Vinh Thanh</x:v>
      </x:c>
      <x:c r="J643" s="68" t="str">
        <x:v>Xa VTnh Thanh</x:v>
      </x:c>
      <x:c r="K643" s="68" t="str">
        <x:v>29.4</x:v>
      </x:c>
      <x:c r="L643" s="68" t="str">
        <x:v>34</x:v>
      </x:c>
      <x:c r="M643" s="68" t="str"/>
      <x:c r="N643" s="68" t="str"/>
      <x:c r="O643" s="68" t="str">
        <x:v>63.4</x:v>
      </x:c>
      <x:c r="P643" s="68" t="str"/>
    </x:row>
    <x:row r="644">
      <x:c r="A644" s="106" t="n">
        <x:v>20</x:v>
      </x:c>
      <x:c r="B644" s="106" t="str">
        <x:v>643</x:v>
      </x:c>
      <x:c r="C644" s="167" t="str">
        <x:f>"095311001638"</x:f>
        <x:v>095311001638</x:v>
      </x:c>
      <x:c r="D644" s="68" t="str">
        <x:v>NGUY£N THI NGQC THU</x:v>
      </x:c>
      <x:c r="E644" s="68" t="str">
        <x:v>X</x:v>
      </x:c>
      <x:c r="F644" s="68" t="str">
        <x:v>13/02/20 1 1</x:v>
      </x:c>
      <x:c r="G644" s="68" t="str">
        <x:v>Kinh</x:v>
      </x:c>
      <x:c r="H644" s="68" t="str">
        <x:v>Xa Phu(tc Long</x:v>
      </x:c>
      <x:c r="I644" s="68" t="str">
        <x:v>THCS Vuang HFru Nhan</x:v>
      </x:c>
      <x:c r="J644" s="68" t="str">
        <x:v>Xa Phu6c Long</x:v>
      </x:c>
      <x:c r="K644" s="68" t="str">
        <x:v>29.4</x:v>
      </x:c>
      <x:c r="L644" s="68" t="str">
        <x:v>34</x:v>
      </x:c>
      <x:c r="M644" s="68" t="str"/>
      <x:c r="N644" s="68" t="str"/>
      <x:c r="O644" s="68" t="str">
        <x:v>63.4</x:v>
      </x:c>
      <x:c r="P644" s="68" t="str"/>
    </x:row>
    <x:row r="645">
      <x:c r="A645" s="106" t="n">
        <x:v>20</x:v>
      </x:c>
      <x:c r="B645" s="106" t="str">
        <x:v>644</x:v>
      </x:c>
      <x:c r="C645" s="167" t="str">
        <x:f>"09521 1004457"</x:f>
        <x:v>09521 1004457</x:v>
      </x:c>
      <x:c r="D645" s="68" t="str">
        <x:v>DINH QU6C TnAI</x:v>
      </x:c>
      <x:c r="E645" s="68" t="str"/>
      <x:c r="F645" s="68" t="str">
        <x:v>09/05/201 1</x:v>
      </x:c>
      <x:c r="G645" s="68" t="str">
        <x:v>Kinh</x:v>
      </x:c>
      <x:c r="H645" s="68" t="str">
        <x:v>Xa Phudc Long</x:v>
      </x:c>
      <x:c r="I645" s="68" t="str">
        <x:v>THCS Phu6c Long</x:v>
      </x:c>
      <x:c r="J645" s="68" t="str">
        <x:v>Xa Phu6c Long</x:v>
      </x:c>
      <x:c r="K645" s="68" t="str">
        <x:v>29.4</x:v>
      </x:c>
      <x:c r="L645" s="68" t="str">
        <x:v>34</x:v>
      </x:c>
      <x:c r="M645" s="68" t="str"/>
      <x:c r="N645" s="68" t="str"/>
      <x:c r="O645" s="68" t="str">
        <x:v>63.4</x:v>
      </x:c>
      <x:c r="P645" s="68" t="str"/>
    </x:row>
    <x:row r="646">
      <x:c r="A646" s="106" t="n">
        <x:v>20</x:v>
      </x:c>
      <x:c r="B646" s="106" t="str">
        <x:v>645</x:v>
      </x:c>
      <x:c r="C646" s="167" t="str">
        <x:f>"09521 1009608"</x:f>
        <x:v>09521 1009608</x:v>
      </x:c>
      <x:c r="D646" s="68" t="str">
        <x:v>HUtNH KV</x:v>
      </x:c>
      <x:c r="E646" s="68" t="str"/>
      <x:c r="F646" s="68" t="str">
        <x:v>30/04/20 11</x:v>
      </x:c>
      <x:c r="G646" s="68" t="str">
        <x:v>Kinh</x:v>
      </x:c>
      <x:c r="H646" s="68" t="str">
        <x:v>Xa Phu6c Long</x:v>
      </x:c>
      <x:c r="I646" s="68" t="str">
        <x:v>THCS Phu6c Long</x:v>
      </x:c>
      <x:c r="J646" s="68" t="str">
        <x:v>Xa Phudc Long</x:v>
      </x:c>
      <x:c r="K646" s="68" t="str">
        <x:v>29.4</x:v>
      </x:c>
      <x:c r="L646" s="68" t="str">
        <x:v>34</x:v>
      </x:c>
      <x:c r="M646" s="68" t="str"/>
      <x:c r="N646" s="68" t="str"/>
      <x:c r="O646" s="68" t="str">
        <x:v>63.4</x:v>
      </x:c>
      <x:c r="P646" s="68" t="str"/>
    </x:row>
    <x:row r="647">
      <x:c r="A647" s="106" t="n">
        <x:v>20</x:v>
      </x:c>
      <x:c r="B647" s="106" t="str">
        <x:v>646</x:v>
      </x:c>
      <x:c r="C647" s="167" t="str">
        <x:f>"09521 1004570"</x:f>
        <x:v>09521 1004570</x:v>
      </x:c>
      <x:c r="D647" s="68" t="str">
        <x:v>DUaNG vO NGQC Hn£u</x:v>
      </x:c>
      <x:c r="E647" s="68" t="str"/>
      <x:c r="F647" s="68" t="str">
        <x:v>21/05/2011</x:v>
      </x:c>
      <x:c r="G647" s="68" t="str">
        <x:v>Kinh</x:v>
      </x:c>
      <x:c r="H647" s="68" t="str">
        <x:v>Xa VTnh Thanh</x:v>
      </x:c>
      <x:c r="I647" s="68" t="str">
        <x:v>THCS Phu6c Long</x:v>
      </x:c>
      <x:c r="J647" s="68" t="str">
        <x:v>Xa Phu6c Long</x:v>
      </x:c>
      <x:c r="K647" s="68" t="str">
        <x:v>29.4</x:v>
      </x:c>
      <x:c r="L647" s="68" t="str">
        <x:v>34</x:v>
      </x:c>
      <x:c r="M647" s="68" t="str"/>
      <x:c r="N647" s="68" t="str"/>
      <x:c r="O647" s="68" t="str">
        <x:v>63.4</x:v>
      </x:c>
      <x:c r="P647" s="68" t="str"/>
    </x:row>
    <x:row r="648">
      <x:c r="A648" s="106" t="n">
        <x:v>20</x:v>
      </x:c>
      <x:c r="B648" s="106" t="str">
        <x:v>647</x:v>
      </x:c>
      <x:c r="C648" s="167" t="str">
        <x:f>"09531 1002229"</x:f>
        <x:v>09531 1002229</x:v>
      </x:c>
      <x:c r="D648" s="68" t="str">
        <x:v>MAI THI TU-dNG VY</x:v>
      </x:c>
      <x:c r="E648" s="68" t="str">
        <x:v>X</x:v>
      </x:c>
      <x:c r="F648" s="68" t="str">
        <x:v>16/1 1/2011</x:v>
      </x:c>
      <x:c r="G648" s="68" t="str">
        <x:v>Kinh</x:v>
      </x:c>
      <x:c r="H648" s="68" t="str">
        <x:v>Xa Phu6c Long</x:v>
      </x:c>
      <x:c r="I648" s="68" t="str">
        <x:v>THCS Vuang Hku Nhad</x:v>
      </x:c>
      <x:c r="J648" s="68" t="str">
        <x:v>Xa Phudc Long</x:v>
      </x:c>
      <x:c r="K648" s="68" t="str">
        <x:v>29.4</x:v>
      </x:c>
      <x:c r="L648" s="68" t="str">
        <x:v>34</x:v>
      </x:c>
      <x:c r="M648" s="68" t="str"/>
      <x:c r="N648" s="68" t="str"/>
      <x:c r="O648" s="68" t="str">
        <x:v>63.4</x:v>
      </x:c>
      <x:c r="P648" s="68" t="str"/>
    </x:row>
    <x:row r="649">
      <x:c r="A649" s="106" t="n">
        <x:v>20</x:v>
      </x:c>
      <x:c r="B649" s="106" t="str">
        <x:v>648</x:v>
      </x:c>
      <x:c r="C649" s="167" t="str">
        <x:f>"0953 1 1002019"</x:f>
        <x:v>0953 1 1002019</x:v>
      </x:c>
      <x:c r="D649" s="68" t="str">
        <x:v>NGUYEN THI ANH THU</x:v>
      </x:c>
      <x:c r="E649" s="68" t="str">
        <x:v>X</x:v>
      </x:c>
      <x:c r="F649" s="68" t="str">
        <x:v>21/04/201 1</x:v>
      </x:c>
      <x:c r="G649" s="68" t="str">
        <x:v>Kinh</x:v>
      </x:c>
      <x:c r="H649" s="68" t="str">
        <x:v>Xa Phu6c Long</x:v>
      </x:c>
      <x:c r="I649" s="68" t="str">
        <x:v>THCS Vuang Hnu Nhan</x:v>
      </x:c>
      <x:c r="J649" s="68" t="str">
        <x:v>Xa Phu6c Long</x:v>
      </x:c>
      <x:c r="K649" s="68" t="str">
        <x:v>29.4</x:v>
      </x:c>
      <x:c r="L649" s="68" t="str">
        <x:v>34</x:v>
      </x:c>
      <x:c r="M649" s="68" t="str"/>
      <x:c r="N649" s="68" t="str"/>
      <x:c r="O649" s="68" t="str">
        <x:v>63.4</x:v>
      </x:c>
      <x:c r="P649" s="68" t="str"/>
    </x:row>
    <x:row r="650">
      <x:c r="A650" s="106" t="n">
        <x:v>20</x:v>
      </x:c>
      <x:c r="B650" s="106" t="str">
        <x:v>649</x:v>
      </x:c>
      <x:c r="C650" s="167" t="str">
        <x:f>"09521 1002757"</x:f>
        <x:v>09521 1002757</x:v>
      </x:c>
      <x:c r="D650" s="68" t="str">
        <x:v>NGUy£N HOAl THUONG</x:v>
      </x:c>
      <x:c r="E650" s="68" t="str"/>
      <x:c r="F650" s="68" t="str">
        <x:v>02/04/201 1</x:v>
      </x:c>
      <x:c r="G650" s="68" t="str">
        <x:v>Kinh</x:v>
      </x:c>
      <x:c r="H650" s="68" t="str">
        <x:v>Xa Wnh Phu6c</x:v>
      </x:c>
      <x:c r="I650" s="68" t="str">
        <x:v>THCS Wnh Pha Tay</x:v>
      </x:c>
      <x:c r="J650" s="68" t="str">
        <x:v>Xa Vmh Phu6c</x:v>
      </x:c>
      <x:c r="K650" s="68" t="str">
        <x:v>29.3</x:v>
      </x:c>
      <x:c r="L650" s="68" t="str">
        <x:v>34</x:v>
      </x:c>
      <x:c r="M650" s="68" t="str"/>
      <x:c r="N650" s="68" t="str"/>
      <x:c r="O650" s="68" t="str">
        <x:v>63.3</x:v>
      </x:c>
      <x:c r="P650" s="68" t="str"/>
    </x:row>
    <x:row r="651">
      <x:c r="A651" s="106" t="n">
        <x:v>20</x:v>
      </x:c>
      <x:c r="B651" s="106" t="str">
        <x:v>650</x:v>
      </x:c>
      <x:c r="C651" s="167" t="str">
        <x:f>"09521 1002971"</x:f>
        <x:v>09521 1002971</x:v>
      </x:c>
      <x:c r="D651" s="68" t="str">
        <x:v>TANG HUEN LUaNG</x:v>
      </x:c>
      <x:c r="E651" s="68" t="str"/>
      <x:c r="F651" s="68" t="str">
        <x:v>13/08/2011</x:v>
      </x:c>
      <x:c r="G651" s="68" t="str">
        <x:v>Kinh</x:v>
      </x:c>
      <x:c r="H651" s="68" t="str">
        <x:v>Xg VTnh Thanh</x:v>
      </x:c>
      <x:c r="I651" s="68" t="str">
        <x:v>THCS Hung Pha</x:v>
      </x:c>
      <x:c r="J651" s="68" t="str">
        <x:v>Xa Vinh Thanh</x:v>
      </x:c>
      <x:c r="K651" s="68" t="str">
        <x:v>29.3</x:v>
      </x:c>
      <x:c r="L651" s="68" t="str">
        <x:v>34</x:v>
      </x:c>
      <x:c r="M651" s="68" t="str"/>
      <x:c r="N651" s="68" t="str"/>
      <x:c r="O651" s="68" t="str">
        <x:v>63.3</x:v>
      </x:c>
      <x:c r="P651" s="68" t="str"/>
    </x:row>
    <x:row r="652">
      <x:c r="A652" s="106" t="n">
        <x:v>20</x:v>
      </x:c>
      <x:c r="B652" s="106" t="str">
        <x:v>651</x:v>
      </x:c>
      <x:c r="C652" s="167" t="str">
        <x:f>"095211010032"</x:f>
        <x:v>095211010032</x:v>
      </x:c>
      <x:c r="D652" s="68" t="str">
        <x:v>vO GLA KHANH</x:v>
      </x:c>
      <x:c r="E652" s="68" t="str"/>
      <x:c r="F652" s="68" t="str">
        <x:v>07/01/201 1</x:v>
      </x:c>
      <x:c r="G652" s="68" t="str">
        <x:v>Kinh</x:v>
      </x:c>
      <x:c r="H652" s="68" t="str">
        <x:v>Xa Phudc Long</x:v>
      </x:c>
      <x:c r="I652" s="68" t="str">
        <x:v>THCS Vuang Hnu Nhan</x:v>
      </x:c>
      <x:c r="J652" s="68" t="str">
        <x:v>Xa Phudc Long</x:v>
      </x:c>
      <x:c r="K652" s="68" t="str">
        <x:v>29.3</x:v>
      </x:c>
      <x:c r="L652" s="68" t="str">
        <x:v>34</x:v>
      </x:c>
      <x:c r="M652" s="68" t="str"/>
      <x:c r="N652" s="68" t="str"/>
      <x:c r="O652" s="68" t="str">
        <x:v>63.3</x:v>
      </x:c>
      <x:c r="P652" s="68" t="str"/>
    </x:row>
    <x:row r="653">
      <x:c r="A653" s="106" t="n">
        <x:v>20</x:v>
      </x:c>
      <x:c r="B653" s="106" t="str">
        <x:v>652</x:v>
      </x:c>
      <x:c r="C653" s="167" t="str">
        <x:f>"095211001111"</x:f>
        <x:v>095211001111</x:v>
      </x:c>
      <x:c r="D653" s="68" t="str">
        <x:v>NGUYEN HO ANG THAI</x:v>
      </x:c>
      <x:c r="E653" s="68" t="str"/>
      <x:c r="F653" s="68" t="str">
        <x:v>11/09/2011</x:v>
      </x:c>
      <x:c r="G653" s="68" t="str">
        <x:v>Kinh</x:v>
      </x:c>
      <x:c r="H653" s="68" t="str">
        <x:v>Xa Vinh Phudc</x:v>
      </x:c>
      <x:c r="I653" s="68" t="str">
        <x:v>THCS Vinh Phi Tay</x:v>
      </x:c>
      <x:c r="J653" s="68" t="str">
        <x:v>Xa Vinh Phu6c</x:v>
      </x:c>
      <x:c r="K653" s="68" t="str">
        <x:v>29.2</x:v>
      </x:c>
      <x:c r="L653" s="68" t="str">
        <x:v>34</x:v>
      </x:c>
      <x:c r="M653" s="68" t="str"/>
      <x:c r="N653" s="68" t="str"/>
      <x:c r="O653" s="68" t="str">
        <x:v>63.2</x:v>
      </x:c>
      <x:c r="P653" s="68" t="str"/>
    </x:row>
    <x:row r="654">
      <x:c r="A654" s="106" t="n">
        <x:v>20</x:v>
      </x:c>
      <x:c r="B654" s="106" t="str">
        <x:v>653</x:v>
      </x:c>
      <x:c r="C654" s="167" t="str">
        <x:f>"09521 1005745"</x:f>
        <x:v>09521 1005745</x:v>
      </x:c>
      <x:c r="D654" s="68" t="str">
        <x:v>TRAN Qu6c KEANU</x:v>
      </x:c>
      <x:c r="E654" s="68" t="str"/>
      <x:c r="F654" s="68" t="str">
        <x:v>16/06/2011</x:v>
      </x:c>
      <x:c r="G654" s="68" t="str">
        <x:v>Kinh</x:v>
      </x:c>
      <x:c r="H654" s="68" t="str">
        <x:v>Xg VTnh Thanh</x:v>
      </x:c>
      <x:c r="I654" s="68" t="str">
        <x:v>THCS Hung Phd</x:v>
      </x:c>
      <x:c r="J654" s="68" t="str">
        <x:v>Xa VTnh Thanh</x:v>
      </x:c>
      <x:c r="K654" s="68" t="str">
        <x:v>29.2</x:v>
      </x:c>
      <x:c r="L654" s="68" t="str">
        <x:v>34</x:v>
      </x:c>
      <x:c r="M654" s="68" t="str"/>
      <x:c r="N654" s="68" t="str"/>
      <x:c r="O654" s="68" t="str">
        <x:v>63.2</x:v>
      </x:c>
      <x:c r="P654" s="68" t="str"/>
    </x:row>
    <x:row r="655">
      <x:c r="A655" s="106" t="n">
        <x:v>20</x:v>
      </x:c>
      <x:c r="B655" s="106" t="str">
        <x:v>654</x:v>
      </x:c>
      <x:c r="C655" s="167" t="str">
        <x:f>"095311003772"</x:f>
        <x:v>095311003772</x:v>
      </x:c>
      <x:c r="D655" s="68" t="str">
        <x:v>QUACH THI MY NGAN</x:v>
      </x:c>
      <x:c r="E655" s="68" t="str">
        <x:v>X</x:v>
      </x:c>
      <x:c r="F655" s="68" t="str">
        <x:v>19/10/2011</x:v>
      </x:c>
      <x:c r="G655" s="68" t="str">
        <x:v>Kinh</x:v>
      </x:c>
      <x:c r="H655" s="68" t="str">
        <x:v>Xa H6ng Dan</x:v>
      </x:c>
      <x:c r="I655" s="68" t="str">
        <x:v>THCS Phudc Long .</x:v>
      </x:c>
      <x:c r="J655" s="68" t="str">
        <x:v>Xa VTnh Phu6c</x:v>
      </x:c>
      <x:c r="K655" s="68" t="str">
        <x:v>30.2</x:v>
      </x:c>
      <x:c r="L655" s="68" t="str">
        <x:v>33</x:v>
      </x:c>
      <x:c r="M655" s="68" t="str"/>
      <x:c r="N655" s="68" t="str"/>
      <x:c r="O655" s="68" t="str">
        <x:v>63.2</x:v>
      </x:c>
      <x:c r="P655" s="68" t="str"/>
    </x:row>
    <x:row r="656">
      <x:c r="A656" s="106" t="n">
        <x:v>20</x:v>
      </x:c>
      <x:c r="B656" s="106" t="str">
        <x:v>655</x:v>
      </x:c>
      <x:c r="C656" s="167" t="str">
        <x:f>"0953 1 1007677"</x:f>
        <x:v>0953 1 1007677</x:v>
      </x:c>
      <x:c r="D656" s="68" t="str">
        <x:v>NGUYEN NGQC GIA LINH</x:v>
      </x:c>
      <x:c r="E656" s="68" t="str">
        <x:v>X</x:v>
      </x:c>
      <x:c r="F656" s="68" t="str">
        <x:v>10/12/201 1</x:v>
      </x:c>
      <x:c r="G656" s="68" t="str">
        <x:v>Kinh</x:v>
      </x:c>
      <x:c r="H656" s="68" t="str">
        <x:v>Xa Vinh Thanh</x:v>
      </x:c>
      <x:c r="I656" s="68" t="str">
        <x:v>THCS Vuang HGu Nhob</x:v>
      </x:c>
      <x:c r="J656" s="68" t="str">
        <x:v>Xa Phudc Long</x:v>
      </x:c>
      <x:c r="K656" s="68" t="str">
        <x:v>29.2</x:v>
      </x:c>
      <x:c r="L656" s="68" t="str">
        <x:v>34</x:v>
      </x:c>
      <x:c r="M656" s="68" t="str"/>
      <x:c r="N656" s="68" t="str"/>
      <x:c r="O656" s="68" t="str">
        <x:v>63.2</x:v>
      </x:c>
      <x:c r="P656" s="68" t="str"/>
    </x:row>
    <x:row r="657">
      <x:c r="A657" s="106" t="n">
        <x:v>20</x:v>
      </x:c>
      <x:c r="B657" s="106" t="str">
        <x:v>656</x:v>
      </x:c>
      <x:c r="C657" s="167" t="str">
        <x:f>"093211004994"</x:f>
        <x:v>093211004994</x:v>
      </x:c>
      <x:c r="D657" s="68" t="str">
        <x:v>TRAN QUANG PHOC</x:v>
      </x:c>
      <x:c r="E657" s="68" t="str"/>
      <x:c r="F657" s="68" t="str">
        <x:v>12/10/201 1</x:v>
      </x:c>
      <x:c r="G657" s="68" t="str">
        <x:v>Kinh</x:v>
      </x:c>
      <x:c r="H657" s="68" t="str">
        <x:v>Xa VTnh Phudc</x:v>
      </x:c>
      <x:c r="I657" s="68" t="str">
        <x:v>THCS Wnh Pha Tay</x:v>
      </x:c>
      <x:c r="J657" s="68" t="str">
        <x:v>Xa Wnh Phu6c</x:v>
      </x:c>
      <x:c r="K657" s="68" t="str">
        <x:v>29.1</x:v>
      </x:c>
      <x:c r="L657" s="68" t="str">
        <x:v>34</x:v>
      </x:c>
      <x:c r="M657" s="68" t="str"/>
      <x:c r="N657" s="68" t="str"/>
      <x:c r="O657" s="68" t="str">
        <x:v>63.1</x:v>
      </x:c>
      <x:c r="P657" s="68" t="str"/>
    </x:row>
    <x:row r="658">
      <x:c r="A658" s="106" t="n">
        <x:v>20</x:v>
      </x:c>
      <x:c r="B658" s="106" t="str">
        <x:v>657</x:v>
      </x:c>
      <x:c r="C658" s="167" t="str">
        <x:f>"09521 1006281"</x:f>
        <x:v>09521 1006281</x:v>
      </x:c>
      <x:c r="D658" s="68" t="str">
        <x:v>StINGUY£N GIA BAO</x:v>
      </x:c>
      <x:c r="E658" s="68" t="str"/>
      <x:c r="F658" s="68" t="str">
        <x:v>08/04/201 1</x:v>
      </x:c>
      <x:c r="G658" s="68" t="str">
        <x:v>Khmer I</x:v>
      </x:c>
      <x:c r="H658" s="68" t="str">
        <x:v>Xa H6ng Dan</x:v>
      </x:c>
      <x:c r="I658" s="68" t="str">
        <x:v>THCS Tnrong Wnh KV</x:v>
      </x:c>
      <x:c r="J658" s="68" t="str">
        <x:v>Xa H6ng Dan</x:v>
      </x:c>
      <x:c r="K658" s="68" t="str">
        <x:v>29.1</x:v>
      </x:c>
      <x:c r="L658" s="68" t="str">
        <x:v>33</x:v>
      </x:c>
      <x:c r="M658" s="68" t="str">
        <x:v>1.0</x:v>
      </x:c>
      <x:c r="N658" s="68" t="str"/>
      <x:c r="O658" s="68" t="str">
        <x:v>63.1</x:v>
      </x:c>
      <x:c r="P658" s="68" t="str"/>
    </x:row>
    <x:row r="659">
      <x:c r="A659" s="106" t="n">
        <x:v>20</x:v>
      </x:c>
      <x:c r="B659" s="106" t="str">
        <x:v>658</x:v>
      </x:c>
      <x:c r="C659" s="167" t="str">
        <x:f>"095211002188"</x:f>
        <x:v>095211002188</x:v>
      </x:c>
      <x:c r="D659" s="68" t="str">
        <x:v>T6NG THANH SANG</x:v>
      </x:c>
      <x:c r="E659" s="68" t="str"/>
      <x:c r="F659" s="68" t="str">
        <x:v>07/05/2011</x:v>
      </x:c>
      <x:c r="G659" s="68" t="str">
        <x:v>Kinh</x:v>
      </x:c>
      <x:c r="H659" s="68" t="str">
        <x:v>Xa VTnh Thanh</x:v>
      </x:c>
      <x:c r="I659" s="68" t="str">
        <x:v>THCS Hung Phi</x:v>
      </x:c>
      <x:c r="J659" s="68" t="str">
        <x:v>Xa Wnh Thanh</x:v>
      </x:c>
      <x:c r="K659" s="68" t="str">
        <x:v>29. 1</x:v>
      </x:c>
      <x:c r="L659" s="68" t="str">
        <x:v>34</x:v>
      </x:c>
      <x:c r="M659" s="68" t="str"/>
      <x:c r="N659" s="68" t="str"/>
      <x:c r="O659" s="68" t="str">
        <x:v>63.1</x:v>
      </x:c>
      <x:c r="P659" s="68" t="str"/>
    </x:row>
    <x:row r="660">
      <x:c r="A660" s="106" t="n">
        <x:v>20</x:v>
      </x:c>
      <x:c r="B660" s="106" t="str">
        <x:v>659</x:v>
      </x:c>
      <x:c r="C660" s="167" t="str">
        <x:f>"095311004765"</x:f>
        <x:v>095311004765</x:v>
      </x:c>
      <x:c r="D660" s="68" t="str">
        <x:v>NGO TROC QUtNH</x:v>
      </x:c>
      <x:c r="E660" s="68" t="str">
        <x:v>X</x:v>
      </x:c>
      <x:c r="F660" s="68" t="str">
        <x:v>27/05/201 1</x:v>
      </x:c>
      <x:c r="G660" s="68" t="str">
        <x:v>Kinh</x:v>
      </x:c>
      <x:c r="H660" s="68" t="str">
        <x:v>Xa Vinh Thanh</x:v>
      </x:c>
      <x:c r="I660" s="68" t="str">
        <x:v>THCS Vinh Thanh</x:v>
      </x:c>
      <x:c r="J660" s="68" t="str">
        <x:v>Xa Vinh Thanh</x:v>
      </x:c>
      <x:c r="K660" s="68" t="str">
        <x:v>29.1</x:v>
      </x:c>
      <x:c r="L660" s="68" t="str">
        <x:v>34</x:v>
      </x:c>
      <x:c r="M660" s="68" t="str"/>
      <x:c r="N660" s="68" t="str"/>
      <x:c r="O660" s="68" t="str">
        <x:v>63.1</x:v>
      </x:c>
      <x:c r="P660" s="68" t="str"/>
    </x:row>
    <x:row r="661">
      <x:c r="A661" s="106" t="n">
        <x:v>20</x:v>
      </x:c>
      <x:c r="B661" s="106" t="str">
        <x:v>660</x:v>
      </x:c>
      <x:c r="C661" s="167" t="str">
        <x:f>"09531 1008177"</x:f>
        <x:v>09531 1008177</x:v>
      </x:c>
      <x:c r="D661" s="68" t="str">
        <x:v>NGUYEN THI THtJY DUY£N</x:v>
      </x:c>
      <x:c r="E661" s="68" t="str">
        <x:v>X</x:v>
      </x:c>
      <x:c r="F661" s="68" t="str">
        <x:v>16/05/20 1 1</x:v>
      </x:c>
      <x:c r="G661" s="68" t="str">
        <x:v>Kinh</x:v>
      </x:c>
      <x:c r="H661" s="68" t="str">
        <x:v>Xa Hang Dan</x:v>
      </x:c>
      <x:c r="I661" s="68" t="str">
        <x:v>THCS Tmang VTnh KV</x:v>
      </x:c>
      <x:c r="J661" s="68" t="str">
        <x:v>Xa H6ng Dan</x:v>
      </x:c>
      <x:c r="K661" s="68" t="str">
        <x:v>29. 1</x:v>
      </x:c>
      <x:c r="L661" s="68" t="str">
        <x:v>34</x:v>
      </x:c>
      <x:c r="M661" s="68" t="str"/>
      <x:c r="N661" s="68" t="str"/>
      <x:c r="O661" s="68" t="str">
        <x:v>63.1</x:v>
      </x:c>
      <x:c r="P661" s="68" t="str"/>
    </x:row>
    <x:row r="662">
      <x:c r="A662" s="106" t="n">
        <x:v>20</x:v>
      </x:c>
      <x:c r="B662" s="106" t="str">
        <x:v>661</x:v>
      </x:c>
      <x:c r="C662" s="167" t="str">
        <x:f>"0953 1 1009680"</x:f>
        <x:v>0953 1 1009680</x:v>
      </x:c>
      <x:c r="D662" s="68" t="str">
        <x:v>NGUYEN BAO NGQC</x:v>
      </x:c>
      <x:c r="E662" s="68" t="str">
        <x:v>X</x:v>
      </x:c>
      <x:c r="F662" s="68" t="str">
        <x:v>18/07/201 1</x:v>
      </x:c>
      <x:c r="G662" s="68" t="str">
        <x:v>Kinh</x:v>
      </x:c>
      <x:c r="H662" s="68" t="str">
        <x:v>Xa VTnh Phudc</x:v>
      </x:c>
      <x:c r="I662" s="68" t="str">
        <x:v>THCS VTnh Pha Tay</x:v>
      </x:c>
      <x:c r="J662" s="68" t="str">
        <x:v>Xa Vmh Phudc</x:v>
      </x:c>
      <x:c r="K662" s="68" t="str">
        <x:v>29.0</x:v>
      </x:c>
      <x:c r="L662" s="68" t="str">
        <x:v>34</x:v>
      </x:c>
      <x:c r="M662" s="68" t="str"/>
      <x:c r="N662" s="68" t="str"/>
      <x:c r="O662" s="68" t="str">
        <x:v>63.0</x:v>
      </x:c>
      <x:c r="P662" s="68" t="str"/>
    </x:row>
    <x:row r="663">
      <x:c r="A663" s="106" t="n">
        <x:v>20</x:v>
      </x:c>
      <x:c r="B663" s="106" t="str">
        <x:v>662</x:v>
      </x:c>
      <x:c r="C663" s="167" t="str">
        <x:f>"0953 1 1010044"</x:f>
        <x:v>0953 1 1010044</x:v>
      </x:c>
      <x:c r="D663" s="68" t="str">
        <x:v>PRAM KHANH NGQC</x:v>
      </x:c>
      <x:c r="E663" s="68" t="str">
        <x:v>X</x:v>
      </x:c>
      <x:c r="F663" s="68" t="str">
        <x:v>30/08/2011</x:v>
      </x:c>
      <x:c r="G663" s="68" t="str">
        <x:v>Kinh</x:v>
      </x:c>
      <x:c r="H663" s="68" t="str">
        <x:v>Xa Wnh Thanh</x:v>
      </x:c>
      <x:c r="I663" s="68" t="str">
        <x:v>THCS Vinh Tbanh</x:v>
      </x:c>
      <x:c r="J663" s="68" t="str">
        <x:v>Xa Vmh Thanh</x:v>
      </x:c>
      <x:c r="K663" s="68" t="str">
        <x:v>29.0</x:v>
      </x:c>
      <x:c r="L663" s="68" t="str">
        <x:v>34</x:v>
      </x:c>
      <x:c r="M663" s="68" t="str"/>
      <x:c r="N663" s="68" t="str"/>
      <x:c r="O663" s="68" t="str">
        <x:v>63.0</x:v>
      </x:c>
      <x:c r="P663" s="68" t="str"/>
    </x:row>
    <x:row r="664">
      <x:c r="A664" s="106" t="n">
        <x:v>20</x:v>
      </x:c>
      <x:c r="B664" s="106" t="str">
        <x:v>663</x:v>
      </x:c>
      <x:c r="C664" s="167" t="str">
        <x:f>"096211013201"</x:f>
        <x:v>096211013201</x:v>
      </x:c>
      <x:c r="D664" s="68" t="str">
        <x:v>CAO PHd TRQNG</x:v>
      </x:c>
      <x:c r="E664" s="68" t="str"/>
      <x:c r="F664" s="68" t="str">
        <x:v>23/1 1/2011</x:v>
      </x:c>
      <x:c r="G664" s="68" t="str">
        <x:v>Kinh</x:v>
      </x:c>
      <x:c r="H664" s="68" t="str">
        <x:v>Xa Bian Bach</x:v>
      </x:c>
      <x:c r="I664" s="68" t="str">
        <x:v>THCS Phu6c Long</x:v>
      </x:c>
      <x:c r="J664" s="68" t="str">
        <x:v>Xa Vinh Phudc</x:v>
      </x:c>
      <x:c r="K664" s="68" t="str">
        <x:v>29.0</x:v>
      </x:c>
      <x:c r="L664" s="68" t="str">
        <x:v>34</x:v>
      </x:c>
      <x:c r="M664" s="68" t="str"/>
      <x:c r="N664" s="68" t="str"/>
      <x:c r="O664" s="68" t="str">
        <x:v>63.0</x:v>
      </x:c>
      <x:c r="P664" s="68" t="str"/>
    </x:row>
    <x:row r="665">
      <x:c r="A665" s="106" t="n">
        <x:v>20</x:v>
      </x:c>
      <x:c r="B665" s="106" t="str">
        <x:v>664</x:v>
      </x:c>
      <x:c r="C665" s="167" t="str">
        <x:f>"09531 1002921"</x:f>
        <x:v>09531 1002921</x:v>
      </x:c>
      <x:c r="D665" s="68" t="str">
        <x:v>BtII NGQC DEEM</x:v>
      </x:c>
      <x:c r="E665" s="68" t="str">
        <x:v>X I</x:v>
      </x:c>
      <x:c r="F665" s="68" t="str">
        <x:v>04/11/2011 1</x:v>
      </x:c>
      <x:c r="G665" s="68" t="str">
        <x:v>Kinh</x:v>
      </x:c>
      <x:c r="H665" s="68" t="str">
        <x:v>Xa Phu6c Long</x:v>
      </x:c>
      <x:c r="I665" s="68" t="str">
        <x:v>THCS Vuang Hall Nhan</x:v>
      </x:c>
      <x:c r="J665" s="68" t="str">
        <x:v>Xa Phu6c Long</x:v>
      </x:c>
      <x:c r="K665" s="68" t="str">
        <x:v>29.0</x:v>
      </x:c>
      <x:c r="L665" s="68" t="str">
        <x:v>34</x:v>
      </x:c>
      <x:c r="M665" s="68" t="str"/>
      <x:c r="N665" s="68" t="str"/>
      <x:c r="O665" s="68" t="str">
        <x:v>63.0</x:v>
      </x:c>
      <x:c r="P665" s="68" t="str"/>
    </x:row>
    <x:row r="666">
      <x:c r="A666" s="106" t="n">
        <x:v>20</x:v>
      </x:c>
      <x:c r="B666" s="106" t="str">
        <x:v>665</x:v>
      </x:c>
      <x:c r="C666" s="167" t="str">
        <x:f>"095211006922"</x:f>
        <x:v>095211006922</x:v>
      </x:c>
      <x:c r="D666" s="68" t="str">
        <x:v>NGUYEN HOANG GLANG</x:v>
      </x:c>
      <x:c r="E666" s="68" t="str"/>
      <x:c r="F666" s="68" t="str">
        <x:v>12/10/2011</x:v>
      </x:c>
      <x:c r="G666" s="68" t="str">
        <x:v>Kinh</x:v>
      </x:c>
      <x:c r="H666" s="68" t="str">
        <x:v>Xg Wnh Phudc</x:v>
      </x:c>
      <x:c r="I666" s="68" t="str">
        <x:v>THCS Vinh Pha Tay</x:v>
      </x:c>
      <x:c r="J666" s="68" t="str">
        <x:v>Xa Vinh phu6c</x:v>
      </x:c>
      <x:c r="K666" s="68" t="str">
        <x:v>28.9</x:v>
      </x:c>
      <x:c r="L666" s="68" t="str">
        <x:v>34</x:v>
      </x:c>
      <x:c r="M666" s="68" t="str"/>
      <x:c r="N666" s="68" t="str"/>
      <x:c r="O666" s="68" t="str">
        <x:v>62.9</x:v>
      </x:c>
      <x:c r="P666" s="68" t="str"/>
    </x:row>
    <x:row r="667">
      <x:c r="A667" s="106" t="n">
        <x:v>20</x:v>
      </x:c>
      <x:c r="B667" s="106" t="str">
        <x:v>666</x:v>
      </x:c>
      <x:c r="C667" s="167" t="str">
        <x:f>"09521 1007546"</x:f>
        <x:v>09521 1007546</x:v>
      </x:c>
      <x:c r="D667" s="68" t="str">
        <x:v>TRAN TRU6NG THWH 1</x:v>
      </x:c>
      <x:c r="E667" s="68" t="str">
        <x:v>1</x:v>
      </x:c>
      <x:c r="F667" s="68" t="str">
        <x:v>18/09/2011 1</x:v>
      </x:c>
      <x:c r="G667" s="68" t="str">
        <x:v>Kinh</x:v>
      </x:c>
      <x:c r="H667" s="68" t="str">
        <x:v>Xa Vrnh Thanh</x:v>
      </x:c>
      <x:c r="I667" s="68" t="str">
        <x:v>THCS Vinh Thanh</x:v>
      </x:c>
      <x:c r="J667" s="68" t="str">
        <x:v>Xa Vinh Thanh</x:v>
      </x:c>
      <x:c r="K667" s="68" t="str">
        <x:v>28.9</x:v>
      </x:c>
      <x:c r="L667" s="68" t="str">
        <x:v>34</x:v>
      </x:c>
      <x:c r="M667" s="68" t="str"/>
      <x:c r="N667" s="68" t="str"/>
      <x:c r="O667" s="68" t="str">
        <x:v>62.9</x:v>
      </x:c>
      <x:c r="P667" s="68" t="str"/>
    </x:row>
    <x:row r="668">
      <x:c r="A668" s="106" t="n">
        <x:v>20</x:v>
      </x:c>
      <x:c r="B668" s="106" t="str">
        <x:v>667</x:v>
      </x:c>
      <x:c r="C668" s="167" t="str">
        <x:f>"095310007792"</x:f>
        <x:v>095310007792</x:v>
      </x:c>
      <x:c r="D668" s="68" t="str">
        <x:v>LtlU KHA Al</x:v>
      </x:c>
      <x:c r="E668" s="68" t="str">
        <x:v>X</x:v>
      </x:c>
      <x:c r="F668" s="68" t="str">
        <x:v>29/08/2010</x:v>
      </x:c>
      <x:c r="G668" s="68" t="str">
        <x:v>Kinh</x:v>
      </x:c>
      <x:c r="H668" s="68" t="str">
        <x:v>Xa \anh Thanh</x:v>
      </x:c>
      <x:c r="I668" s="68" t="str">
        <x:v>THCS Vinh Thanh</x:v>
      </x:c>
      <x:c r="J668" s="68" t="str">
        <x:v>Xa Vinh Thanh</x:v>
      </x:c>
      <x:c r="K668" s="68" t="str">
        <x:v>28.9</x:v>
      </x:c>
      <x:c r="L668" s="68" t="str">
        <x:v>34</x:v>
      </x:c>
      <x:c r="M668" s="68" t="str"/>
      <x:c r="N668" s="68" t="str"/>
      <x:c r="O668" s="68" t="str">
        <x:v>62.9</x:v>
      </x:c>
      <x:c r="P668" s="68" t="str"/>
    </x:row>
    <x:row r="669">
      <x:c r="A669" s="106" t="n">
        <x:v>20</x:v>
      </x:c>
      <x:c r="B669" s="106" t="str">
        <x:v>668</x:v>
      </x:c>
      <x:c r="C669" s="167" t="str">
        <x:f>"095211001592"</x:f>
        <x:v>095211001592</x:v>
      </x:c>
      <x:c r="D669" s="68" t="str">
        <x:v>LE TRi CU'dNG</x:v>
      </x:c>
      <x:c r="E669" s="68" t="str">
        <x:v>1</x:v>
      </x:c>
      <x:c r="F669" s="68" t="str">
        <x:v>18/09/2011 1</x:v>
      </x:c>
      <x:c r="G669" s="68" t="str">
        <x:v>Kinh</x:v>
      </x:c>
      <x:c r="H669" s="68" t="str">
        <x:v>Xa Hang Dan</x:v>
      </x:c>
      <x:c r="I669" s="68" t="str">
        <x:v>THCS Phudc Long</x:v>
      </x:c>
      <x:c r="J669" s="68" t="str">
        <x:v>Xa Vinh phudc</x:v>
      </x:c>
      <x:c r="K669" s="68" t="str">
        <x:v>29.9</x:v>
      </x:c>
      <x:c r="L669" s="68" t="str">
        <x:v>33</x:v>
      </x:c>
      <x:c r="M669" s="68" t="str"/>
      <x:c r="N669" s="68" t="str"/>
      <x:c r="O669" s="68" t="str">
        <x:v>62.9</x:v>
      </x:c>
      <x:c r="P669" s="68" t="str"/>
    </x:row>
    <x:row r="670">
      <x:c r="A670" s="106" t="n">
        <x:v>20</x:v>
      </x:c>
      <x:c r="B670" s="106" t="str">
        <x:v>669</x:v>
      </x:c>
      <x:c r="C670" s="167" t="str">
        <x:f>"0952 1 1001256"</x:f>
        <x:v>0952 1 1001256</x:v>
      </x:c>
      <x:c r="D670" s="68" t="str">
        <x:v>NGUY£N HOANG PHI</x:v>
      </x:c>
      <x:c r="E670" s="68" t="str">
        <x:v>1</x:v>
      </x:c>
      <x:c r="F670" s="68" t="str">
        <x:v>13/10/2011 1</x:v>
      </x:c>
      <x:c r="G670" s="68" t="str">
        <x:v>Kinh Kinh I</x:v>
      </x:c>
      <x:c r="H670" s="68" t="str">
        <x:v>Xa Phu6c Long</x:v>
      </x:c>
      <x:c r="I670" s="68" t="str">
        <x:v>THCS Phu6c Long</x:v>
      </x:c>
      <x:c r="J670" s="68" t="str">
        <x:v>Xa Phu6c Long</x:v>
      </x:c>
      <x:c r="K670" s="68" t="str">
        <x:v>28.9</x:v>
      </x:c>
      <x:c r="L670" s="68" t="str">
        <x:v>34</x:v>
      </x:c>
      <x:c r="M670" s="68" t="str"/>
      <x:c r="N670" s="68" t="str"/>
      <x:c r="O670" s="68" t="str">
        <x:v>62.9</x:v>
      </x:c>
      <x:c r="P670" s="68" t="str"/>
    </x:row>
    <x:row r="671">
      <x:c r="A671" s="106" t="n">
        <x:v>20</x:v>
      </x:c>
      <x:c r="B671" s="106" t="str">
        <x:v>670</x:v>
      </x:c>
      <x:c r="C671" s="167" t="str">
        <x:f>"095311004055"</x:f>
        <x:v>095311004055</x:v>
      </x:c>
      <x:c r="D671" s="68" t="str">
        <x:v>Li THI TtraNG VY</x:v>
      </x:c>
      <x:c r="E671" s="68" t="str">
        <x:v>X</x:v>
      </x:c>
      <x:c r="F671" s="68" t="str">
        <x:v>15/1 1/2011</x:v>
      </x:c>
      <x:c r="G671" s="68" t="str">
        <x:v>Kinh</x:v>
      </x:c>
      <x:c r="H671" s="68" t="str">
        <x:v>Xa Vinh Phudc</x:v>
      </x:c>
      <x:c r="I671" s="68" t="str">
        <x:v>THCS VTnh Pha Tay</x:v>
      </x:c>
      <x:c r="J671" s="68" t="str">
        <x:v>Xa Vinh Phu6c</x:v>
      </x:c>
      <x:c r="K671" s="68" t="str">
        <x:v>29.8</x:v>
      </x:c>
      <x:c r="L671" s="68" t="str">
        <x:v>33</x:v>
      </x:c>
      <x:c r="M671" s="68" t="str"/>
      <x:c r="N671" s="68" t="str"/>
      <x:c r="O671" s="68" t="str">
        <x:v>62.8</x:v>
      </x:c>
      <x:c r="P671" s="68" t="str"/>
    </x:row>
    <x:row r="672">
      <x:c r="A672" s="106" t="n">
        <x:v>20</x:v>
      </x:c>
      <x:c r="B672" s="106" t="str">
        <x:v>671</x:v>
      </x:c>
      <x:c r="C672" s="167" t="str">
        <x:f>"0953 1 1003785"</x:f>
        <x:v>0953 1 1003785</x:v>
      </x:c>
      <x:c r="D672" s="68" t="str">
        <x:v>NGUY£N TUdMC VI</x:v>
      </x:c>
      <x:c r="E672" s="68" t="str">
        <x:v>X</x:v>
      </x:c>
      <x:c r="F672" s="68" t="str">
        <x:v>01/08/2011</x:v>
      </x:c>
      <x:c r="G672" s="68" t="str">
        <x:v>Kinh</x:v>
      </x:c>
      <x:c r="H672" s="68" t="str">
        <x:v>Xa Phu6c Long</x:v>
      </x:c>
      <x:c r="I672" s="68" t="str">
        <x:v>THCS PhMc Long</x:v>
      </x:c>
      <x:c r="J672" s="68" t="str">
        <x:v>Xa Phudc Long</x:v>
      </x:c>
      <x:c r="K672" s="68" t="str">
        <x:v>28.7</x:v>
      </x:c>
      <x:c r="L672" s="68" t="str">
        <x:v>34</x:v>
      </x:c>
      <x:c r="M672" s="68" t="str"/>
      <x:c r="N672" s="68" t="str"/>
      <x:c r="O672" s="68" t="str">
        <x:v>62.7</x:v>
      </x:c>
      <x:c r="P672" s="68" t="str"/>
    </x:row>
    <x:row r="673">
      <x:c r="A673" s="106" t="n">
        <x:v>20</x:v>
      </x:c>
      <x:c r="B673" s="106" t="str">
        <x:v>672</x:v>
      </x:c>
      <x:c r="C673" s="167" t="str">
        <x:f>"095211010016"</x:f>
        <x:v>095211010016</x:v>
      </x:c>
      <x:c r="D673" s="68" t="str">
        <x:v>TRU’aNG CHi KUNG</x:v>
      </x:c>
      <x:c r="E673" s="68" t="str"/>
      <x:c r="F673" s="68" t="str">
        <x:v>06/05/2011</x:v>
      </x:c>
      <x:c r="G673" s="68" t="str">
        <x:v>Kinh</x:v>
      </x:c>
      <x:c r="H673" s="68" t="str">
        <x:v>Xa Phu6c Long</x:v>
      </x:c>
      <x:c r="I673" s="68" t="str">
        <x:v>THCS Vuang IIeu Nhon</x:v>
      </x:c>
      <x:c r="J673" s="68" t="str">
        <x:v>Xa Phu6c Long</x:v>
      </x:c>
      <x:c r="K673" s="68" t="str">
        <x:v>28.7</x:v>
      </x:c>
      <x:c r="L673" s="68" t="str">
        <x:v>34</x:v>
      </x:c>
      <x:c r="M673" s="68" t="str"/>
      <x:c r="N673" s="68" t="str"/>
      <x:c r="O673" s="68" t="str">
        <x:v>62.7</x:v>
      </x:c>
      <x:c r="P673" s="68" t="str"/>
    </x:row>
    <x:row r="674">
      <x:c r="A674" s="106" t="n">
        <x:v>20</x:v>
      </x:c>
      <x:c r="B674" s="106" t="str">
        <x:v>673</x:v>
      </x:c>
      <x:c r="C674" s="167" t="str">
        <x:f>"09531 1008075"</x:f>
        <x:v>09531 1008075</x:v>
      </x:c>
      <x:c r="D674" s="68" t="str">
        <x:v>NGUyEN THr crrOc NHa J I</x:v>
      </x:c>
      <x:c r="E674" s="68" t="str">
        <x:v>x X 1</x:v>
      </x:c>
      <x:c r="F674" s="68" t="str">
        <x:v>02/05/2011 1</x:v>
      </x:c>
      <x:c r="G674" s="68" t="str">
        <x:v>Kinh Kinh I</x:v>
      </x:c>
      <x:c r="H674" s="68" t="str">
        <x:v>Xa Phudc Long</x:v>
      </x:c>
      <x:c r="I674" s="68" t="str">
        <x:v>THCS Vuang Htru Nhan</x:v>
      </x:c>
      <x:c r="J674" s="68" t="str">
        <x:v>Xa Phu6c Long</x:v>
      </x:c>
      <x:c r="K674" s="68" t="str">
        <x:v>28.7</x:v>
      </x:c>
      <x:c r="L674" s="68" t="str">
        <x:v>34</x:v>
      </x:c>
      <x:c r="M674" s="68" t="str"/>
      <x:c r="N674" s="68" t="str"/>
      <x:c r="O674" s="68" t="str">
        <x:v>62.7</x:v>
      </x:c>
      <x:c r="P674" s="68" t="str"/>
    </x:row>
    <x:row r="675">
      <x:c r="A675" s="106" t="n">
        <x:v>20</x:v>
      </x:c>
      <x:c r="B675" s="106" t="str">
        <x:v>674</x:v>
      </x:c>
      <x:c r="C675" s="167" t="str">
        <x:f>"0953 1 1002139"</x:f>
        <x:v>0953 1 1002139</x:v>
      </x:c>
      <x:c r="D675" s="68" t="str">
        <x:v>vO NGUYEN BiCH Hap</x:v>
      </x:c>
      <x:c r="E675" s="68" t="str">
        <x:v>X</x:v>
      </x:c>
      <x:c r="F675" s="68" t="str">
        <x:v>03/12/2011</x:v>
      </x:c>
      <x:c r="G675" s="68" t="str">
        <x:v>Kinh</x:v>
      </x:c>
      <x:c r="H675" s="68" t="str">
        <x:v>Xa Phu6c Long</x:v>
      </x:c>
      <x:c r="I675" s="68" t="str">
        <x:v>THCS Phudc Long</x:v>
      </x:c>
      <x:c r="J675" s="68" t="str">
        <x:v>Xa Phu M Long</x:v>
      </x:c>
      <x:c r="K675" s="68" t="str">
        <x:v>28.6</x:v>
      </x:c>
      <x:c r="L675" s="68" t="str">
        <x:v>34</x:v>
      </x:c>
      <x:c r="M675" s="68" t="str"/>
      <x:c r="N675" s="68" t="str"/>
      <x:c r="O675" s="68" t="str">
        <x:v>62.6</x:v>
      </x:c>
      <x:c r="P675" s="68" t="str"/>
    </x:row>
    <x:row r="676">
      <x:c r="A676" s="106" t="n">
        <x:v>21</x:v>
      </x:c>
      <x:c r="B676" s="106" t="str">
        <x:v>675</x:v>
      </x:c>
      <x:c r="C676" s="167" t="str">
        <x:f>"0953 1 1005377"</x:f>
        <x:v>0953 1 1005377</x:v>
      </x:c>
      <x:c r="D676" s="68" t="str">
        <x:v>LB NGUYEN KHA VY</x:v>
      </x:c>
      <x:c r="E676" s="68" t="str">
        <x:v>X</x:v>
      </x:c>
      <x:c r="F676" s="68" t="str">
        <x:v>23/08/2011</x:v>
      </x:c>
      <x:c r="G676" s="68" t="str">
        <x:v>Kinh</x:v>
      </x:c>
      <x:c r="H676" s="68" t="str">
        <x:v>Xa Vrnh Thanh</x:v>
      </x:c>
      <x:c r="I676" s="68" t="str">
        <x:v>THCS Hung Pha</x:v>
      </x:c>
      <x:c r="J676" s="68" t="str">
        <x:v>Xa Vmh Thanh</x:v>
      </x:c>
      <x:c r="K676" s="68" t="str">
        <x:v>28.5</x:v>
      </x:c>
      <x:c r="L676" s="68" t="str">
        <x:v>34</x:v>
      </x:c>
      <x:c r="M676" s="68" t="str"/>
      <x:c r="N676" s="68" t="str"/>
      <x:c r="O676" s="68" t="str">
        <x:v>62.5</x:v>
      </x:c>
      <x:c r="P676" s="68" t="str"/>
    </x:row>
    <x:row r="677">
      <x:c r="A677" s="106" t="n">
        <x:v>21</x:v>
      </x:c>
      <x:c r="B677" s="106" t="str">
        <x:v>676</x:v>
      </x:c>
      <x:c r="C677" s="167" t="str">
        <x:f>"0953 1 1001 075"</x:f>
        <x:v>0953 1 1001 075</x:v>
      </x:c>
      <x:c r="D677" s="68" t="str">
        <x:v>NGtrY£N THI vAN ANH</x:v>
      </x:c>
      <x:c r="E677" s="68" t="str">
        <x:v>X</x:v>
      </x:c>
      <x:c r="F677" s="68" t="str">
        <x:v>05/01/201 1</x:v>
      </x:c>
      <x:c r="G677" s="68" t="str">
        <x:v>Kinh</x:v>
      </x:c>
      <x:c r="H677" s="68" t="str">
        <x:v>Xa VTnh Thanh</x:v>
      </x:c>
      <x:c r="I677" s="68" t="str">
        <x:v>THCS Hung Phd</x:v>
      </x:c>
      <x:c r="J677" s="68" t="str">
        <x:v>Xa Vinh Thanh</x:v>
      </x:c>
      <x:c r="K677" s="68" t="str">
        <x:v>28.5</x:v>
      </x:c>
      <x:c r="L677" s="68" t="str">
        <x:v>34</x:v>
      </x:c>
      <x:c r="M677" s="68" t="str"/>
      <x:c r="N677" s="68" t="str"/>
      <x:c r="O677" s="68" t="str">
        <x:v>62.5</x:v>
      </x:c>
      <x:c r="P677" s="68" t="str"/>
    </x:row>
    <x:row r="678">
      <x:c r="A678" s="106" t="n">
        <x:v>21</x:v>
      </x:c>
      <x:c r="B678" s="106" t="str">
        <x:v>677</x:v>
      </x:c>
      <x:c r="C678" s="167" t="str">
        <x:f>"095211008191"</x:f>
        <x:v>095211008191</x:v>
      </x:c>
      <x:c r="D678" s="68" t="str">
        <x:v>TRAN GLA KIET</x:v>
      </x:c>
      <x:c r="E678" s="68" t="str"/>
      <x:c r="F678" s="68" t="str">
        <x:v>16/06/201 1</x:v>
      </x:c>
      <x:c r="G678" s="68" t="str">
        <x:v>Kinh</x:v>
      </x:c>
      <x:c r="H678" s="68" t="str">
        <x:v>Xa Vmh Phudc</x:v>
      </x:c>
      <x:c r="I678" s="68" t="str">
        <x:v>THCS VTnh Pha Tay</x:v>
      </x:c>
      <x:c r="J678" s="68" t="str">
        <x:v>Xa Vinh Phu6c</x:v>
      </x:c>
      <x:c r="K678" s="68" t="str">
        <x:v>27.3</x:v>
      </x:c>
      <x:c r="L678" s="68" t="str">
        <x:v>34</x:v>
      </x:c>
      <x:c r="M678" s="68" t="str">
        <x:v>1.0</x:v>
      </x:c>
      <x:c r="N678" s="68" t="str"/>
      <x:c r="O678" s="68" t="str">
        <x:v>62.3</x:v>
      </x:c>
      <x:c r="P678" s="68" t="str"/>
    </x:row>
    <x:row r="679">
      <x:c r="A679" s="106" t="n">
        <x:v>21</x:v>
      </x:c>
      <x:c r="B679" s="106" t="str">
        <x:v>678</x:v>
      </x:c>
      <x:c r="C679" s="167" t="str">
        <x:f>"095211003209"</x:f>
        <x:v>095211003209</x:v>
      </x:c>
      <x:c r="D679" s="68" t="str">
        <x:v>TRAN TRUNG HAO</x:v>
      </x:c>
      <x:c r="E679" s="68" t="str"/>
      <x:c r="F679" s="68" t="str">
        <x:v>11/12/2011</x:v>
      </x:c>
      <x:c r="G679" s="68" t="str">
        <x:v>Kinh</x:v>
      </x:c>
      <x:c r="H679" s="68" t="str">
        <x:v>Xa Phu6c Long</x:v>
      </x:c>
      <x:c r="I679" s="68" t="str">
        <x:v>THCS Phudc Long</x:v>
      </x:c>
      <x:c r="J679" s="68" t="str">
        <x:v>Xa Phu6c Long</x:v>
      </x:c>
      <x:c r="K679" s="68" t="str">
        <x:v>28.2</x:v>
      </x:c>
      <x:c r="L679" s="68" t="str">
        <x:v>34</x:v>
      </x:c>
      <x:c r="M679" s="68" t="str"/>
      <x:c r="N679" s="68" t="str"/>
      <x:c r="O679" s="68" t="str">
        <x:v>62.2</x:v>
      </x:c>
      <x:c r="P679" s="68" t="str"/>
    </x:row>
    <x:row r="680">
      <x:c r="A680" s="106" t="n">
        <x:v>21</x:v>
      </x:c>
      <x:c r="B680" s="106" t="str">
        <x:v>679</x:v>
      </x:c>
      <x:c r="C680" s="167" t="str">
        <x:f>"095211003701"</x:f>
        <x:v>095211003701</x:v>
      </x:c>
      <x:c r="D680" s="68" t="str">
        <x:v>NGUY£N GLA KV</x:v>
      </x:c>
      <x:c r="E680" s="68" t="str"/>
      <x:c r="F680" s="68" t="str">
        <x:v>27/10/201 1</x:v>
      </x:c>
      <x:c r="G680" s="68" t="str">
        <x:v>Kinh</x:v>
      </x:c>
      <x:c r="H680" s="68" t="str">
        <x:v>Xa Phu6c Long</x:v>
      </x:c>
      <x:c r="I680" s="68" t="str">
        <x:v>THCS Phudc Long</x:v>
      </x:c>
      <x:c r="J680" s="68" t="str">
        <x:v>Xa Phu6c Long</x:v>
      </x:c>
      <x:c r="K680" s="68" t="str">
        <x:v>28.2</x:v>
      </x:c>
      <x:c r="L680" s="68" t="str">
        <x:v>34</x:v>
      </x:c>
      <x:c r="M680" s="68" t="str"/>
      <x:c r="N680" s="68" t="str"/>
      <x:c r="O680" s="68" t="str">
        <x:v>62.2</x:v>
      </x:c>
      <x:c r="P680" s="68" t="str"/>
    </x:row>
    <x:row r="681">
      <x:c r="A681" s="106" t="n">
        <x:v>21</x:v>
      </x:c>
      <x:c r="B681" s="106" t="str">
        <x:v>680</x:v>
      </x:c>
      <x:c r="C681" s="167" t="str">
        <x:f>"0953 1 1004940"</x:f>
        <x:v>0953 1 1004940</x:v>
      </x:c>
      <x:c r="D681" s="68" t="str">
        <x:v>LE NUAN AI</x:v>
      </x:c>
      <x:c r="E681" s="68" t="str">
        <x:v>X</x:v>
      </x:c>
      <x:c r="F681" s="68" t="str">
        <x:v>20/06/2011</x:v>
      </x:c>
      <x:c r="G681" s="68" t="str">
        <x:v>Kinh</x:v>
      </x:c>
      <x:c r="H681" s="68" t="str">
        <x:v>Xa VTnh Phu(!c</x:v>
      </x:c>
      <x:c r="I681" s="68" t="str">
        <x:v>THCS Wnh Pha Tay</x:v>
      </x:c>
      <x:c r="J681" s="68" t="str">
        <x:v>Xa Vinh Phudc</x:v>
      </x:c>
      <x:c r="K681" s="68" t="str">
        <x:v>29.2</x:v>
      </x:c>
      <x:c r="L681" s="68" t="str">
        <x:v>33</x:v>
      </x:c>
      <x:c r="M681" s="68" t="str"/>
      <x:c r="N681" s="68" t="str"/>
      <x:c r="O681" s="68" t="str">
        <x:v>62.2</x:v>
      </x:c>
      <x:c r="P681" s="68" t="str"/>
    </x:row>
    <x:row r="682">
      <x:c r="A682" s="106" t="n">
        <x:v>21</x:v>
      </x:c>
      <x:c r="B682" s="106" t="str">
        <x:v>681</x:v>
      </x:c>
      <x:c r="C682" s="167" t="str">
        <x:f>"095211002280"</x:f>
        <x:v>095211002280</x:v>
      </x:c>
      <x:c r="D682" s="68" t="str">
        <x:v>NGUYeN GLA KHr£M</x:v>
      </x:c>
      <x:c r="E682" s="68" t="str"/>
      <x:c r="F682" s="68" t="str">
        <x:v>27/10/201 1</x:v>
      </x:c>
      <x:c r="G682" s="68" t="str">
        <x:v>Kinh</x:v>
      </x:c>
      <x:c r="H682" s="68" t="str">
        <x:v>Xa Phudc Long</x:v>
      </x:c>
      <x:c r="I682" s="68" t="str">
        <x:v>THCS Phudc Long</x:v>
      </x:c>
      <x:c r="J682" s="68" t="str">
        <x:v>Xa Phudc Long</x:v>
      </x:c>
      <x:c r="K682" s="68" t="str">
        <x:v>28. 1</x:v>
      </x:c>
      <x:c r="L682" s="68" t="str">
        <x:v>34</x:v>
      </x:c>
      <x:c r="M682" s="68" t="str"/>
      <x:c r="N682" s="68" t="str"/>
      <x:c r="O682" s="68" t="str">
        <x:v>62.1</x:v>
      </x:c>
      <x:c r="P682" s="68" t="str"/>
    </x:row>
    <x:row r="683">
      <x:c r="A683" s="106" t="n">
        <x:v>21</x:v>
      </x:c>
      <x:c r="B683" s="106" t="str">
        <x:v>682</x:v>
      </x:c>
      <x:c r="C683" s="167" t="str">
        <x:f>"095211005738"</x:f>
        <x:v>095211005738</x:v>
      </x:c>
      <x:c r="D683" s="68" t="str">
        <x:v>NGUY£N GLA TU'CJNG</x:v>
      </x:c>
      <x:c r="E683" s="68" t="str"/>
      <x:c r="F683" s="68" t="str">
        <x:v>12/05/2011</x:v>
      </x:c>
      <x:c r="G683" s="68" t="str">
        <x:v>Kinh</x:v>
      </x:c>
      <x:c r="H683" s="68" t="str">
        <x:v>Xa Hang Dan</x:v>
      </x:c>
      <x:c r="I683" s="68" t="str">
        <x:v>THCS Tnrang Vinh KV</x:v>
      </x:c>
      <x:c r="J683" s="68" t="str">
        <x:v>Xa H6ng Dan</x:v>
      </x:c>
      <x:c r="K683" s="68" t="str">
        <x:v>28.1</x:v>
      </x:c>
      <x:c r="L683" s="68" t="str">
        <x:v>34</x:v>
      </x:c>
      <x:c r="M683" s="68" t="str"/>
      <x:c r="N683" s="68" t="str"/>
      <x:c r="O683" s="68" t="str">
        <x:v>62.1</x:v>
      </x:c>
      <x:c r="P683" s="68" t="str"/>
    </x:row>
    <x:row r="684">
      <x:c r="A684" s="106" t="n">
        <x:v>21</x:v>
      </x:c>
      <x:c r="B684" s="106" t="str">
        <x:v>683</x:v>
      </x:c>
      <x:c r="C684" s="167" t="str">
        <x:f>"095311005807"</x:f>
        <x:v>095311005807</x:v>
      </x:c>
      <x:c r="D684" s="68" t="str">
        <x:v>NGUyEN KI£U THU</x:v>
      </x:c>
      <x:c r="E684" s="68" t="str">
        <x:v>X</x:v>
      </x:c>
      <x:c r="F684" s="68" t="str">
        <x:v>28/05/2011</x:v>
      </x:c>
      <x:c r="G684" s="68" t="str">
        <x:v>Kinh</x:v>
      </x:c>
      <x:c r="H684" s="68" t="str">
        <x:v>Xa Vinh Thanh</x:v>
      </x:c>
      <x:c r="I684" s="68" t="str">
        <x:v>THCS Hung Phd</x:v>
      </x:c>
      <x:c r="J684" s="68" t="str">
        <x:v>Xa Wnh Thanh</x:v>
      </x:c>
      <x:c r="K684" s="68" t="str">
        <x:v>28.0</x:v>
      </x:c>
      <x:c r="L684" s="68" t="str">
        <x:v>34</x:v>
      </x:c>
      <x:c r="M684" s="68" t="str"/>
      <x:c r="N684" s="68" t="str"/>
      <x:c r="O684" s="68" t="str">
        <x:v>62.0</x:v>
      </x:c>
      <x:c r="P684" s="68" t="str"/>
    </x:row>
    <x:row r="685">
      <x:c r="A685" s="106" t="n">
        <x:v>21</x:v>
      </x:c>
      <x:c r="B685" s="106" t="str">
        <x:v>684</x:v>
      </x:c>
      <x:c r="C685" s="167" t="str">
        <x:f>"09521 1009223"</x:f>
        <x:v>09521 1009223</x:v>
      </x:c>
      <x:c r="D685" s="68" t="str">
        <x:v>TRANG GIA LAM</x:v>
      </x:c>
      <x:c r="E685" s="68" t="str"/>
      <x:c r="F685" s="68" t="str">
        <x:v>14/09/201 1</x:v>
      </x:c>
      <x:c r="G685" s="68" t="str">
        <x:v>Kinh</x:v>
      </x:c>
      <x:c r="H685" s="68" t="str">
        <x:v>Xa Flnh Thanh</x:v>
      </x:c>
      <x:c r="I685" s="68" t="str">
        <x:v>THCS Hung Pha</x:v>
      </x:c>
      <x:c r="J685" s="68" t="str">
        <x:v>Xa Vrnh Thanh</x:v>
      </x:c>
      <x:c r="K685" s="68" t="str">
        <x:v>28.0</x:v>
      </x:c>
      <x:c r="L685" s="68" t="str">
        <x:v>34</x:v>
      </x:c>
      <x:c r="M685" s="68" t="str"/>
      <x:c r="N685" s="68" t="str"/>
      <x:c r="O685" s="68" t="str">
        <x:v>62.0</x:v>
      </x:c>
      <x:c r="P685" s="68" t="str"/>
    </x:row>
    <x:row r="686">
      <x:c r="A686" s="106" t="n">
        <x:v>21</x:v>
      </x:c>
      <x:c r="B686" s="106" t="str">
        <x:v>685</x:v>
      </x:c>
      <x:c r="C686" s="167" t="str">
        <x:f>"0953 10007899"</x:f>
        <x:v>0953 10007899</x:v>
      </x:c>
      <x:c r="D686" s="68" t="str">
        <x:v>HaNG AI NHI</x:v>
      </x:c>
      <x:c r="E686" s="68" t="str">
        <x:v>X</x:v>
      </x:c>
      <x:c r="F686" s="68" t="str">
        <x:v>09/01/2010</x:v>
      </x:c>
      <x:c r="G686" s="68" t="str">
        <x:v>Kinh</x:v>
      </x:c>
      <x:c r="H686" s="68" t="str">
        <x:v>Xa \4nh Thanh</x:v>
      </x:c>
      <x:c r="I686" s="68" t="str">
        <x:v>THCS Frnh Thanh</x:v>
      </x:c>
      <x:c r="J686" s="68" t="str">
        <x:v>Xa Fmh Thanh</x:v>
      </x:c>
      <x:c r="K686" s="68" t="str">
        <x:v>28.0</x:v>
      </x:c>
      <x:c r="L686" s="68" t="str">
        <x:v>34</x:v>
      </x:c>
      <x:c r="M686" s="68" t="str"/>
      <x:c r="N686" s="68" t="str"/>
      <x:c r="O686" s="68" t="str">
        <x:v>62.0</x:v>
      </x:c>
      <x:c r="P686" s="68" t="str"/>
    </x:row>
    <x:row r="687">
      <x:c r="A687" s="106" t="n">
        <x:v>21</x:v>
      </x:c>
      <x:c r="B687" s="106" t="str">
        <x:v>686</x:v>
      </x:c>
      <x:c r="C687" s="167" t="str">
        <x:f>"095211007116"</x:f>
        <x:v>095211007116</x:v>
      </x:c>
      <x:c r="D687" s="68" t="str">
        <x:v>NGUYeN TAN BO</x:v>
      </x:c>
      <x:c r="E687" s="68" t="str"/>
      <x:c r="F687" s="68" t="str">
        <x:v>28/12/2011</x:v>
      </x:c>
      <x:c r="G687" s="68" t="str">
        <x:v>Kinh</x:v>
      </x:c>
      <x:c r="H687" s="68" t="str">
        <x:v>Xa Wmh Thanh</x:v>
      </x:c>
      <x:c r="I687" s="68" t="str">
        <x:v>THCS Vinh Thanh</x:v>
      </x:c>
      <x:c r="J687" s="68" t="str">
        <x:v>Xa Vrnh Thanh</x:v>
      </x:c>
      <x:c r="K687" s="68" t="str">
        <x:v>28.0</x:v>
      </x:c>
      <x:c r="L687" s="68" t="str">
        <x:v>34</x:v>
      </x:c>
      <x:c r="M687" s="68" t="str"/>
      <x:c r="N687" s="68" t="str"/>
      <x:c r="O687" s="68" t="str">
        <x:v>62.0</x:v>
      </x:c>
      <x:c r="P687" s="68" t="str"/>
    </x:row>
    <x:row r="688">
      <x:c r="A688" s="106" t="n">
        <x:v>21</x:v>
      </x:c>
      <x:c r="B688" s="106" t="str">
        <x:v>687</x:v>
      </x:c>
      <x:c r="C688" s="167" t="str">
        <x:f>"09521 1000153"</x:f>
        <x:v>09521 1000153</x:v>
      </x:c>
      <x:c r="D688" s="68" t="str">
        <x:v>NGUYEN Htlu HIEU</x:v>
      </x:c>
      <x:c r="E688" s="68" t="str"/>
      <x:c r="F688" s="68" t="str">
        <x:v>08/05/2011</x:v>
      </x:c>
      <x:c r="G688" s="68" t="str">
        <x:v>Kinh</x:v>
      </x:c>
      <x:c r="H688" s="68" t="str">
        <x:v>Xa Phu6c Long</x:v>
      </x:c>
      <x:c r="I688" s="68" t="str">
        <x:v>THCS Vuang Hfru Nhan</x:v>
      </x:c>
      <x:c r="J688" s="68" t="str">
        <x:v>Xa Phu6c Long</x:v>
      </x:c>
      <x:c r="K688" s="68" t="str">
        <x:v>27.9</x:v>
      </x:c>
      <x:c r="L688" s="68" t="str">
        <x:v>34</x:v>
      </x:c>
      <x:c r="M688" s="68" t="str"/>
      <x:c r="N688" s="68" t="str"/>
      <x:c r="O688" s="68" t="str">
        <x:v>61.9</x:v>
      </x:c>
      <x:c r="P688" s="68" t="str"/>
    </x:row>
    <x:row r="689">
      <x:c r="A689" s="106" t="n">
        <x:v>21</x:v>
      </x:c>
      <x:c r="B689" s="106" t="str">
        <x:v>688</x:v>
      </x:c>
      <x:c r="C689" s="167" t="str">
        <x:f>"0953 1 1009758"</x:f>
        <x:v>0953 1 1009758</x:v>
      </x:c>
      <x:c r="D689" s="68" t="str">
        <x:v>NGUY£N H6NG MO</x:v>
      </x:c>
      <x:c r="E689" s="68" t="str">
        <x:v>X</x:v>
      </x:c>
      <x:c r="F689" s="68" t="str">
        <x:v>26/09/2011</x:v>
      </x:c>
      <x:c r="G689" s="68" t="str">
        <x:v>Kinh</x:v>
      </x:c>
      <x:c r="H689" s="68" t="str">
        <x:v>Xa Phu6c Long</x:v>
      </x:c>
      <x:c r="I689" s="68" t="str">
        <x:v>THCS Phu6c Long</x:v>
      </x:c>
      <x:c r="J689" s="68" t="str">
        <x:v>Xa Phudc Long</x:v>
      </x:c>
      <x:c r="K689" s="68" t="str">
        <x:v>29.9</x:v>
      </x:c>
      <x:c r="L689" s="68" t="str">
        <x:v>32</x:v>
      </x:c>
      <x:c r="M689" s="68" t="str"/>
      <x:c r="N689" s="68" t="str"/>
      <x:c r="O689" s="68" t="str">
        <x:v>61.9</x:v>
      </x:c>
      <x:c r="P689" s="68" t="str"/>
    </x:row>
    <x:row r="690">
      <x:c r="A690" s="106" t="n">
        <x:v>21</x:v>
      </x:c>
      <x:c r="B690" s="106" t="str">
        <x:v>689</x:v>
      </x:c>
      <x:c r="C690" s="167" t="str">
        <x:f>"095211009049"</x:f>
        <x:v>095211009049</x:v>
      </x:c>
      <x:c r="D690" s="68" t="str">
        <x:v>MAI DANG KH61</x:v>
      </x:c>
      <x:c r="E690" s="68" t="str"/>
      <x:c r="F690" s="68" t="str">
        <x:v>12/07/201 1</x:v>
      </x:c>
      <x:c r="G690" s="68" t="str">
        <x:v>Kinh</x:v>
      </x:c>
      <x:c r="H690" s="68" t="str">
        <x:v>Xa Phtrdc Long</x:v>
      </x:c>
      <x:c r="I690" s="68" t="str">
        <x:v>THCS Phudc Long</x:v>
      </x:c>
      <x:c r="J690" s="68" t="str">
        <x:v>Xa Phudc Long</x:v>
      </x:c>
      <x:c r="K690" s="68" t="str">
        <x:v>28.9</x:v>
      </x:c>
      <x:c r="L690" s="68" t="str">
        <x:v>33</x:v>
      </x:c>
      <x:c r="M690" s="68" t="str"/>
      <x:c r="N690" s="68" t="str"/>
      <x:c r="O690" s="68" t="str">
        <x:v>61.9</x:v>
      </x:c>
      <x:c r="P690" s="68" t="str"/>
    </x:row>
    <x:row r="691">
      <x:c r="A691" s="106" t="n">
        <x:v>21</x:v>
      </x:c>
      <x:c r="B691" s="106" t="str">
        <x:v>690</x:v>
      </x:c>
      <x:c r="C691" s="167" t="str">
        <x:f>"09521 1001668"</x:f>
        <x:v>09521 1001668</x:v>
      </x:c>
      <x:c r="D691" s="68" t="str">
        <x:v>PHAN NHAT NAM</x:v>
      </x:c>
      <x:c r="E691" s="68" t="str"/>
      <x:c r="F691" s="68" t="str">
        <x:v>04/02/201 1</x:v>
      </x:c>
      <x:c r="G691" s="68" t="str">
        <x:v>Kinh</x:v>
      </x:c>
      <x:c r="H691" s="68" t="str">
        <x:v>Xa Vinh Thanh</x:v>
      </x:c>
      <x:c r="I691" s="68" t="str">
        <x:v>THCS Vfnh Thanh</x:v>
      </x:c>
      <x:c r="J691" s="68" t="str">
        <x:v>Xa Fmh Thanh</x:v>
      </x:c>
      <x:c r="K691" s="68" t="str">
        <x:v>27.9</x:v>
      </x:c>
      <x:c r="L691" s="68" t="str">
        <x:v>34</x:v>
      </x:c>
      <x:c r="M691" s="68" t="str"/>
      <x:c r="N691" s="68" t="str"/>
      <x:c r="O691" s="68" t="str">
        <x:v>61.9</x:v>
      </x:c>
      <x:c r="P691" s="68" t="str"/>
    </x:row>
    <x:row r="692">
      <x:c r="A692" s="106" t="n">
        <x:v>21</x:v>
      </x:c>
      <x:c r="B692" s="106" t="str">
        <x:v>691</x:v>
      </x:c>
      <x:c r="C692" s="167" t="str">
        <x:f>"095311009755"</x:f>
        <x:v>095311009755</x:v>
      </x:c>
      <x:c r="D692" s="68" t="str">
        <x:v>NGUY£N TUdNG LAM</x:v>
      </x:c>
      <x:c r="E692" s="68" t="str">
        <x:v>X</x:v>
      </x:c>
      <x:c r="F692" s="68" t="str">
        <x:v>17/07/201 1</x:v>
      </x:c>
      <x:c r="G692" s="68" t="str">
        <x:v>Kinh</x:v>
      </x:c>
      <x:c r="H692" s="68" t="str">
        <x:v>Xa Wnh Phudc</x:v>
      </x:c>
      <x:c r="I692" s="68" t="str">
        <x:v>THCS Vinh Pha Tay</x:v>
      </x:c>
      <x:c r="J692" s="68" t="str">
        <x:v>Xa Vinh phudc</x:v>
      </x:c>
      <x:c r="K692" s="68" t="str">
        <x:v>28.8</x:v>
      </x:c>
      <x:c r="L692" s="68" t="str">
        <x:v>32</x:v>
      </x:c>
      <x:c r="M692" s="68" t="str">
        <x:v>1.0</x:v>
      </x:c>
      <x:c r="N692" s="68" t="str"/>
      <x:c r="O692" s="68" t="str">
        <x:v>61.8</x:v>
      </x:c>
      <x:c r="P692" s="68" t="str"/>
    </x:row>
    <x:row r="693">
      <x:c r="A693" s="106" t="n">
        <x:v>21</x:v>
      </x:c>
      <x:c r="B693" s="106" t="str">
        <x:v>692</x:v>
      </x:c>
      <x:c r="C693" s="167" t="str">
        <x:f>"095211004792"</x:f>
        <x:v>095211004792</x:v>
      </x:c>
      <x:c r="D693" s="68" t="str">
        <x:v>NGUY£N THAI KH61</x:v>
      </x:c>
      <x:c r="E693" s="68" t="str"/>
      <x:c r="F693" s="68" t="str">
        <x:v>29/10/2011</x:v>
      </x:c>
      <x:c r="G693" s="68" t="str">
        <x:v>Kinh</x:v>
      </x:c>
      <x:c r="H693" s="68" t="str">
        <x:v>Xa Vrnh Thanh</x:v>
      </x:c>
      <x:c r="I693" s="68" t="str">
        <x:v>THCS Hung Phi</x:v>
      </x:c>
      <x:c r="J693" s="68" t="str">
        <x:v>Xa Wnh Thanh</x:v>
      </x:c>
      <x:c r="K693" s="68" t="str">
        <x:v>28.8</x:v>
      </x:c>
      <x:c r="L693" s="68" t="str">
        <x:v>33</x:v>
      </x:c>
      <x:c r="M693" s="68" t="str"/>
      <x:c r="N693" s="68" t="str"/>
      <x:c r="O693" s="68" t="str">
        <x:v>61.8</x:v>
      </x:c>
      <x:c r="P693" s="68" t="str"/>
    </x:row>
    <x:row r="694">
      <x:c r="A694" s="106" t="n">
        <x:v>21</x:v>
      </x:c>
      <x:c r="B694" s="106" t="str">
        <x:v>693</x:v>
      </x:c>
      <x:c r="C694" s="167" t="str">
        <x:f>"095211009604"</x:f>
        <x:v>095211009604</x:v>
      </x:c>
      <x:c r="D694" s="68" t="str">
        <x:v>NGUYEN TAN LOC</x:v>
      </x:c>
      <x:c r="E694" s="68" t="str"/>
      <x:c r="F694" s="68" t="str">
        <x:v>15/04/201 1</x:v>
      </x:c>
      <x:c r="G694" s="68" t="str">
        <x:v>Kinh</x:v>
      </x:c>
      <x:c r="H694" s="68" t="str">
        <x:v>Xa Vinh phudc</x:v>
      </x:c>
      <x:c r="I694" s="68" t="str">
        <x:v>THCS PhMc Long</x:v>
      </x:c>
      <x:c r="J694" s="68" t="str">
        <x:v>Xa Vmh Phudc</x:v>
      </x:c>
      <x:c r="K694" s="68" t="str">
        <x:v>28.8</x:v>
      </x:c>
      <x:c r="L694" s="68" t="str">
        <x:v>32</x:v>
      </x:c>
      <x:c r="M694" s="68" t="str">
        <x:v>1.0</x:v>
      </x:c>
      <x:c r="N694" s="68" t="str"/>
      <x:c r="O694" s="68" t="str">
        <x:v>61.8</x:v>
      </x:c>
      <x:c r="P694" s="68" t="str"/>
    </x:row>
    <x:row r="695">
      <x:c r="A695" s="106" t="n">
        <x:v>21</x:v>
      </x:c>
      <x:c r="B695" s="106" t="str">
        <x:v>694</x:v>
      </x:c>
      <x:c r="C695" s="167" t="str">
        <x:f>"0953 1 1007960"</x:f>
        <x:v>0953 1 1007960</x:v>
      </x:c>
      <x:c r="D695" s="68" t="str">
        <x:v>NGUyEN QUtNH MO</x:v>
      </x:c>
      <x:c r="E695" s="68" t="str">
        <x:v>X</x:v>
      </x:c>
      <x:c r="F695" s="68" t="str">
        <x:v>15/11/2011</x:v>
      </x:c>
      <x:c r="G695" s="68" t="str">
        <x:v>Kinh</x:v>
      </x:c>
      <x:c r="H695" s="68" t="str">
        <x:v>Xa VTnh Phu6c</x:v>
      </x:c>
      <x:c r="I695" s="68" t="str">
        <x:v>THCS VTnh Pha Tay</x:v>
      </x:c>
      <x:c r="J695" s="68" t="str">
        <x:v>Xa Vmh phu6c</x:v>
      </x:c>
      <x:c r="K695" s="68" t="str">
        <x:v>27.7</x:v>
      </x:c>
      <x:c r="L695" s="68" t="str">
        <x:v>34</x:v>
      </x:c>
      <x:c r="M695" s="68" t="str"/>
      <x:c r="N695" s="68" t="str"/>
      <x:c r="O695" s="68" t="str">
        <x:v>61.7</x:v>
      </x:c>
      <x:c r="P695" s="68" t="str"/>
    </x:row>
    <x:row r="696">
      <x:c r="A696" s="106" t="n">
        <x:v>21</x:v>
      </x:c>
      <x:c r="B696" s="106" t="str">
        <x:v>695</x:v>
      </x:c>
      <x:c r="C696" s="167" t="str">
        <x:f>"09521 1000633"</x:f>
        <x:v>09521 1000633</x:v>
      </x:c>
      <x:c r="D696" s="68" t="str">
        <x:v>TRUaNG nAO THUEN</x:v>
      </x:c>
      <x:c r="E696" s="68" t="str"/>
      <x:c r="F696" s="68" t="str">
        <x:v>26/07/201 1</x:v>
      </x:c>
      <x:c r="G696" s="68" t="str">
        <x:v>Kinh</x:v>
      </x:c>
      <x:c r="H696" s="68" t="str">
        <x:v>Xa Vlnh Thanh</x:v>
      </x:c>
      <x:c r="I696" s="68" t="str">
        <x:v>THCS Hung Phi</x:v>
      </x:c>
      <x:c r="J696" s="68" t="str">
        <x:v>Xa Vmh Thanh</x:v>
      </x:c>
      <x:c r="K696" s="68" t="str">
        <x:v>27.7</x:v>
      </x:c>
      <x:c r="L696" s="68" t="str">
        <x:v>34</x:v>
      </x:c>
      <x:c r="M696" s="68" t="str"/>
      <x:c r="N696" s="68" t="str"/>
      <x:c r="O696" s="68" t="str">
        <x:v>61.7</x:v>
      </x:c>
      <x:c r="P696" s="68" t="str"/>
    </x:row>
    <x:row r="697">
      <x:c r="A697" s="106" t="n">
        <x:v>21</x:v>
      </x:c>
      <x:c r="B697" s="106" t="str">
        <x:v>696</x:v>
      </x:c>
      <x:c r="C697" s="167" t="str">
        <x:f>"09531 1001563"</x:f>
        <x:v>09531 1001563</x:v>
      </x:c>
      <x:c r="D697" s="68" t="str">
        <x:v>H6 THI MV NGAN</x:v>
      </x:c>
      <x:c r="E697" s="68" t="str">
        <x:v>X</x:v>
      </x:c>
      <x:c r="F697" s="68" t="str">
        <x:v>21/03/2011</x:v>
      </x:c>
      <x:c r="G697" s="68" t="str">
        <x:v>Kinh</x:v>
      </x:c>
      <x:c r="H697" s="68" t="str">
        <x:v>Xa Wrnh Thanh</x:v>
      </x:c>
      <x:c r="I697" s="68" t="str">
        <x:v>THCS Hung Phi</x:v>
      </x:c>
      <x:c r="J697" s="68" t="str">
        <x:v>Xa Vmh Thanh</x:v>
      </x:c>
      <x:c r="K697" s="68" t="str">
        <x:v>28.7</x:v>
      </x:c>
      <x:c r="L697" s="68" t="str">
        <x:v>33</x:v>
      </x:c>
      <x:c r="M697" s="68" t="str"/>
      <x:c r="N697" s="68" t="str"/>
      <x:c r="O697" s="68" t="str">
        <x:v>61.7</x:v>
      </x:c>
      <x:c r="P697" s="68" t="str"/>
    </x:row>
    <x:row r="698">
      <x:c r="A698" s="106" t="n">
        <x:v>21</x:v>
      </x:c>
      <x:c r="B698" s="106" t="str">
        <x:v>697</x:v>
      </x:c>
      <x:c r="C698" s="167" t="str">
        <x:f>"095211002870"</x:f>
        <x:v>095211002870</x:v>
      </x:c>
      <x:c r="D698" s="68" t="str">
        <x:v>NGUYeN HAI AU</x:v>
      </x:c>
      <x:c r="E698" s="68" t="str"/>
      <x:c r="F698" s="68" t="str">
        <x:v>23/08/2011</x:v>
      </x:c>
      <x:c r="G698" s="68" t="str">
        <x:v>Kinh</x:v>
      </x:c>
      <x:c r="H698" s="68" t="str">
        <x:v>Xa Vinh Phudc</x:v>
      </x:c>
      <x:c r="I698" s="68" t="str">
        <x:v>THCS Vinh Thanh</x:v>
      </x:c>
      <x:c r="J698" s="68" t="str">
        <x:v>Xa Vrnh Thanh</x:v>
      </x:c>
      <x:c r="K698" s="68" t="str">
        <x:v>28.5</x:v>
      </x:c>
      <x:c r="L698" s="68" t="str">
        <x:v>32</x:v>
      </x:c>
      <x:c r="M698" s="68" t="str">
        <x:v>1.0</x:v>
      </x:c>
      <x:c r="N698" s="68" t="str"/>
      <x:c r="O698" s="68" t="str">
        <x:v>61.5</x:v>
      </x:c>
      <x:c r="P698" s="68" t="str"/>
    </x:row>
    <x:row r="699">
      <x:c r="A699" s="106" t="n">
        <x:v>21</x:v>
      </x:c>
      <x:c r="B699" s="106" t="str">
        <x:v>698</x:v>
      </x:c>
      <x:c r="C699" s="167" t="str">
        <x:f>"095311003617"</x:f>
        <x:v>095311003617</x:v>
      </x:c>
      <x:c r="D699" s="68" t="str">
        <x:v>NGUYeN THI NGA</x:v>
      </x:c>
      <x:c r="E699" s="68" t="str">
        <x:v>X</x:v>
      </x:c>
      <x:c r="F699" s="68" t="str">
        <x:v>17/06/2011</x:v>
      </x:c>
      <x:c r="G699" s="68" t="str">
        <x:v>Kinh</x:v>
      </x:c>
      <x:c r="H699" s="68" t="str">
        <x:v>Xa Phudc Long</x:v>
      </x:c>
      <x:c r="I699" s="68" t="str">
        <x:v>THCS Vuang Hfru Nhan</x:v>
      </x:c>
      <x:c r="J699" s="68" t="str">
        <x:v>Xa Phu6c Long</x:v>
      </x:c>
      <x:c r="K699" s="68" t="str">
        <x:v>27.5</x:v>
      </x:c>
      <x:c r="L699" s="68" t="str">
        <x:v>34</x:v>
      </x:c>
      <x:c r="M699" s="68" t="str"/>
      <x:c r="N699" s="68" t="str"/>
      <x:c r="O699" s="68" t="str">
        <x:v>61.5</x:v>
      </x:c>
      <x:c r="P699" s="68" t="str"/>
    </x:row>
    <x:row r="700">
      <x:c r="A700" s="106" t="n">
        <x:v>21</x:v>
      </x:c>
      <x:c r="B700" s="106" t="str">
        <x:v>699</x:v>
      </x:c>
      <x:c r="C700" s="167" t="str">
        <x:f>"09531 1003376"</x:f>
        <x:v>09531 1003376</x:v>
      </x:c>
      <x:c r="D700" s="68" t="str">
        <x:v>ve THI Prru'ONG NGHI</x:v>
      </x:c>
      <x:c r="E700" s="68" t="str">
        <x:v>X</x:v>
      </x:c>
      <x:c r="F700" s="68" t="str">
        <x:v>23/12/2011</x:v>
      </x:c>
      <x:c r="G700" s="68" t="str">
        <x:v>Khmer I</x:v>
      </x:c>
      <x:c r="H700" s="68" t="str">
        <x:v>Xa Phu6c Long</x:v>
      </x:c>
      <x:c r="I700" s="68" t="str">
        <x:v>THCS Phudc Long</x:v>
      </x:c>
      <x:c r="J700" s="68" t="str">
        <x:v>Xa Phu6c Long</x:v>
      </x:c>
      <x:c r="K700" s="68" t="str">
        <x:v>28.4</x:v>
      </x:c>
      <x:c r="L700" s="68" t="str">
        <x:v>32</x:v>
      </x:c>
      <x:c r="M700" s="68" t="str">
        <x:v>1.0</x:v>
      </x:c>
      <x:c r="N700" s="68" t="str">
        <x:v>1</x:v>
      </x:c>
      <x:c r="O700" s="68" t="str">
        <x:v>61.4</x:v>
      </x:c>
      <x:c r="P700" s="68" t="str"/>
    </x:row>
    <x:row r="701">
      <x:c r="A701" s="106" t="n">
        <x:v>21</x:v>
      </x:c>
      <x:c r="B701" s="106" t="str">
        <x:v>700</x:v>
      </x:c>
      <x:c r="C701" s="167" t="str">
        <x:f>"0953 1 1004360"</x:f>
        <x:v>0953 1 1004360</x:v>
      </x:c>
      <x:c r="D701" s="68" t="str">
        <x:v>MAI THI TULIY DUaNG</x:v>
      </x:c>
      <x:c r="E701" s="68" t="str">
        <x:v>X</x:v>
      </x:c>
      <x:c r="F701" s="68" t="str">
        <x:v>11/07/2011</x:v>
      </x:c>
      <x:c r="G701" s="68" t="str">
        <x:v>Kinh</x:v>
      </x:c>
      <x:c r="H701" s="68" t="str">
        <x:v>Xa Phu6c Long</x:v>
      </x:c>
      <x:c r="I701" s="68" t="str">
        <x:v>THCS Phu6c Long</x:v>
      </x:c>
      <x:c r="J701" s="68" t="str">
        <x:v>Xa Phu M- Long</x:v>
      </x:c>
      <x:c r="K701" s="68" t="str">
        <x:v>29.4</x:v>
      </x:c>
      <x:c r="L701" s="68" t="str">
        <x:v>32</x:v>
      </x:c>
      <x:c r="M701" s="68" t="str"/>
      <x:c r="N701" s="68" t="str"/>
      <x:c r="O701" s="68" t="str">
        <x:v>61.4</x:v>
      </x:c>
      <x:c r="P701" s="68" t="str"/>
    </x:row>
    <x:row r="702">
      <x:c r="A702" s="106" t="n">
        <x:v>21</x:v>
      </x:c>
      <x:c r="B702" s="106" t="str">
        <x:v>701</x:v>
      </x:c>
      <x:c r="C702" s="167" t="str">
        <x:f>"09521100795 1"</x:f>
        <x:v>09521100795 1</x:v>
      </x:c>
      <x:c r="D702" s="68" t="str">
        <x:v>LE HOANG THuAN</x:v>
      </x:c>
      <x:c r="E702" s="68" t="str"/>
      <x:c r="F702" s="68" t="str">
        <x:v>05/02/2011</x:v>
      </x:c>
      <x:c r="G702" s="68" t="str">
        <x:v>Kinh</x:v>
      </x:c>
      <x:c r="H702" s="68" t="str">
        <x:v>Xa Phua Long</x:v>
      </x:c>
      <x:c r="I702" s="68" t="str">
        <x:v>THes Phu6c Long</x:v>
      </x:c>
      <x:c r="J702" s="68" t="str">
        <x:v>Xa Phudc Long</x:v>
      </x:c>
      <x:c r="K702" s="68" t="str">
        <x:v>29.3</x:v>
      </x:c>
      <x:c r="L702" s="68" t="str">
        <x:v>32</x:v>
      </x:c>
      <x:c r="M702" s="68" t="str"/>
      <x:c r="N702" s="68" t="str"/>
      <x:c r="O702" s="68" t="str">
        <x:v>61.3</x:v>
      </x:c>
      <x:c r="P702" s="68" t="str"/>
    </x:row>
    <x:row r="703">
      <x:c r="A703" s="106" t="n">
        <x:v>21</x:v>
      </x:c>
      <x:c r="B703" s="106" t="str">
        <x:v>702</x:v>
      </x:c>
      <x:c r="C703" s="167" t="str">
        <x:f>"095211008926"</x:f>
        <x:v>095211008926</x:v>
      </x:c>
      <x:c r="D703" s="68" t="str">
        <x:v>NGUY£N MINH THIBN</x:v>
      </x:c>
      <x:c r="E703" s="68" t="str"/>
      <x:c r="F703" s="68" t="str">
        <x:v>27/07/201 1</x:v>
      </x:c>
      <x:c r="G703" s="68" t="str">
        <x:v>Kinh</x:v>
      </x:c>
      <x:c r="H703" s="68" t="str">
        <x:v>Xa Phu6c Long I</x:v>
      </x:c>
      <x:c r="I703" s="68" t="str">
        <x:v>THCS THCS Phu6c Phudc Long Long I</x:v>
      </x:c>
      <x:c r="J703" s="68" t="str">
        <x:v>XaPhudc Xg Phudc Long Long 1</x:v>
      </x:c>
      <x:c r="K703" s="68" t="str">
        <x:v>29.3</x:v>
      </x:c>
      <x:c r="L703" s="68" t="str">
        <x:v>1 32 32</x:v>
      </x:c>
      <x:c r="M703" s="68" t="str">
        <x:v>1 1</x:v>
      </x:c>
      <x:c r="N703" s="68" t="str">
        <x:v>1</x:v>
      </x:c>
      <x:c r="O703" s="68" t="str">
        <x:v>61,3 61.3 1</x:v>
      </x:c>
      <x:c r="P703" s="68" t="str"/>
    </x:row>
    <x:row r="704">
      <x:c r="A704" s="106" t="n">
        <x:v>21</x:v>
      </x:c>
      <x:c r="B704" s="106" t="str">
        <x:v>703</x:v>
      </x:c>
      <x:c r="C704" s="167" t="str">
        <x:f>"0953 1 1010237"</x:f>
        <x:v>0953 1 1010237</x:v>
      </x:c>
      <x:c r="D704" s="68" t="str">
        <x:v>PHAM NGOC QUYNH</x:v>
      </x:c>
      <x:c r="E704" s="68" t="str">
        <x:v>X</x:v>
      </x:c>
      <x:c r="F704" s="68" t="str">
        <x:v>27/10/2011</x:v>
      </x:c>
      <x:c r="G704" s="68" t="str">
        <x:v>Kinh</x:v>
      </x:c>
      <x:c r="H704" s="68" t="str">
        <x:v>Xa Wnh Thanh</x:v>
      </x:c>
      <x:c r="I704" s="68" t="str">
        <x:v>THCS Hung Phd</x:v>
      </x:c>
      <x:c r="J704" s="68" t="str">
        <x:v>Xa Vrnh Thanh</x:v>
      </x:c>
      <x:c r="K704" s="68" t="str">
        <x:v>29.3</x:v>
      </x:c>
      <x:c r="L704" s="68" t="str">
        <x:v>32</x:v>
      </x:c>
      <x:c r="M704" s="68" t="str"/>
      <x:c r="N704" s="68" t="str"/>
      <x:c r="O704" s="68" t="str">
        <x:v>61.3</x:v>
      </x:c>
      <x:c r="P704" s="68" t="str"/>
    </x:row>
    <x:row r="705">
      <x:c r="A705" s="106" t="n">
        <x:v>21</x:v>
      </x:c>
      <x:c r="B705" s="106" t="str">
        <x:v>704</x:v>
      </x:c>
      <x:c r="C705" s="167" t="str">
        <x:f>"09531 1006774"</x:f>
        <x:v>09531 1006774</x:v>
      </x:c>
      <x:c r="D705" s="68" t="str">
        <x:v>DOAN TROY VY</x:v>
      </x:c>
      <x:c r="E705" s="68" t="str">
        <x:v>X</x:v>
      </x:c>
      <x:c r="F705" s="68" t="str">
        <x:v>02/09/2011</x:v>
      </x:c>
      <x:c r="G705" s="68" t="str">
        <x:v>Kinh</x:v>
      </x:c>
      <x:c r="H705" s="68" t="str">
        <x:v>Xa Phu6c Long</x:v>
      </x:c>
      <x:c r="I705" s="68" t="str">
        <x:v>THCS Truong Wnh KV</x:v>
      </x:c>
      <x:c r="J705" s="68" t="str">
        <x:v>Xa H6ng Dan</x:v>
      </x:c>
      <x:c r="K705" s="68" t="str">
        <x:v>27.2</x:v>
      </x:c>
      <x:c r="L705" s="68" t="str">
        <x:v>34</x:v>
      </x:c>
      <x:c r="M705" s="68" t="str"/>
      <x:c r="N705" s="68" t="str"/>
      <x:c r="O705" s="68" t="str">
        <x:v>61.2</x:v>
      </x:c>
      <x:c r="P705" s="68" t="str"/>
    </x:row>
    <x:row r="706">
      <x:c r="A706" s="106" t="n">
        <x:v>21</x:v>
      </x:c>
      <x:c r="B706" s="106" t="str">
        <x:v>705</x:v>
      </x:c>
      <x:c r="C706" s="167" t="str">
        <x:f>"095211009971"</x:f>
        <x:v>095211009971</x:v>
      </x:c>
      <x:c r="D706" s="68" t="str">
        <x:v>TRAN TEEN TV</x:v>
      </x:c>
      <x:c r="E706" s="68" t="str"/>
      <x:c r="F706" s="68" t="str">
        <x:v>19/10/201 1</x:v>
      </x:c>
      <x:c r="G706" s="68" t="str">
        <x:v>Khmer I</x:v>
      </x:c>
      <x:c r="H706" s="68" t="str">
        <x:v>Xa Phu(tc Long</x:v>
      </x:c>
      <x:c r="I706" s="68" t="str">
        <x:v>THCS Vuang Hnu Nhan</x:v>
      </x:c>
      <x:c r="J706" s="68" t="str">
        <x:v>Xa Phu6c Long</x:v>
      </x:c>
      <x:c r="K706" s="68" t="str">
        <x:v>28.2</x:v>
      </x:c>
      <x:c r="L706" s="68" t="str">
        <x:v>32</x:v>
      </x:c>
      <x:c r="M706" s="68" t="str">
        <x:v>1.0</x:v>
      </x:c>
      <x:c r="N706" s="68" t="str"/>
      <x:c r="O706" s="68" t="str">
        <x:v>61.2</x:v>
      </x:c>
      <x:c r="P706" s="68" t="str"/>
    </x:row>
    <x:row r="707">
      <x:c r="A707" s="106" t="n">
        <x:v>21</x:v>
      </x:c>
      <x:c r="B707" s="106" t="str">
        <x:v>706</x:v>
      </x:c>
      <x:c r="C707" s="167" t="str">
        <x:f>"095211002141"</x:f>
        <x:v>095211002141</x:v>
      </x:c>
      <x:c r="D707" s="68" t="str">
        <x:v>LE DUY TUdNG</x:v>
      </x:c>
      <x:c r="E707" s="68" t="str"/>
      <x:c r="F707" s="68" t="str">
        <x:v>17/09/2011</x:v>
      </x:c>
      <x:c r="G707" s="68" t="str">
        <x:v>Kinh</x:v>
      </x:c>
      <x:c r="H707" s="68" t="str">
        <x:v>Xg Phu6c Long</x:v>
      </x:c>
      <x:c r="I707" s="68" t="str">
        <x:v>THCS Phudc Long</x:v>
      </x:c>
      <x:c r="J707" s="68" t="str">
        <x:v>Xi Phu6c Long</x:v>
      </x:c>
      <x:c r="K707" s="68" t="str">
        <x:v>29.1</x:v>
      </x:c>
      <x:c r="L707" s="68" t="str">
        <x:v>32</x:v>
      </x:c>
      <x:c r="M707" s="68" t="str"/>
      <x:c r="N707" s="68" t="str"/>
      <x:c r="O707" s="68" t="str">
        <x:v>61.1</x:v>
      </x:c>
      <x:c r="P707" s="68" t="str"/>
    </x:row>
    <x:row r="708">
      <x:c r="A708" s="106" t="n">
        <x:v>21</x:v>
      </x:c>
      <x:c r="B708" s="106" t="str">
        <x:v>707</x:v>
      </x:c>
      <x:c r="C708" s="167" t="str">
        <x:f>"09531 1004449"</x:f>
        <x:v>09531 1004449</x:v>
      </x:c>
      <x:c r="D708" s="68" t="str">
        <x:v>NGUYEN NGQC DUY£N</x:v>
      </x:c>
      <x:c r="E708" s="68" t="str">
        <x:v>X</x:v>
      </x:c>
      <x:c r="F708" s="68" t="str">
        <x:v>12/12/2011</x:v>
      </x:c>
      <x:c r="G708" s="68" t="str">
        <x:v>Kinh</x:v>
      </x:c>
      <x:c r="H708" s="68" t="str">
        <x:v>Xa Wnh Thanh</x:v>
      </x:c>
      <x:c r="I708" s="68" t="str">
        <x:v>THCS Hung Pha</x:v>
      </x:c>
      <x:c r="J708" s="68" t="str">
        <x:v>Xa Vinh Thanh</x:v>
      </x:c>
      <x:c r="K708" s="68" t="str">
        <x:v>' 27. 1</x:v>
      </x:c>
      <x:c r="L708" s="68" t="str">
        <x:v>34</x:v>
      </x:c>
      <x:c r="M708" s="68" t="str"/>
      <x:c r="N708" s="68" t="str"/>
      <x:c r="O708" s="68" t="str">
        <x:v>61.1</x:v>
      </x:c>
      <x:c r="P708" s="68" t="str"/>
    </x:row>
    <x:row r="709">
      <x:c r="A709" s="106" t="n">
        <x:v>21</x:v>
      </x:c>
      <x:c r="B709" s="106" t="str">
        <x:v>708</x:v>
      </x:c>
      <x:c r="C709" s="167" t="str">
        <x:f>"095311001900"</x:f>
        <x:v>095311001900</x:v>
      </x:c>
      <x:c r="D709" s="68" t="str">
        <x:v>NGUY£N NGQC DAI TRANG</x:v>
      </x:c>
      <x:c r="E709" s="68" t="str">
        <x:v>X</x:v>
      </x:c>
      <x:c r="F709" s="68" t="str">
        <x:v>24/06/201 1</x:v>
      </x:c>
      <x:c r="G709" s="68" t="str">
        <x:v>Kinh</x:v>
      </x:c>
      <x:c r="H709" s="68" t="str">
        <x:v>Xa Vinh phudc</x:v>
      </x:c>
      <x:c r="I709" s="68" t="str">
        <x:v>THCS Phua Long</x:v>
      </x:c>
      <x:c r="J709" s="68" t="str">
        <x:v>Xa Phu6c Long</x:v>
      </x:c>
      <x:c r="K709" s="68" t="str">
        <x:v>30.0</x:v>
      </x:c>
      <x:c r="L709" s="68" t="str">
        <x:v>31</x:v>
      </x:c>
      <x:c r="M709" s="68" t="str"/>
      <x:c r="N709" s="68" t="str"/>
      <x:c r="O709" s="68" t="str">
        <x:v>61.0</x:v>
      </x:c>
      <x:c r="P709" s="68" t="str"/>
    </x:row>
    <x:row r="710">
      <x:c r="A710" s="106" t="n">
        <x:v>22</x:v>
      </x:c>
      <x:c r="B710" s="106" t="str">
        <x:v>709</x:v>
      </x:c>
      <x:c r="C710" s="167" t="str">
        <x:f>"0953 1 1006061"</x:f>
        <x:v>0953 1 1006061</x:v>
      </x:c>
      <x:c r="D710" s="68" t="str">
        <x:v>LE THI vANe CHI</x:v>
      </x:c>
      <x:c r="E710" s="68" t="str">
        <x:v>X</x:v>
      </x:c>
      <x:c r="F710" s="68" t="str">
        <x:v>03/08/2011</x:v>
      </x:c>
      <x:c r="G710" s="68" t="str">
        <x:v>Kinh</x:v>
      </x:c>
      <x:c r="H710" s="68" t="str">
        <x:v>Xa Phu6c Long</x:v>
      </x:c>
      <x:c r="I710" s="68" t="str">
        <x:v>THCS VTnh Thanh</x:v>
      </x:c>
      <x:c r="J710" s="68" t="str">
        <x:v>Xa VTnh Thanh</x:v>
      </x:c>
      <x:c r="K710" s="68" t="str">
        <x:v>28.9</x:v>
      </x:c>
      <x:c r="L710" s="68" t="str">
        <x:v>32</x:v>
      </x:c>
      <x:c r="M710" s="68" t="str"/>
      <x:c r="N710" s="68" t="str"/>
      <x:c r="O710" s="68" t="str">
        <x:v>60.9</x:v>
      </x:c>
      <x:c r="P710" s="68" t="str"/>
    </x:row>
    <x:row r="711">
      <x:c r="A711" s="106" t="n">
        <x:v>22</x:v>
      </x:c>
      <x:c r="B711" s="106" t="str">
        <x:v>710</x:v>
      </x:c>
      <x:c r="C711" s="167" t="str">
        <x:f>"0953 1 1002289"</x:f>
        <x:v>0953 1 1002289</x:v>
      </x:c>
      <x:c r="D711" s="68" t="str">
        <x:v>LAM TRAN HA VI</x:v>
      </x:c>
      <x:c r="E711" s="68" t="str">
        <x:v>X</x:v>
      </x:c>
      <x:c r="F711" s="68" t="str">
        <x:v>21/10/2011</x:v>
      </x:c>
      <x:c r="G711" s="68" t="str">
        <x:v>Hoa</x:v>
      </x:c>
      <x:c r="H711" s="68" t="str">
        <x:v>Xa Vinh Thanh</x:v>
      </x:c>
      <x:c r="I711" s="68" t="str">
        <x:v>THCS Hung Pha</x:v>
      </x:c>
      <x:c r="J711" s="68" t="str">
        <x:v>Xa Vinh Thanh</x:v>
      </x:c>
      <x:c r="K711" s="68" t="str">
        <x:v>27.9</x:v>
      </x:c>
      <x:c r="L711" s="68" t="str">
        <x:v>32</x:v>
      </x:c>
      <x:c r="M711" s="68" t="str">
        <x:v>1.0</x:v>
      </x:c>
      <x:c r="N711" s="68" t="str"/>
      <x:c r="O711" s="68" t="str">
        <x:v>60.9</x:v>
      </x:c>
      <x:c r="P711" s="68" t="str"/>
    </x:row>
    <x:row r="712">
      <x:c r="A712" s="106" t="n">
        <x:v>22</x:v>
      </x:c>
      <x:c r="B712" s="106" t="str">
        <x:v>711</x:v>
      </x:c>
      <x:c r="C712" s="167" t="str">
        <x:f>"0953 1 1005826"</x:f>
        <x:v>0953 1 1005826</x:v>
      </x:c>
      <x:c r="D712" s="68" t="str">
        <x:v>LE THI NHU V</x:v>
      </x:c>
      <x:c r="E712" s="68" t="str">
        <x:v>X</x:v>
      </x:c>
      <x:c r="F712" s="68" t="str">
        <x:v>08/08/2011</x:v>
      </x:c>
      <x:c r="G712" s="68" t="str">
        <x:v>Kinh</x:v>
      </x:c>
      <x:c r="H712" s="68" t="str">
        <x:v>Xa Vmh Thanh</x:v>
      </x:c>
      <x:c r="I712" s="68" t="str">
        <x:v>THCS Hung Phd</x:v>
      </x:c>
      <x:c r="J712" s="68" t="str">
        <x:v>Xa Wnh Thanh</x:v>
      </x:c>
      <x:c r="K712" s="68" t="str">
        <x:v>28.7</x:v>
      </x:c>
      <x:c r="L712" s="68" t="str">
        <x:v>32</x:v>
      </x:c>
      <x:c r="M712" s="68" t="str"/>
      <x:c r="N712" s="68" t="str"/>
      <x:c r="O712" s="68" t="str">
        <x:v>60.7</x:v>
      </x:c>
      <x:c r="P712" s="68" t="str"/>
    </x:row>
    <x:row r="713">
      <x:c r="A713" s="106" t="n">
        <x:v>22</x:v>
      </x:c>
      <x:c r="B713" s="106" t="str">
        <x:v>712</x:v>
      </x:c>
      <x:c r="C713" s="167" t="str">
        <x:f>"09531 1005466"</x:f>
        <x:v>09531 1005466</x:v>
      </x:c>
      <x:c r="D713" s="68" t="str">
        <x:v>TRAN rrutNH NHU</x:v>
      </x:c>
      <x:c r="E713" s="68" t="str">
        <x:v>X</x:v>
      </x:c>
      <x:c r="F713" s="68" t="str">
        <x:v>04/1 1/2011</x:v>
      </x:c>
      <x:c r="G713" s="68" t="str">
        <x:v>Kinh</x:v>
      </x:c>
      <x:c r="H713" s="68" t="str">
        <x:v>Xa Vinh Thanh</x:v>
      </x:c>
      <x:c r="I713" s="68" t="str">
        <x:v>THCS Vinh Thanh</x:v>
      </x:c>
      <x:c r="J713" s="68" t="str">
        <x:v>Xa VTnh Thanh</x:v>
      </x:c>
      <x:c r="K713" s="68" t="str">
        <x:v>28.5</x:v>
      </x:c>
      <x:c r="L713" s="68" t="str">
        <x:v>32</x:v>
      </x:c>
      <x:c r="M713" s="68" t="str"/>
      <x:c r="N713" s="68" t="str"/>
      <x:c r="O713" s="68" t="str">
        <x:v>60.5</x:v>
      </x:c>
      <x:c r="P713" s="68" t="str"/>
    </x:row>
    <x:row r="714">
      <x:c r="A714" s="106" t="n">
        <x:v>22</x:v>
      </x:c>
      <x:c r="B714" s="106" t="str">
        <x:v>713</x:v>
      </x:c>
      <x:c r="C714" s="167" t="str">
        <x:f>"095211006843"</x:f>
        <x:v>095211006843</x:v>
      </x:c>
      <x:c r="D714" s="68" t="str">
        <x:v>NGUYEN HUYNH BAO HUY</x:v>
      </x:c>
      <x:c r="E714" s="68" t="str"/>
      <x:c r="F714" s="68" t="str">
        <x:v>21/1 1/2011</x:v>
      </x:c>
      <x:c r="G714" s="68" t="str">
        <x:v>Kinh</x:v>
      </x:c>
      <x:c r="H714" s="68" t="str">
        <x:v>Xa Phudc Long</x:v>
      </x:c>
      <x:c r="I714" s="68" t="str">
        <x:v>THCS Phu6c Long</x:v>
      </x:c>
      <x:c r="J714" s="68" t="str">
        <x:v>Xa Phu6c Long</x:v>
      </x:c>
      <x:c r="K714" s="68" t="str">
        <x:v>28.4</x:v>
      </x:c>
      <x:c r="L714" s="68" t="str">
        <x:v>32</x:v>
      </x:c>
      <x:c r="M714" s="68" t="str"/>
      <x:c r="N714" s="68" t="str"/>
      <x:c r="O714" s="68" t="str">
        <x:v>60.4</x:v>
      </x:c>
      <x:c r="P714" s="68" t="str"/>
    </x:row>
    <x:row r="715">
      <x:c r="A715" s="106" t="n">
        <x:v>22</x:v>
      </x:c>
      <x:c r="B715" s="106" t="str">
        <x:v>714</x:v>
      </x:c>
      <x:c r="C715" s="167" t="str">
        <x:f>"095211003 157"</x:f>
        <x:v>095211003 157</x:v>
      </x:c>
      <x:c r="D715" s="68" t="str">
        <x:v>NGUYEN TRUNG BliT</x:v>
      </x:c>
      <x:c r="E715" s="68" t="str"/>
      <x:c r="F715" s="68" t="str">
        <x:v>21/10/2011</x:v>
      </x:c>
      <x:c r="G715" s="68" t="str">
        <x:v>Kinh</x:v>
      </x:c>
      <x:c r="H715" s="68" t="str">
        <x:v>XX PhMc Long</x:v>
      </x:c>
      <x:c r="I715" s="68" t="str">
        <x:v>THCS Phudc Long</x:v>
      </x:c>
      <x:c r="J715" s="68" t="str">
        <x:v>Xa Phu6'c Long</x:v>
      </x:c>
      <x:c r="K715" s="68" t="str">
        <x:v>28.3</x:v>
      </x:c>
      <x:c r="L715" s="68" t="str">
        <x:v>32</x:v>
      </x:c>
      <x:c r="M715" s="68" t="str"/>
      <x:c r="N715" s="68" t="str"/>
      <x:c r="O715" s="68" t="str">
        <x:v>60.3</x:v>
      </x:c>
      <x:c r="P715" s="68" t="str"/>
    </x:row>
    <x:row r="716">
      <x:c r="A716" s="106" t="n">
        <x:v>22</x:v>
      </x:c>
      <x:c r="B716" s="106" t="str">
        <x:v>715</x:v>
      </x:c>
      <x:c r="C716" s="167" t="str">
        <x:f>"09521 1008330"</x:f>
        <x:v>09521 1008330</x:v>
      </x:c>
      <x:c r="D716" s="68" t="str">
        <x:v>NGUY£N TAN PHAT</x:v>
      </x:c>
      <x:c r="E716" s="68" t="str"/>
      <x:c r="F716" s="68" t="str">
        <x:v>14/03/201 1</x:v>
      </x:c>
      <x:c r="G716" s="68" t="str">
        <x:v>Kinh</x:v>
      </x:c>
      <x:c r="H716" s="68" t="str">
        <x:v>Xa Phudc Long</x:v>
      </x:c>
      <x:c r="I716" s="68" t="str">
        <x:v>THCS Phudc Long</x:v>
      </x:c>
      <x:c r="J716" s="68" t="str">
        <x:v>Xa Phu6c Long</x:v>
      </x:c>
      <x:c r="K716" s="68" t="str">
        <x:v>28.3</x:v>
      </x:c>
      <x:c r="L716" s="68" t="str">
        <x:v>32</x:v>
      </x:c>
      <x:c r="M716" s="68" t="str"/>
      <x:c r="N716" s="68" t="str"/>
      <x:c r="O716" s="68" t="str">
        <x:v>60.3</x:v>
      </x:c>
      <x:c r="P716" s="68" t="str"/>
    </x:row>
    <x:row r="717">
      <x:c r="A717" s="106" t="n">
        <x:v>22</x:v>
      </x:c>
      <x:c r="B717" s="106" t="str">
        <x:v>716</x:v>
      </x:c>
      <x:c r="C717" s="167" t="str">
        <x:f>"095210001723"</x:f>
        <x:v>095210001723</x:v>
      </x:c>
      <x:c r="D717" s="68" t="str">
        <x:v>H6 MINH DAT</x:v>
      </x:c>
      <x:c r="E717" s="68" t="str"/>
      <x:c r="F717" s="68" t="str">
        <x:v>03/12/2010</x:v>
      </x:c>
      <x:c r="G717" s="68" t="str">
        <x:v>Kinh</x:v>
      </x:c>
      <x:c r="H717" s="68" t="str">
        <x:v>Xa Wnh Thanh</x:v>
      </x:c>
      <x:c r="I717" s="68" t="str">
        <x:v>THCS Hung Pha</x:v>
      </x:c>
      <x:c r="J717" s="68" t="str">
        <x:v>Xa Vinh Thanh</x:v>
      </x:c>
      <x:c r="K717" s="68" t="str">
        <x:v>28.3</x:v>
      </x:c>
      <x:c r="L717" s="68" t="str">
        <x:v>32</x:v>
      </x:c>
      <x:c r="M717" s="68" t="str"/>
      <x:c r="N717" s="68" t="str"/>
      <x:c r="O717" s="68" t="str">
        <x:v>60.3</x:v>
      </x:c>
      <x:c r="P717" s="68" t="str"/>
    </x:row>
    <x:row r="718">
      <x:c r="A718" s="106" t="n">
        <x:v>22</x:v>
      </x:c>
      <x:c r="B718" s="106" t="str">
        <x:v>717</x:v>
      </x:c>
      <x:c r="C718" s="167" t="str">
        <x:f>"09521100743 1"</x:f>
        <x:v>09521100743 1</x:v>
      </x:c>
      <x:c r="D718" s="68" t="str">
        <x:v>TRAN QU6C TIEN</x:v>
      </x:c>
      <x:c r="E718" s="68" t="str"/>
      <x:c r="F718" s="68" t="str">
        <x:v>24/09/201 1</x:v>
      </x:c>
      <x:c r="G718" s="68" t="str">
        <x:v>Kinh</x:v>
      </x:c>
      <x:c r="H718" s="68" t="str">
        <x:v>Xa Phudc Long</x:v>
      </x:c>
      <x:c r="I718" s="68" t="str">
        <x:v>THCS Phu6c Long</x:v>
      </x:c>
      <x:c r="J718" s="68" t="str">
        <x:v>Xa Phudc Long</x:v>
      </x:c>
      <x:c r="K718" s="68" t="str">
        <x:v>28.2</x:v>
      </x:c>
      <x:c r="L718" s="68" t="str">
        <x:v>32</x:v>
      </x:c>
      <x:c r="M718" s="68" t="str"/>
      <x:c r="N718" s="68" t="str"/>
      <x:c r="O718" s="68" t="str">
        <x:v>60.2</x:v>
      </x:c>
      <x:c r="P718" s="68" t="str"/>
    </x:row>
    <x:row r="719">
      <x:c r="A719" s="106" t="n">
        <x:v>22</x:v>
      </x:c>
      <x:c r="B719" s="106" t="str">
        <x:v>718</x:v>
      </x:c>
      <x:c r="C719" s="167" t="str">
        <x:f>"0953 1 10099 19"</x:f>
        <x:v>0953 1 10099 19</x:v>
      </x:c>
      <x:c r="D719" s="68" t="str">
        <x:v>QUANG ANH THU</x:v>
      </x:c>
      <x:c r="E719" s="68" t="str">
        <x:v>X</x:v>
      </x:c>
      <x:c r="F719" s="68" t="str">
        <x:v>21/1 1/2011</x:v>
      </x:c>
      <x:c r="G719" s="68" t="str">
        <x:v>Kinh</x:v>
      </x:c>
      <x:c r="H719" s="68" t="str">
        <x:v>Xa Phu6c Long</x:v>
      </x:c>
      <x:c r="I719" s="68" t="str">
        <x:v>THCS Phudc Long</x:v>
      </x:c>
      <x:c r="J719" s="68" t="str">
        <x:v>Xa Phu6c Long</x:v>
      </x:c>
      <x:c r="K719" s="68" t="str">
        <x:v>28.2</x:v>
      </x:c>
      <x:c r="L719" s="68" t="str">
        <x:v>32</x:v>
      </x:c>
      <x:c r="M719" s="68" t="str"/>
      <x:c r="N719" s="68" t="str"/>
      <x:c r="O719" s="68" t="str">
        <x:v>60.2</x:v>
      </x:c>
      <x:c r="P719" s="68" t="str"/>
    </x:row>
    <x:row r="720">
      <x:c r="A720" s="106" t="n">
        <x:v>22</x:v>
      </x:c>
      <x:c r="B720" s="106" t="str">
        <x:v>719</x:v>
      </x:c>
      <x:c r="C720" s="167" t="str">
        <x:f>"0952 10002586"</x:f>
        <x:v>0952 10002586</x:v>
      </x:c>
      <x:c r="D720" s="68" t="str">
        <x:v>NGUYEN HOANG LOC</x:v>
      </x:c>
      <x:c r="E720" s="68" t="str"/>
      <x:c r="F720" s="68" t="str">
        <x:v>04/08/2010</x:v>
      </x:c>
      <x:c r="G720" s="68" t="str">
        <x:v>Kinh</x:v>
      </x:c>
      <x:c r="H720" s="68" t="str">
        <x:v>Xg Vinh Thanh</x:v>
      </x:c>
      <x:c r="I720" s="68" t="str">
        <x:v>THCS Vinh Thanh</x:v>
      </x:c>
      <x:c r="J720" s="68" t="str">
        <x:v>Xa Vinh Thanh</x:v>
      </x:c>
      <x:c r="K720" s="68" t="str">
        <x:v>28.2</x:v>
      </x:c>
      <x:c r="L720" s="68" t="str">
        <x:v>32</x:v>
      </x:c>
      <x:c r="M720" s="68" t="str"/>
      <x:c r="N720" s="68" t="str"/>
      <x:c r="O720" s="68" t="str">
        <x:v>60.2</x:v>
      </x:c>
      <x:c r="P720" s="68" t="str"/>
    </x:row>
    <x:row r="721">
      <x:c r="A721" s="106" t="n">
        <x:v>22</x:v>
      </x:c>
      <x:c r="B721" s="106" t="str">
        <x:v>720</x:v>
      </x:c>
      <x:c r="C721" s="167" t="str">
        <x:f>"0953 1 1004026"</x:f>
        <x:v>0953 1 1004026</x:v>
      </x:c>
      <x:c r="D721" s="68" t="str">
        <x:v>TRAN THI THAO LY</x:v>
      </x:c>
      <x:c r="E721" s="68" t="str">
        <x:v>X</x:v>
      </x:c>
      <x:c r="F721" s="68" t="str">
        <x:v>08/06/2011</x:v>
      </x:c>
      <x:c r="G721" s="68" t="str">
        <x:v>Kinh</x:v>
      </x:c>
      <x:c r="H721" s="68" t="str">
        <x:v>Xa Phu6c Long</x:v>
      </x:c>
      <x:c r="I721" s="68" t="str">
        <x:v>THCS Phu6c Long</x:v>
      </x:c>
      <x:c r="J721" s="68" t="str">
        <x:v>Xa Phu6c Long</x:v>
      </x:c>
      <x:c r="K721" s="68" t="str">
        <x:v>28.0</x:v>
      </x:c>
      <x:c r="L721" s="68" t="str">
        <x:v>32</x:v>
      </x:c>
      <x:c r="M721" s="68" t="str"/>
      <x:c r="N721" s="68" t="str"/>
      <x:c r="O721" s="68" t="str">
        <x:v>60.0</x:v>
      </x:c>
      <x:c r="P721" s="68" t="str"/>
    </x:row>
    <x:row r="722">
      <x:c r="A722" s="106" t="n">
        <x:v>22</x:v>
      </x:c>
      <x:c r="B722" s="106" t="str">
        <x:v>721</x:v>
      </x:c>
      <x:c r="C722" s="167" t="str">
        <x:f>"095211001796"</x:f>
        <x:v>095211001796</x:v>
      </x:c>
      <x:c r="D722" s="68" t="str">
        <x:v>NGUYEN KHANH DUY</x:v>
      </x:c>
      <x:c r="E722" s="68" t="str"/>
      <x:c r="F722" s="68" t="str">
        <x:v>17/09/2011</x:v>
      </x:c>
      <x:c r="G722" s="68" t="str">
        <x:v>Kinh</x:v>
      </x:c>
      <x:c r="H722" s="68" t="str">
        <x:v>Xa PhIrdc Long</x:v>
      </x:c>
      <x:c r="I722" s="68" t="str">
        <x:v>THCS Vuang Hfru Nhan</x:v>
      </x:c>
      <x:c r="J722" s="68" t="str">
        <x:v>Xa Phu6c Long</x:v>
      </x:c>
      <x:c r="K722" s="68" t="str">
        <x:v>28.0</x:v>
      </x:c>
      <x:c r="L722" s="68" t="str">
        <x:v>32</x:v>
      </x:c>
      <x:c r="M722" s="68" t="str"/>
      <x:c r="N722" s="68" t="str"/>
      <x:c r="O722" s="68" t="str">
        <x:v>60.0</x:v>
      </x:c>
      <x:c r="P722" s="68" t="str"/>
    </x:row>
    <x:row r="723">
      <x:c r="A723" s="106" t="n">
        <x:v>22</x:v>
      </x:c>
      <x:c r="B723" s="106" t="str">
        <x:v>722</x:v>
      </x:c>
      <x:c r="C723" s="167" t="str">
        <x:f>"0953 1 1008091"</x:f>
        <x:v>0953 1 1008091</x:v>
      </x:c>
      <x:c r="D723" s="68" t="str">
        <x:v>NGUYEN TnANH THU</x:v>
      </x:c>
      <x:c r="E723" s="68" t="str">
        <x:v>X</x:v>
      </x:c>
      <x:c r="F723" s="68" t="str">
        <x:v>16/06/2011</x:v>
      </x:c>
      <x:c r="G723" s="68" t="str">
        <x:v>Kinh</x:v>
      </x:c>
      <x:c r="H723" s="68" t="str">
        <x:v>Xa Phudc Long</x:v>
      </x:c>
      <x:c r="I723" s="68" t="str">
        <x:v>THCS VTnh Thanh</x:v>
      </x:c>
      <x:c r="J723" s="68" t="str">
        <x:v>Xa Vinh Thanh</x:v>
      </x:c>
      <x:c r="K723" s="68" t="str">
        <x:v>27.9</x:v>
      </x:c>
      <x:c r="L723" s="68" t="str">
        <x:v>32</x:v>
      </x:c>
      <x:c r="M723" s="68" t="str"/>
      <x:c r="N723" s="68" t="str"/>
      <x:c r="O723" s="68" t="str">
        <x:v>59.9</x:v>
      </x:c>
      <x:c r="P723" s="68" t="str"/>
    </x:row>
    <x:row r="724">
      <x:c r="A724" s="106" t="n">
        <x:v>22</x:v>
      </x:c>
      <x:c r="B724" s="106" t="str">
        <x:v>723</x:v>
      </x:c>
      <x:c r="C724" s="167" t="str">
        <x:f>"0952 1 1008027"</x:f>
        <x:v>0952 1 1008027</x:v>
      </x:c>
      <x:c r="D724" s="68" t="str">
        <x:v>PrruUNG TONG vV</x:v>
      </x:c>
      <x:c r="E724" s="68" t="str"/>
      <x:c r="F724" s="68" t="str">
        <x:v>24/02/2011</x:v>
      </x:c>
      <x:c r="G724" s="68" t="str">
        <x:v>Hoa</x:v>
      </x:c>
      <x:c r="H724" s="68" t="str">
        <x:v>Xa Vrnh Phudc</x:v>
      </x:c>
      <x:c r="I724" s="68" t="str">
        <x:v>THCS Phu6c Long</x:v>
      </x:c>
      <x:c r="J724" s="68" t="str">
        <x:v>Xa Phu be Long</x:v>
      </x:c>
      <x:c r="K724" s="68" t="str">
        <x:v>26.9</x:v>
      </x:c>
      <x:c r="L724" s="68" t="str">
        <x:v>32</x:v>
      </x:c>
      <x:c r="M724" s="68" t="str">
        <x:v>1.0</x:v>
      </x:c>
      <x:c r="N724" s="68" t="str"/>
      <x:c r="O724" s="68" t="str">
        <x:v>59.9</x:v>
      </x:c>
      <x:c r="P724" s="68" t="str"/>
    </x:row>
    <x:row r="725">
      <x:c r="A725" s="106" t="n">
        <x:v>22</x:v>
      </x:c>
      <x:c r="B725" s="106" t="str">
        <x:v>724</x:v>
      </x:c>
      <x:c r="C725" s="167" t="str">
        <x:f>"09521100891 7"</x:f>
        <x:v>09521100891 7</x:v>
      </x:c>
      <x:c r="D725" s="68" t="str">
        <x:v>PnAM DANG KH6r</x:v>
      </x:c>
      <x:c r="E725" s="68" t="str"/>
      <x:c r="F725" s="68" t="str">
        <x:v>19/1 1/2011</x:v>
      </x:c>
      <x:c r="G725" s="68" t="str">
        <x:v>Kinh</x:v>
      </x:c>
      <x:c r="H725" s="68" t="str">
        <x:v>Xa Vinh Thanh</x:v>
      </x:c>
      <x:c r="I725" s="68" t="str">
        <x:v>THCS Hung Phd</x:v>
      </x:c>
      <x:c r="J725" s="68" t="str">
        <x:v>Xa Wnh Thanh</x:v>
      </x:c>
      <x:c r="K725" s="68" t="str">
        <x:v>27.9</x:v>
      </x:c>
      <x:c r="L725" s="68" t="str">
        <x:v>32</x:v>
      </x:c>
      <x:c r="M725" s="68" t="str"/>
      <x:c r="N725" s="68" t="str"/>
      <x:c r="O725" s="68" t="str">
        <x:v>59.9</x:v>
      </x:c>
      <x:c r="P725" s="68" t="str"/>
    </x:row>
    <x:row r="726">
      <x:c r="A726" s="106" t="n">
        <x:v>22</x:v>
      </x:c>
      <x:c r="B726" s="106" t="str">
        <x:v>725</x:v>
      </x:c>
      <x:c r="C726" s="167" t="str">
        <x:f>"095210004214"</x:f>
        <x:v>095210004214</x:v>
      </x:c>
      <x:c r="D726" s="68" t="str">
        <x:v>NGUY£N TRQNG PHCIC</x:v>
      </x:c>
      <x:c r="E726" s="68" t="str"/>
      <x:c r="F726" s="68" t="str">
        <x:v>14/01/2010</x:v>
      </x:c>
      <x:c r="G726" s="68" t="str">
        <x:v>Kinh</x:v>
      </x:c>
      <x:c r="H726" s="68" t="str">
        <x:v>Xa Phudc Long</x:v>
      </x:c>
      <x:c r="I726" s="68" t="str">
        <x:v>THCS Phu6c Long</x:v>
      </x:c>
      <x:c r="J726" s="68" t="str">
        <x:v>Xa Phudc Long</x:v>
      </x:c>
      <x:c r="K726" s="68" t="str">
        <x:v>28.8</x:v>
      </x:c>
      <x:c r="L726" s="68" t="str">
        <x:v>31</x:v>
      </x:c>
      <x:c r="M726" s="68" t="str"/>
      <x:c r="N726" s="68" t="str"/>
      <x:c r="O726" s="68" t="str">
        <x:v>59.8</x:v>
      </x:c>
      <x:c r="P726" s="68" t="str"/>
    </x:row>
    <x:row r="727">
      <x:c r="A727" s="106" t="n">
        <x:v>22</x:v>
      </x:c>
      <x:c r="B727" s="106" t="str">
        <x:v>726</x:v>
      </x:c>
      <x:c r="C727" s="167" t="str">
        <x:f>"095211008418"</x:f>
        <x:v>095211008418</x:v>
      </x:c>
      <x:c r="D727" s="68" t="str">
        <x:v>D6 CHi HIEN</x:v>
      </x:c>
      <x:c r="E727" s="68" t="str"/>
      <x:c r="F727" s="68" t="str">
        <x:v>31/10/2011</x:v>
      </x:c>
      <x:c r="G727" s="68" t="str">
        <x:v>Kinh</x:v>
      </x:c>
      <x:c r="H727" s="68" t="str">
        <x:v>Xa Vlnh Phu6c</x:v>
      </x:c>
      <x:c r="I727" s="68" t="str">
        <x:v>THCS VTnh Pha Tay</x:v>
      </x:c>
      <x:c r="J727" s="68" t="str">
        <x:v>Xa Vinh Phu6c</x:v>
      </x:c>
      <x:c r="K727" s="68" t="str">
        <x:v>28.8</x:v>
      </x:c>
      <x:c r="L727" s="68" t="str">
        <x:v>30</x:v>
      </x:c>
      <x:c r="M727" s="68" t="str">
        <x:v>1.0</x:v>
      </x:c>
      <x:c r="N727" s="68" t="str"/>
      <x:c r="O727" s="68" t="str">
        <x:v>59.8</x:v>
      </x:c>
      <x:c r="P727" s="68" t="str"/>
    </x:row>
    <x:row r="728">
      <x:c r="A728" s="106" t="n">
        <x:v>22</x:v>
      </x:c>
      <x:c r="B728" s="106" t="str">
        <x:v>727</x:v>
      </x:c>
      <x:c r="C728" s="167" t="str">
        <x:f>"095211000938"</x:f>
        <x:v>095211000938</x:v>
      </x:c>
      <x:c r="D728" s="68" t="str">
        <x:v>LE HOANG NGHiA</x:v>
      </x:c>
      <x:c r="E728" s="68" t="str"/>
      <x:c r="F728" s="68" t="str">
        <x:v>13/09/201 1</x:v>
      </x:c>
      <x:c r="G728" s="68" t="str">
        <x:v>Kinh</x:v>
      </x:c>
      <x:c r="H728" s="68" t="str">
        <x:v>Xa Phudc Long</x:v>
      </x:c>
      <x:c r="I728" s="68" t="str">
        <x:v>THCS Vrnh Thanh</x:v>
      </x:c>
      <x:c r="J728" s="68" t="str">
        <x:v>Xa VTnh Thanh</x:v>
      </x:c>
      <x:c r="K728" s="68" t="str">
        <x:v>27.8</x:v>
      </x:c>
      <x:c r="L728" s="68" t="str">
        <x:v>32</x:v>
      </x:c>
      <x:c r="M728" s="68" t="str"/>
      <x:c r="N728" s="68" t="str"/>
      <x:c r="O728" s="68" t="str">
        <x:v>59.8</x:v>
      </x:c>
      <x:c r="P728" s="68" t="str"/>
    </x:row>
    <x:row r="729">
      <x:c r="A729" s="106" t="n">
        <x:v>22</x:v>
      </x:c>
      <x:c r="B729" s="106" t="str">
        <x:v>728</x:v>
      </x:c>
      <x:c r="C729" s="167" t="str">
        <x:f>"0953 1 1008390"</x:f>
        <x:v>0953 1 1008390</x:v>
      </x:c>
      <x:c r="D729" s="68" t="str">
        <x:v>TRU'ONG GLA HAN</x:v>
      </x:c>
      <x:c r="E729" s="68" t="str">
        <x:v>X</x:v>
      </x:c>
      <x:c r="F729" s="68" t="str">
        <x:v>18/01/2011</x:v>
      </x:c>
      <x:c r="G729" s="68" t="str">
        <x:v>Kinh</x:v>
      </x:c>
      <x:c r="H729" s="68" t="str">
        <x:v>Xa Phu6c Long</x:v>
      </x:c>
      <x:c r="I729" s="68" t="str">
        <x:v>THCS Phu a Long</x:v>
      </x:c>
      <x:c r="J729" s="68" t="str">
        <x:v>Xa Phu6c Long</x:v>
      </x:c>
      <x:c r="K729" s="68" t="str">
        <x:v>29.7</x:v>
      </x:c>
      <x:c r="L729" s="68" t="str">
        <x:v>30</x:v>
      </x:c>
      <x:c r="M729" s="68" t="str"/>
      <x:c r="N729" s="68" t="str"/>
      <x:c r="O729" s="68" t="str">
        <x:v>59.7</x:v>
      </x:c>
      <x:c r="P729" s="68" t="str"/>
    </x:row>
    <x:row r="730">
      <x:c r="A730" s="106" t="n">
        <x:v>22</x:v>
      </x:c>
      <x:c r="B730" s="106" t="str">
        <x:v>729</x:v>
      </x:c>
      <x:c r="C730" s="167" t="str">
        <x:f>"095211006732"</x:f>
        <x:v>095211006732</x:v>
      </x:c>
      <x:c r="D730" s="68" t="str">
        <x:v>NGUYEN QU6C DINH</x:v>
      </x:c>
      <x:c r="E730" s="68" t="str"/>
      <x:c r="F730" s="68" t="str">
        <x:v>13/07/201 1</x:v>
      </x:c>
      <x:c r="G730" s="68" t="str">
        <x:v>Kinh</x:v>
      </x:c>
      <x:c r="H730" s="68" t="str">
        <x:v>Xa Flnh Thanh</x:v>
      </x:c>
      <x:c r="I730" s="68" t="str">
        <x:v>THCS Hung Phd</x:v>
      </x:c>
      <x:c r="J730" s="68" t="str">
        <x:v>Xa VTnh Thanh</x:v>
      </x:c>
      <x:c r="K730" s="68" t="str">
        <x:v>27.6</x:v>
      </x:c>
      <x:c r="L730" s="68" t="str">
        <x:v>32</x:v>
      </x:c>
      <x:c r="M730" s="68" t="str"/>
      <x:c r="N730" s="68" t="str"/>
      <x:c r="O730" s="68" t="str">
        <x:v>59.6</x:v>
      </x:c>
      <x:c r="P730" s="68" t="str"/>
    </x:row>
    <x:row r="731">
      <x:c r="A731" s="106" t="n">
        <x:v>22</x:v>
      </x:c>
      <x:c r="B731" s="106" t="str">
        <x:v>730</x:v>
      </x:c>
      <x:c r="C731" s="167" t="str">
        <x:f>"09521 1008647"</x:f>
        <x:v>09521 1008647</x:v>
      </x:c>
      <x:c r="D731" s="68" t="str">
        <x:v>TRAN vAN MINH DUY</x:v>
      </x:c>
      <x:c r="E731" s="68" t="str"/>
      <x:c r="F731" s="68" t="str">
        <x:v>16/02/2011</x:v>
      </x:c>
      <x:c r="G731" s="68" t="str">
        <x:v>Kinh</x:v>
      </x:c>
      <x:c r="H731" s="68" t="str">
        <x:v>Xa Phu6c Long</x:v>
      </x:c>
      <x:c r="I731" s="68" t="str">
        <x:v>THCS Wnh Thanh</x:v>
      </x:c>
      <x:c r="J731" s="68" t="str">
        <x:v>Xa VTnh Thanh</x:v>
      </x:c>
      <x:c r="K731" s="68" t="str">
        <x:v>27.6</x:v>
      </x:c>
      <x:c r="L731" s="68" t="str">
        <x:v>32</x:v>
      </x:c>
      <x:c r="M731" s="68" t="str"/>
      <x:c r="N731" s="68" t="str"/>
      <x:c r="O731" s="68" t="str">
        <x:v>59.6</x:v>
      </x:c>
      <x:c r="P731" s="68" t="str"/>
    </x:row>
    <x:row r="732">
      <x:c r="A732" s="106" t="n">
        <x:v>22</x:v>
      </x:c>
      <x:c r="B732" s="106" t="str">
        <x:v>731</x:v>
      </x:c>
      <x:c r="C732" s="167" t="str">
        <x:f>"095211003874"</x:f>
        <x:v>095211003874</x:v>
      </x:c>
      <x:c r="D732" s="68" t="str">
        <x:v>LE QUANG HA</x:v>
      </x:c>
      <x:c r="E732" s="68" t="str"/>
      <x:c r="F732" s="68" t="str">
        <x:v>30/12/2011</x:v>
      </x:c>
      <x:c r="G732" s="68" t="str">
        <x:v>Kinh</x:v>
      </x:c>
      <x:c r="H732" s="68" t="str">
        <x:v>Xa Vinh Phudc</x:v>
      </x:c>
      <x:c r="I732" s="68" t="str">
        <x:v>THCS VTnh Pha Tay</x:v>
      </x:c>
      <x:c r="J732" s="68" t="str">
        <x:v>Xa Vinh phu6c</x:v>
      </x:c>
      <x:c r="K732" s="68" t="str">
        <x:v>27.6</x:v>
      </x:c>
      <x:c r="L732" s="68" t="str">
        <x:v>32</x:v>
      </x:c>
      <x:c r="M732" s="68" t="str"/>
      <x:c r="N732" s="68" t="str"/>
      <x:c r="O732" s="68" t="str">
        <x:v>59.6</x:v>
      </x:c>
      <x:c r="P732" s="68" t="str"/>
    </x:row>
    <x:row r="733">
      <x:c r="A733" s="106" t="n">
        <x:v>22</x:v>
      </x:c>
      <x:c r="B733" s="106" t="str">
        <x:v>732</x:v>
      </x:c>
      <x:c r="C733" s="167" t="str">
        <x:f>"0953 1 1004368"</x:f>
        <x:v>0953 1 1004368</x:v>
      </x:c>
      <x:c r="D733" s="68" t="str">
        <x:v>NGUYEN THI YiN NHI</x:v>
      </x:c>
      <x:c r="E733" s="68" t="str">
        <x:v>X</x:v>
      </x:c>
      <x:c r="F733" s="68" t="str">
        <x:v>05/09/2011</x:v>
      </x:c>
      <x:c r="G733" s="68" t="str">
        <x:v>Kinh</x:v>
      </x:c>
      <x:c r="H733" s="68" t="str">
        <x:v>Xa Phudc Long</x:v>
      </x:c>
      <x:c r="I733" s="68" t="str">
        <x:v>THCS Phudc Long</x:v>
      </x:c>
      <x:c r="J733" s="68" t="str">
        <x:v>Xa Phudc Long</x:v>
      </x:c>
      <x:c r="K733" s="68" t="str">
        <x:v>27.5</x:v>
      </x:c>
      <x:c r="L733" s="68" t="str">
        <x:v>32</x:v>
      </x:c>
      <x:c r="M733" s="68" t="str"/>
      <x:c r="N733" s="68" t="str"/>
      <x:c r="O733" s="68" t="str">
        <x:v>59.5</x:v>
      </x:c>
      <x:c r="P733" s="68" t="str"/>
    </x:row>
    <x:row r="734">
      <x:c r="A734" s="106" t="n">
        <x:v>22</x:v>
      </x:c>
      <x:c r="B734" s="106" t="str">
        <x:v>733</x:v>
      </x:c>
      <x:c r="C734" s="167" t="str">
        <x:f>"0953 1 1010013"</x:f>
        <x:v>0953 1 1010013</x:v>
      </x:c>
      <x:c r="D734" s="68" t="str">
        <x:v>VUaNG THI GLA QUYEN</x:v>
      </x:c>
      <x:c r="E734" s="68" t="str">
        <x:v>X</x:v>
      </x:c>
      <x:c r="F734" s="68" t="str">
        <x:v>20/02/2011</x:v>
      </x:c>
      <x:c r="G734" s="68" t="str">
        <x:v>Kinh</x:v>
      </x:c>
      <x:c r="H734" s="68" t="str">
        <x:v>Xa Vinh Phu6c</x:v>
      </x:c>
      <x:c r="I734" s="68" t="str">
        <x:v>THCS Wnh Pha Tay</x:v>
      </x:c>
      <x:c r="J734" s="68" t="str">
        <x:v>Xa Vrnh Phu6c</x:v>
      </x:c>
      <x:c r="K734" s="68" t="str">
        <x:v>27.5</x:v>
      </x:c>
      <x:c r="L734" s="68" t="str">
        <x:v>32</x:v>
      </x:c>
      <x:c r="M734" s="68" t="str"/>
      <x:c r="N734" s="68" t="str"/>
      <x:c r="O734" s="68" t="str">
        <x:v>59.5</x:v>
      </x:c>
      <x:c r="P734" s="68" t="str"/>
    </x:row>
    <x:row r="735">
      <x:c r="A735" s="106" t="n">
        <x:v>22</x:v>
      </x:c>
      <x:c r="B735" s="106" t="str">
        <x:v>734</x:v>
      </x:c>
      <x:c r="C735" s="167" t="str">
        <x:f>"0953 1 1002021"</x:f>
        <x:v>0953 1 1002021</x:v>
      </x:c>
      <x:c r="D735" s="68" t="str">
        <x:v>NGUYEN THEJY VY</x:v>
      </x:c>
      <x:c r="E735" s="68" t="str">
        <x:v>X</x:v>
      </x:c>
      <x:c r="F735" s="68" t="str">
        <x:v>03/1 1/2011</x:v>
      </x:c>
      <x:c r="G735" s="68" t="str">
        <x:v>Kinh</x:v>
      </x:c>
      <x:c r="H735" s="68" t="str">
        <x:v>Xa Wnh Thanh</x:v>
      </x:c>
      <x:c r="I735" s="68" t="str">
        <x:v>THCS Hung Phd</x:v>
      </x:c>
      <x:c r="J735" s="68" t="str">
        <x:v>Xa Vinh Thanh</x:v>
      </x:c>
      <x:c r="K735" s="68" t="str">
        <x:v>27.5</x:v>
      </x:c>
      <x:c r="L735" s="68" t="str">
        <x:v>32</x:v>
      </x:c>
      <x:c r="M735" s="68" t="str"/>
      <x:c r="N735" s="68" t="str"/>
      <x:c r="O735" s="68" t="str">
        <x:v>59.5</x:v>
      </x:c>
      <x:c r="P735" s="68" t="str"/>
    </x:row>
    <x:row r="736">
      <x:c r="A736" s="106" t="n">
        <x:v>22</x:v>
      </x:c>
      <x:c r="B736" s="106" t="str">
        <x:v>735</x:v>
      </x:c>
      <x:c r="C736" s="167" t="str">
        <x:f>"0953 1 1007096"</x:f>
        <x:v>0953 1 1007096</x:v>
      </x:c>
      <x:c r="D736" s="68" t="str">
        <x:v>NGUYEN THI BiCH NF[U'</x:v>
      </x:c>
      <x:c r="E736" s="68" t="str">
        <x:v>X</x:v>
      </x:c>
      <x:c r="F736" s="68" t="str">
        <x:v>30/10/2011</x:v>
      </x:c>
      <x:c r="G736" s="68" t="str">
        <x:v>Kinh</x:v>
      </x:c>
      <x:c r="H736" s="68" t="str">
        <x:v>Xa Phudc Long</x:v>
      </x:c>
      <x:c r="I736" s="68" t="str">
        <x:v>THCS Truang Wnh KV</x:v>
      </x:c>
      <x:c r="J736" s="68" t="str">
        <x:v>Xa H6ng Dan</x:v>
      </x:c>
      <x:c r="K736" s="68" t="str">
        <x:v>27.5</x:v>
      </x:c>
      <x:c r="L736" s="68" t="str">
        <x:v>32</x:v>
      </x:c>
      <x:c r="M736" s="68" t="str"/>
      <x:c r="N736" s="68" t="str"/>
      <x:c r="O736" s="68" t="str">
        <x:v>59.5</x:v>
      </x:c>
      <x:c r="P736" s="68" t="str"/>
    </x:row>
    <x:row r="737">
      <x:c r="A737" s="106" t="n">
        <x:v>22</x:v>
      </x:c>
      <x:c r="B737" s="106" t="str">
        <x:v>736</x:v>
      </x:c>
      <x:c r="C737" s="167" t="str">
        <x:f>"09521 1 009034"</x:f>
        <x:v>09521 1 009034</x:v>
      </x:c>
      <x:c r="D737" s="68" t="str">
        <x:v>Eur+NH vAN AN</x:v>
      </x:c>
      <x:c r="E737" s="68" t="str"/>
      <x:c r="F737" s="68" t="str">
        <x:v>23/01/2011</x:v>
      </x:c>
      <x:c r="G737" s="68" t="str">
        <x:v>Kinh</x:v>
      </x:c>
      <x:c r="H737" s="68" t="str">
        <x:v>Xa Phu a Long</x:v>
      </x:c>
      <x:c r="I737" s="68" t="str">
        <x:v>THCS Vuang Hnu Nhan</x:v>
      </x:c>
      <x:c r="J737" s="68" t="str">
        <x:v>Xa Phu(b Long</x:v>
      </x:c>
      <x:c r="K737" s="68" t="str">
        <x:v>27.5</x:v>
      </x:c>
      <x:c r="L737" s="68" t="str">
        <x:v>32</x:v>
      </x:c>
      <x:c r="M737" s="68" t="str"/>
      <x:c r="N737" s="68" t="str"/>
      <x:c r="O737" s="68" t="str">
        <x:v>59.5</x:v>
      </x:c>
      <x:c r="P737" s="68" t="str"/>
    </x:row>
    <x:row r="738">
      <x:c r="A738" s="106" t="n">
        <x:v>22</x:v>
      </x:c>
      <x:c r="B738" s="106" t="str">
        <x:v>737</x:v>
      </x:c>
      <x:c r="C738" s="167" t="str">
        <x:f>"09521 1008 198"</x:f>
        <x:v>09521 1008 198</x:v>
      </x:c>
      <x:c r="D738" s="68" t="str">
        <x:v>HUtNH HOANG NAM</x:v>
      </x:c>
      <x:c r="E738" s="68" t="str"/>
      <x:c r="F738" s="68" t="str">
        <x:v>13/05/201 1</x:v>
      </x:c>
      <x:c r="G738" s="68" t="str">
        <x:v>Kinh</x:v>
      </x:c>
      <x:c r="H738" s="68" t="str">
        <x:v>Xa Phudc Long</x:v>
      </x:c>
      <x:c r="I738" s="68" t="str">
        <x:v>THCS Phu6c Long</x:v>
      </x:c>
      <x:c r="J738" s="68" t="str">
        <x:v>Xa Phudc Long</x:v>
      </x:c>
      <x:c r="K738" s="68" t="str">
        <x:v>27.4</x:v>
      </x:c>
      <x:c r="L738" s="68" t="str">
        <x:v>32</x:v>
      </x:c>
      <x:c r="M738" s="68" t="str"/>
      <x:c r="N738" s="68" t="str"/>
      <x:c r="O738" s="68" t="str">
        <x:v>59.4</x:v>
      </x:c>
      <x:c r="P738" s="68" t="str"/>
    </x:row>
    <x:row r="739">
      <x:c r="A739" s="106" t="n">
        <x:v>22</x:v>
      </x:c>
      <x:c r="B739" s="106" t="str">
        <x:v>738</x:v>
      </x:c>
      <x:c r="C739" s="167" t="str">
        <x:f>"0953 1 1006145"</x:f>
        <x:v>0953 1 1006145</x:v>
      </x:c>
      <x:c r="D739" s="68" t="str">
        <x:v>DOAN THr PHrJONG VY</x:v>
      </x:c>
      <x:c r="E739" s="68" t="str">
        <x:v>X</x:v>
      </x:c>
      <x:c r="F739" s="68" t="str">
        <x:v>05/04/2011</x:v>
      </x:c>
      <x:c r="G739" s="68" t="str">
        <x:v>Khmerl</x:v>
      </x:c>
      <x:c r="H739" s="68" t="str">
        <x:v>Xa Wnh Phu6c</x:v>
      </x:c>
      <x:c r="I739" s="68" t="str">
        <x:v>THCS VTnh Pha Tay</x:v>
      </x:c>
      <x:c r="J739" s="68" t="str">
        <x:v>Xa VTnh Phu6c</x:v>
      </x:c>
      <x:c r="K739" s="68" t="str">
        <x:v>28.4</x:v>
      </x:c>
      <x:c r="L739" s="68" t="str">
        <x:v>30</x:v>
      </x:c>
      <x:c r="M739" s="68" t="str">
        <x:v>1.0</x:v>
      </x:c>
      <x:c r="N739" s="68" t="str"/>
      <x:c r="O739" s="68" t="str">
        <x:v>59.4</x:v>
      </x:c>
      <x:c r="P739" s="68" t="str"/>
    </x:row>
    <x:row r="740">
      <x:c r="A740" s="106" t="n">
        <x:v>22</x:v>
      </x:c>
      <x:c r="B740" s="106" t="str">
        <x:v>739</x:v>
      </x:c>
      <x:c r="C740" s="167" t="str">
        <x:f>"095211000503"</x:f>
        <x:v>095211000503</x:v>
      </x:c>
      <x:c r="D740" s="68" t="str">
        <x:v>NGUYEN MINH TU'dNG</x:v>
      </x:c>
      <x:c r="E740" s="68" t="str"/>
      <x:c r="F740" s="68" t="str">
        <x:v>20/01/201 1</x:v>
      </x:c>
      <x:c r="G740" s="68" t="str">
        <x:v>Kinh</x:v>
      </x:c>
      <x:c r="H740" s="68" t="str">
        <x:v>Xg Vlnh phudc</x:v>
      </x:c>
      <x:c r="I740" s="68" t="str">
        <x:v>THCS Vinh Pha Tay</x:v>
      </x:c>
      <x:c r="J740" s="68" t="str">
        <x:v>Xa Vinh PhMc</x:v>
      </x:c>
      <x:c r="K740" s="68" t="str">
        <x:v>27.4</x:v>
      </x:c>
      <x:c r="L740" s="68" t="str">
        <x:v>32</x:v>
      </x:c>
      <x:c r="M740" s="68" t="str"/>
      <x:c r="N740" s="68" t="str"/>
      <x:c r="O740" s="68" t="str">
        <x:v>59.4</x:v>
      </x:c>
      <x:c r="P740" s="68" t="str"/>
    </x:row>
    <x:row r="741">
      <x:c r="A741" s="106" t="n">
        <x:v>22</x:v>
      </x:c>
      <x:c r="B741" s="106" t="str">
        <x:v>740</x:v>
      </x:c>
      <x:c r="C741" s="167" t="str">
        <x:f>"0953 1 1002720"</x:f>
        <x:v>0953 1 1002720</x:v>
      </x:c>
      <x:c r="D741" s="68" t="str">
        <x:v>LE THI M? DUY£N</x:v>
      </x:c>
      <x:c r="E741" s="68" t="str">
        <x:v>X</x:v>
      </x:c>
      <x:c r="F741" s="68" t="str">
        <x:v>24/09/2011</x:v>
      </x:c>
      <x:c r="G741" s="68" t="str">
        <x:v>Kinh</x:v>
      </x:c>
      <x:c r="H741" s="68" t="str">
        <x:v>Xa VTnh Thanh</x:v>
      </x:c>
      <x:c r="I741" s="68" t="str">
        <x:v>THCS Hung Phd</x:v>
      </x:c>
      <x:c r="J741" s="68" t="str">
        <x:v>Xa Vmh Thanh</x:v>
      </x:c>
      <x:c r="K741" s="68" t="str">
        <x:v>27.4</x:v>
      </x:c>
      <x:c r="L741" s="68" t="str">
        <x:v>32</x:v>
      </x:c>
      <x:c r="M741" s="68" t="str"/>
      <x:c r="N741" s="68" t="str"/>
      <x:c r="O741" s="68" t="str">
        <x:v>59.4</x:v>
      </x:c>
      <x:c r="P741" s="68" t="str"/>
    </x:row>
    <x:row r="742">
      <x:c r="A742" s="106" t="n">
        <x:v>22</x:v>
      </x:c>
      <x:c r="B742" s="106" t="str">
        <x:v>741</x:v>
      </x:c>
      <x:c r="C742" s="167" t="str">
        <x:f>"0953 1 1003676"</x:f>
        <x:v>0953 1 1003676</x:v>
      </x:c>
      <x:c r="D742" s="68" t="str">
        <x:v>TRAN TO LAM</x:v>
      </x:c>
      <x:c r="E742" s="68" t="str">
        <x:v>X</x:v>
      </x:c>
      <x:c r="F742" s="68" t="str">
        <x:v>24/1 1/2011</x:v>
      </x:c>
      <x:c r="G742" s="68" t="str">
        <x:v>Kinh</x:v>
      </x:c>
      <x:c r="H742" s="68" t="str">
        <x:v>Xa Phudc Long</x:v>
      </x:c>
      <x:c r="I742" s="68" t="str">
        <x:v>THCS Phudc Long</x:v>
      </x:c>
      <x:c r="J742" s="68" t="str">
        <x:v>Xa Phu6c Long</x:v>
      </x:c>
      <x:c r="K742" s="68" t="str">
        <x:v>27.3</x:v>
      </x:c>
      <x:c r="L742" s="68" t="str">
        <x:v>32</x:v>
      </x:c>
      <x:c r="M742" s="68" t="str"/>
      <x:c r="N742" s="68" t="str"/>
      <x:c r="O742" s="68" t="str">
        <x:v>59.3</x:v>
      </x:c>
      <x:c r="P742" s="68" t="str"/>
    </x:row>
    <x:row r="743">
      <x:c r="A743" s="106" t="n">
        <x:v>22</x:v>
      </x:c>
      <x:c r="B743" s="106" t="str">
        <x:v>742</x:v>
      </x:c>
      <x:c r="C743" s="167" t="str">
        <x:f>"095211001271"</x:f>
        <x:v>095211001271</x:v>
      </x:c>
      <x:c r="D743" s="68" t="str">
        <x:v>TRAN CHi TH£M</x:v>
      </x:c>
      <x:c r="E743" s="68" t="str"/>
      <x:c r="F743" s="68" t="str">
        <x:v>24/06/201 1</x:v>
      </x:c>
      <x:c r="G743" s="68" t="str">
        <x:v>Kinh</x:v>
      </x:c>
      <x:c r="H743" s="68" t="str">
        <x:v>Xa Vrnh Thanh</x:v>
      </x:c>
      <x:c r="I743" s="68" t="str">
        <x:v>THCS Vinh Thanh</x:v>
      </x:c>
      <x:c r="J743" s="68" t="str">
        <x:v>Xa Wnh Thanh</x:v>
      </x:c>
      <x:c r="K743" s="68" t="str">
        <x:v>27.3</x:v>
      </x:c>
      <x:c r="L743" s="68" t="str">
        <x:v>32</x:v>
      </x:c>
      <x:c r="M743" s="68" t="str"/>
      <x:c r="N743" s="68" t="str"/>
      <x:c r="O743" s="68" t="str">
        <x:v>59.3</x:v>
      </x:c>
      <x:c r="P743" s="68" t="str"/>
    </x:row>
    <x:row r="744">
      <x:c r="A744" s="106" t="n">
        <x:v>23</x:v>
      </x:c>
      <x:c r="B744" s="106" t="str">
        <x:v>743</x:v>
      </x:c>
      <x:c r="C744" s="167" t="str">
        <x:f>"09521 1008558"</x:f>
        <x:v>09521 1008558</x:v>
      </x:c>
      <x:c r="D744" s="68" t="str">
        <x:v>Li Qu6c NAM</x:v>
      </x:c>
      <x:c r="E744" s="68" t="str"/>
      <x:c r="F744" s="68" t="str">
        <x:v>03/05/2011</x:v>
      </x:c>
      <x:c r="G744" s="68" t="str">
        <x:v>Kinh</x:v>
      </x:c>
      <x:c r="H744" s="68" t="str">
        <x:v>Xa Phu6c Long</x:v>
      </x:c>
      <x:c r="I744" s="68" t="str">
        <x:v>THCS Vuang Hall Nhan</x:v>
      </x:c>
      <x:c r="J744" s="68" t="str">
        <x:v>Xa Phu6c Long</x:v>
      </x:c>
      <x:c r="K744" s="68" t="str">
        <x:v>27.3</x:v>
      </x:c>
      <x:c r="L744" s="68" t="str">
        <x:v>32</x:v>
      </x:c>
      <x:c r="M744" s="68" t="str"/>
      <x:c r="N744" s="68" t="str"/>
      <x:c r="O744" s="68" t="str">
        <x:v>59.3</x:v>
      </x:c>
      <x:c r="P744" s="68" t="str"/>
    </x:row>
    <x:row r="745">
      <x:c r="A745" s="106" t="n">
        <x:v>23</x:v>
      </x:c>
      <x:c r="B745" s="106" t="str">
        <x:v>744</x:v>
      </x:c>
      <x:c r="C745" s="167" t="str">
        <x:f>"0953 1 1010266"</x:f>
        <x:v>0953 1 1010266</x:v>
      </x:c>
      <x:c r="D745" s="68" t="str">
        <x:v>vO THI KHANH BANG</x:v>
      </x:c>
      <x:c r="E745" s="68" t="str">
        <x:v>X</x:v>
      </x:c>
      <x:c r="F745" s="68" t="str">
        <x:v>19/01/2011</x:v>
      </x:c>
      <x:c r="G745" s="68" t="str">
        <x:v>Kinh</x:v>
      </x:c>
      <x:c r="H745" s="68" t="str">
        <x:v>Xa VTnh Thanh</x:v>
      </x:c>
      <x:c r="I745" s="68" t="str">
        <x:v>THCS Vuang Hfru Nhan</x:v>
      </x:c>
      <x:c r="J745" s="68" t="str">
        <x:v>Xa Phu6c Long</x:v>
      </x:c>
      <x:c r="K745" s="68" t="str">
        <x:v>28.2</x:v>
      </x:c>
      <x:c r="L745" s="68" t="str">
        <x:v>31</x:v>
      </x:c>
      <x:c r="M745" s="68" t="str"/>
      <x:c r="N745" s="68" t="str"/>
      <x:c r="O745" s="68" t="str">
        <x:v>59.2</x:v>
      </x:c>
      <x:c r="P745" s="68" t="str"/>
    </x:row>
    <x:row r="746">
      <x:c r="A746" s="106" t="n">
        <x:v>23</x:v>
      </x:c>
      <x:c r="B746" s="106" t="str">
        <x:v>745</x:v>
      </x:c>
      <x:c r="C746" s="167" t="str">
        <x:f>"095210008 187"</x:f>
        <x:v>095210008 187</x:v>
      </x:c>
      <x:c r="D746" s="68" t="str">
        <x:v>NGUYEN K£EN THtlC</x:v>
      </x:c>
      <x:c r="E746" s="68" t="str"/>
      <x:c r="F746" s="68" t="str">
        <x:v>26/05/2010</x:v>
      </x:c>
      <x:c r="G746" s="68" t="str">
        <x:v>Kinh</x:v>
      </x:c>
      <x:c r="H746" s="68" t="str">
        <x:v>Xa H6ng Dan</x:v>
      </x:c>
      <x:c r="I746" s="68" t="str">
        <x:v>THCS Truang Wnh KV</x:v>
      </x:c>
      <x:c r="J746" s="68" t="str">
        <x:v>Xa H6ng Dan</x:v>
      </x:c>
      <x:c r="K746" s="68" t="str">
        <x:v>27.2</x:v>
      </x:c>
      <x:c r="L746" s="68" t="str">
        <x:v>32</x:v>
      </x:c>
      <x:c r="M746" s="68" t="str"/>
      <x:c r="N746" s="68" t="str"/>
      <x:c r="O746" s="68" t="str">
        <x:v>59.2</x:v>
      </x:c>
      <x:c r="P746" s="68" t="str"/>
    </x:row>
    <x:row r="747">
      <x:c r="A747" s="106" t="n">
        <x:v>23</x:v>
      </x:c>
      <x:c r="B747" s="106" t="str">
        <x:v>746</x:v>
      </x:c>
      <x:c r="C747" s="167" t="str">
        <x:f>"095311001101"</x:f>
        <x:v>095311001101</x:v>
      </x:c>
      <x:c r="D747" s="68" t="str">
        <x:v>rrutNH TIll BAO NHU</x:v>
      </x:c>
      <x:c r="E747" s="68" t="str">
        <x:v>X</x:v>
      </x:c>
      <x:c r="F747" s="68" t="str">
        <x:v>18/09/2011</x:v>
      </x:c>
      <x:c r="G747" s="68" t="str">
        <x:v>Kinh</x:v>
      </x:c>
      <x:c r="H747" s="68" t="str">
        <x:v>Xa Phu6c Long</x:v>
      </x:c>
      <x:c r="I747" s="68" t="str">
        <x:v>THCS Phudc Long</x:v>
      </x:c>
      <x:c r="J747" s="68" t="str">
        <x:v>Xa Phudc Long</x:v>
      </x:c>
      <x:c r="K747" s="68" t="str">
        <x:v>27.1</x:v>
      </x:c>
      <x:c r="L747" s="68" t="str">
        <x:v>32</x:v>
      </x:c>
      <x:c r="M747" s="68" t="str"/>
      <x:c r="N747" s="68" t="str"/>
      <x:c r="O747" s="68" t="str">
        <x:v>59.1</x:v>
      </x:c>
      <x:c r="P747" s="68" t="str"/>
    </x:row>
    <x:row r="748">
      <x:c r="A748" s="106" t="n">
        <x:v>23</x:v>
      </x:c>
      <x:c r="B748" s="106" t="str">
        <x:v>747</x:v>
      </x:c>
      <x:c r="C748" s="167" t="str">
        <x:f>"09521 1001461"</x:f>
        <x:v>09521 1001461</x:v>
      </x:c>
      <x:c r="D748" s="68" t="str">
        <x:v>LB NGUYEN MINH TUCJNG</x:v>
      </x:c>
      <x:c r="E748" s="68" t="str"/>
      <x:c r="F748" s="68" t="str">
        <x:v>15/06/201 1</x:v>
      </x:c>
      <x:c r="G748" s="68" t="str">
        <x:v>Kinh</x:v>
      </x:c>
      <x:c r="H748" s="68" t="str">
        <x:v>Xa Vinh Tlranh</x:v>
      </x:c>
      <x:c r="I748" s="68" t="str">
        <x:v>THCS VTnh Thanh</x:v>
      </x:c>
      <x:c r="J748" s="68" t="str">
        <x:v>Xa VTnh Thanh</x:v>
      </x:c>
      <x:c r="K748" s="68" t="str">
        <x:v>26.9</x:v>
      </x:c>
      <x:c r="L748" s="68" t="str">
        <x:v>32</x:v>
      </x:c>
      <x:c r="M748" s="68" t="str"/>
      <x:c r="N748" s="68" t="str"/>
      <x:c r="O748" s="68" t="str">
        <x:v>58.9</x:v>
      </x:c>
      <x:c r="P748" s="68" t="str"/>
    </x:row>
    <x:row r="749">
      <x:c r="A749" s="106" t="n">
        <x:v>23</x:v>
      </x:c>
      <x:c r="B749" s="106" t="str">
        <x:v>748</x:v>
      </x:c>
      <x:c r="C749" s="167" t="str">
        <x:f>"0953 1 1009575"</x:f>
        <x:v>0953 1 1009575</x:v>
      </x:c>
      <x:c r="D749" s="68" t="str">
        <x:v>PHAN THI KIM NGUYEN</x:v>
      </x:c>
      <x:c r="E749" s="68" t="str">
        <x:v>X</x:v>
      </x:c>
      <x:c r="F749" s="68" t="str">
        <x:v>07/06/2011</x:v>
      </x:c>
      <x:c r="G749" s="68" t="str">
        <x:v>Kinh</x:v>
      </x:c>
      <x:c r="H749" s="68" t="str">
        <x:v>Xa Phudc Long</x:v>
      </x:c>
      <x:c r="I749" s="68" t="str">
        <x:v>THCS Phudc Long</x:v>
      </x:c>
      <x:c r="J749" s="68" t="str">
        <x:v>Xa Phu6c Long</x:v>
      </x:c>
      <x:c r="K749" s="68" t="str">
        <x:v>26.9</x:v>
      </x:c>
      <x:c r="L749" s="68" t="str">
        <x:v>32</x:v>
      </x:c>
      <x:c r="M749" s="68" t="str"/>
      <x:c r="N749" s="68" t="str"/>
      <x:c r="O749" s="68" t="str">
        <x:v>58.9</x:v>
      </x:c>
      <x:c r="P749" s="68" t="str"/>
    </x:row>
    <x:row r="750">
      <x:c r="A750" s="106" t="n">
        <x:v>23</x:v>
      </x:c>
      <x:c r="B750" s="106" t="str">
        <x:v>749</x:v>
      </x:c>
      <x:c r="C750" s="167" t="str">
        <x:f>"0953 1 1001492"</x:f>
        <x:v>0953 1 1001492</x:v>
      </x:c>
      <x:c r="D750" s="68" t="str">
        <x:v>DDIH KHANH BANG</x:v>
      </x:c>
      <x:c r="E750" s="68" t="str">
        <x:v>X</x:v>
      </x:c>
      <x:c r="F750" s="68" t="str">
        <x:v>12/01/2011</x:v>
      </x:c>
      <x:c r="G750" s="68" t="str">
        <x:v>Kinh</x:v>
      </x:c>
      <x:c r="H750" s="68" t="str">
        <x:v>Xa Phudc Long</x:v>
      </x:c>
      <x:c r="I750" s="68" t="str">
        <x:v>THCS Vuong HRu Nhan</x:v>
      </x:c>
      <x:c r="J750" s="68" t="str">
        <x:v>Xa Phudc Long</x:v>
      </x:c>
      <x:c r="K750" s="68" t="str">
        <x:v>26.9</x:v>
      </x:c>
      <x:c r="L750" s="68" t="str">
        <x:v>32</x:v>
      </x:c>
      <x:c r="M750" s="68" t="str"/>
      <x:c r="N750" s="68" t="str"/>
      <x:c r="O750" s="68" t="str">
        <x:v>58.9</x:v>
      </x:c>
      <x:c r="P750" s="68" t="str"/>
    </x:row>
    <x:row r="751">
      <x:c r="A751" s="106" t="n">
        <x:v>23</x:v>
      </x:c>
      <x:c r="B751" s="106" t="str">
        <x:v>750</x:v>
      </x:c>
      <x:c r="C751" s="167" t="str">
        <x:f>"0953 1 1000392"</x:f>
        <x:v>0953 1 1000392</x:v>
      </x:c>
      <x:c r="D751" s="68" t="str">
        <x:v>NGUYEN THI TO MY</x:v>
      </x:c>
      <x:c r="E751" s="68" t="str">
        <x:v>X</x:v>
      </x:c>
      <x:c r="F751" s="68" t="str">
        <x:v>03/06/2011</x:v>
      </x:c>
      <x:c r="G751" s="68" t="str">
        <x:v>Kinh</x:v>
      </x:c>
      <x:c r="H751" s="68" t="str">
        <x:v>Xa Phu6c Long</x:v>
      </x:c>
      <x:c r="I751" s="68" t="str">
        <x:v>THCS Phudc Long</x:v>
      </x:c>
      <x:c r="J751" s="68" t="str">
        <x:v>Xa Phu6c Long</x:v>
      </x:c>
      <x:c r="K751" s="68" t="str">
        <x:v>27.8</x:v>
      </x:c>
      <x:c r="L751" s="68" t="str">
        <x:v>31</x:v>
      </x:c>
      <x:c r="M751" s="68" t="str"/>
      <x:c r="N751" s="68" t="str"/>
      <x:c r="O751" s="68" t="str">
        <x:v>58.8</x:v>
      </x:c>
      <x:c r="P751" s="68" t="str"/>
    </x:row>
    <x:row r="752">
      <x:c r="A752" s="106" t="n">
        <x:v>23</x:v>
      </x:c>
      <x:c r="B752" s="106" t="str">
        <x:v>751</x:v>
      </x:c>
      <x:c r="C752" s="167" t="str">
        <x:f>"09531 1002784"</x:f>
        <x:v>09531 1002784</x:v>
      </x:c>
      <x:c r="D752" s="68" t="str">
        <x:v>NGUYEN ANH THU</x:v>
      </x:c>
      <x:c r="E752" s="68" t="str">
        <x:v>X</x:v>
      </x:c>
      <x:c r="F752" s="68" t="str">
        <x:v>27/05/201 1</x:v>
      </x:c>
      <x:c r="G752" s="68" t="str">
        <x:v>Kinh</x:v>
      </x:c>
      <x:c r="H752" s="68" t="str">
        <x:v>Xa VTnh Thanh</x:v>
      </x:c>
      <x:c r="I752" s="68" t="str">
        <x:v>THCS Hung Phd</x:v>
      </x:c>
      <x:c r="J752" s="68" t="str">
        <x:v>Xa Wmh Thanh</x:v>
      </x:c>
      <x:c r="K752" s="68" t="str">
        <x:v>27.8</x:v>
      </x:c>
      <x:c r="L752" s="68" t="str">
        <x:v>31</x:v>
      </x:c>
      <x:c r="M752" s="68" t="str"/>
      <x:c r="N752" s="68" t="str"/>
      <x:c r="O752" s="68" t="str">
        <x:v>58.8</x:v>
      </x:c>
      <x:c r="P752" s="68" t="str"/>
    </x:row>
    <x:row r="753">
      <x:c r="A753" s="106" t="n">
        <x:v>23</x:v>
      </x:c>
      <x:c r="B753" s="106" t="str">
        <x:v>752</x:v>
      </x:c>
      <x:c r="C753" s="167" t="str">
        <x:f>"095211010131"</x:f>
        <x:v>095211010131</x:v>
      </x:c>
      <x:c r="D753" s="68" t="str">
        <x:v>NGO GIA HUY</x:v>
      </x:c>
      <x:c r="E753" s="68" t="str"/>
      <x:c r="F753" s="68" t="str">
        <x:v>12/10/2011</x:v>
      </x:c>
      <x:c r="G753" s="68" t="str">
        <x:v>Kinh</x:v>
      </x:c>
      <x:c r="H753" s="68" t="str">
        <x:v>Xa Wnh Phu6c</x:v>
      </x:c>
      <x:c r="I753" s="68" t="str">
        <x:v>THCS Vinh Thanh</x:v>
      </x:c>
      <x:c r="J753" s="68" t="str">
        <x:v>Xa Vrnh Thanh</x:v>
      </x:c>
      <x:c r="K753" s="68" t="str">
        <x:v>27.8</x:v>
      </x:c>
      <x:c r="L753" s="68" t="str">
        <x:v>30</x:v>
      </x:c>
      <x:c r="M753" s="68" t="str">
        <x:v>1.0</x:v>
      </x:c>
      <x:c r="N753" s="68" t="str"/>
      <x:c r="O753" s="68" t="str">
        <x:v>58.8</x:v>
      </x:c>
      <x:c r="P753" s="68" t="str"/>
    </x:row>
    <x:row r="754">
      <x:c r="A754" s="106" t="n">
        <x:v>23</x:v>
      </x:c>
      <x:c r="B754" s="106" t="str">
        <x:v>753</x:v>
      </x:c>
      <x:c r="C754" s="167" t="str">
        <x:f>"09531 1004032"</x:f>
        <x:v>09531 1004032</x:v>
      </x:c>
      <x:c r="D754" s="68" t="str">
        <x:v>nANG CHAM ANH</x:v>
      </x:c>
      <x:c r="E754" s="68" t="str">
        <x:v>X</x:v>
      </x:c>
      <x:c r="F754" s="68" t="str">
        <x:v>11/07/2011</x:v>
      </x:c>
      <x:c r="G754" s="68" t="str">
        <x:v>Kinh</x:v>
      </x:c>
      <x:c r="H754" s="68" t="str">
        <x:v>Xa Phudc Long</x:v>
      </x:c>
      <x:c r="I754" s="68" t="str">
        <x:v>THCS Phudc Long</x:v>
      </x:c>
      <x:c r="J754" s="68" t="str">
        <x:v>Xa Phu6c Long</x:v>
      </x:c>
      <x:c r="K754" s="68" t="str">
        <x:v>28.7</x:v>
      </x:c>
      <x:c r="L754" s="68" t="str">
        <x:v>30</x:v>
      </x:c>
      <x:c r="M754" s="68" t="str"/>
      <x:c r="N754" s="68" t="str"/>
      <x:c r="O754" s="68" t="str">
        <x:v>58.7</x:v>
      </x:c>
      <x:c r="P754" s="68" t="str"/>
    </x:row>
    <x:row r="755">
      <x:c r="A755" s="106" t="n">
        <x:v>23</x:v>
      </x:c>
      <x:c r="B755" s="106" t="str">
        <x:v>754</x:v>
      </x:c>
      <x:c r="C755" s="167" t="str">
        <x:f>"096210009601"</x:f>
        <x:v>096210009601</x:v>
      </x:c>
      <x:c r="D755" s="68" t="str">
        <x:v>TRINH PHAM QU6C BAO</x:v>
      </x:c>
      <x:c r="E755" s="68" t="str"/>
      <x:c r="F755" s="68" t="str">
        <x:v>30/1 1/2010</x:v>
      </x:c>
      <x:c r="G755" s="68" t="str">
        <x:v>Hoa</x:v>
      </x:c>
      <x:c r="H755" s="68" t="str">
        <x:v>Xa Tan Thanh</x:v>
      </x:c>
      <x:c r="I755" s="68" t="str">
        <x:v>THCS Phu6c Long</x:v>
      </x:c>
      <x:c r="J755" s="68" t="str">
        <x:v>Xa Phu6c Long</x:v>
      </x:c>
      <x:c r="K755" s="68" t="str">
        <x:v>27.7</x:v>
      </x:c>
      <x:c r="L755" s="68" t="str">
        <x:v>30</x:v>
      </x:c>
      <x:c r="M755" s="68" t="str">
        <x:v>1.0</x:v>
      </x:c>
      <x:c r="N755" s="68" t="str"/>
      <x:c r="O755" s="68" t="str">
        <x:v>58.7</x:v>
      </x:c>
      <x:c r="P755" s="68" t="str"/>
    </x:row>
    <x:row r="756">
      <x:c r="A756" s="106" t="n">
        <x:v>23</x:v>
      </x:c>
      <x:c r="B756" s="106" t="str">
        <x:v>755</x:v>
      </x:c>
      <x:c r="C756" s="167" t="str">
        <x:f>"09521 1002214"</x:f>
        <x:v>09521 1002214</x:v>
      </x:c>
      <x:c r="D756" s="68" t="str">
        <x:v>LUaNG DUY LAM</x:v>
      </x:c>
      <x:c r="E756" s="68" t="str"/>
      <x:c r="F756" s="68" t="str">
        <x:v>23/09/2011</x:v>
      </x:c>
      <x:c r="G756" s="68" t="str">
        <x:v>Kinh</x:v>
      </x:c>
      <x:c r="H756" s="68" t="str">
        <x:v>Xa Vinh Thanh</x:v>
      </x:c>
      <x:c r="I756" s="68" t="str">
        <x:v>THCS Hung Pha</x:v>
      </x:c>
      <x:c r="J756" s="68" t="str">
        <x:v>Xa Wah Thanh</x:v>
      </x:c>
      <x:c r="K756" s="68" t="str">
        <x:v>26.7</x:v>
      </x:c>
      <x:c r="L756" s="68" t="str">
        <x:v>32</x:v>
      </x:c>
      <x:c r="M756" s="68" t="str"/>
      <x:c r="N756" s="68" t="str"/>
      <x:c r="O756" s="68" t="str">
        <x:v>58.7</x:v>
      </x:c>
      <x:c r="P756" s="68" t="str"/>
    </x:row>
    <x:row r="757">
      <x:c r="A757" s="106" t="n">
        <x:v>23</x:v>
      </x:c>
      <x:c r="B757" s="106" t="str">
        <x:v>756</x:v>
      </x:c>
      <x:c r="C757" s="167" t="str">
        <x:f>"095210005671"</x:f>
        <x:v>095210005671</x:v>
      </x:c>
      <x:c r="D757" s="68" t="str">
        <x:v>NGUYEN THIEN NUAN</x:v>
      </x:c>
      <x:c r="E757" s="68" t="str"/>
      <x:c r="F757" s="68" t="str">
        <x:v>12/06/2010</x:v>
      </x:c>
      <x:c r="G757" s="68" t="str">
        <x:v>Kinh</x:v>
      </x:c>
      <x:c r="H757" s="68" t="str">
        <x:v>Xa Phu6c Long</x:v>
      </x:c>
      <x:c r="I757" s="68" t="str">
        <x:v>THCS Phudc Long</x:v>
      </x:c>
      <x:c r="J757" s="68" t="str">
        <x:v>Xa Phu6c Long</x:v>
      </x:c>
      <x:c r="K757" s="68" t="str">
        <x:v>27.6</x:v>
      </x:c>
      <x:c r="L757" s="68" t="str">
        <x:v>31</x:v>
      </x:c>
      <x:c r="M757" s="68" t="str"/>
      <x:c r="N757" s="68" t="str"/>
      <x:c r="O757" s="68" t="str">
        <x:v>58.6</x:v>
      </x:c>
      <x:c r="P757" s="68" t="str"/>
    </x:row>
    <x:row r="758">
      <x:c r="A758" s="106" t="n">
        <x:v>23</x:v>
      </x:c>
      <x:c r="B758" s="106" t="str">
        <x:v>757</x:v>
      </x:c>
      <x:c r="C758" s="167" t="str">
        <x:f>"095211008459"</x:f>
        <x:v>095211008459</x:v>
      </x:c>
      <x:c r="D758" s="68" t="str">
        <x:v>NGUyEN vAN THtJC</x:v>
      </x:c>
      <x:c r="E758" s="68" t="str"/>
      <x:c r="F758" s="68" t="str">
        <x:v>11/10/2011</x:v>
      </x:c>
      <x:c r="G758" s="68" t="str">
        <x:v>Kinh</x:v>
      </x:c>
      <x:c r="H758" s="68" t="str">
        <x:v>Xa Vinh Thanh</x:v>
      </x:c>
      <x:c r="I758" s="68" t="str">
        <x:v>THCS Vinh Thanh</x:v>
      </x:c>
      <x:c r="J758" s="68" t="str">
        <x:v>Xa Vrnh Thanh</x:v>
      </x:c>
      <x:c r="K758" s="68" t="str">
        <x:v>26.6</x:v>
      </x:c>
      <x:c r="L758" s="68" t="str">
        <x:v>32</x:v>
      </x:c>
      <x:c r="M758" s="68" t="str"/>
      <x:c r="N758" s="68" t="str"/>
      <x:c r="O758" s="68" t="str">
        <x:v>58.6</x:v>
      </x:c>
      <x:c r="P758" s="68" t="str"/>
    </x:row>
    <x:row r="759">
      <x:c r="A759" s="106" t="n">
        <x:v>23</x:v>
      </x:c>
      <x:c r="B759" s="106" t="str">
        <x:v>758</x:v>
      </x:c>
      <x:c r="C759" s="167" t="str">
        <x:f>"09521 1008385"</x:f>
        <x:v>09521 1008385</x:v>
      </x:c>
      <x:c r="D759" s="68" t="str">
        <x:v>DANG BA QUY£T</x:v>
      </x:c>
      <x:c r="E759" s="68" t="str"/>
      <x:c r="F759" s="68" t="str">
        <x:v>16/1 1/2011</x:v>
      </x:c>
      <x:c r="G759" s="68" t="str">
        <x:v>Kinh</x:v>
      </x:c>
      <x:c r="H759" s="68" t="str">
        <x:v>XI Ninh Qudi</x:v>
      </x:c>
      <x:c r="I759" s="68" t="str">
        <x:v>THCS Phu6c Long</x:v>
      </x:c>
      <x:c r="J759" s="68" t="str">
        <x:v>Xa Phu6c Long</x:v>
      </x:c>
      <x:c r="K759" s="68" t="str">
        <x:v>26.5</x:v>
      </x:c>
      <x:c r="L759" s="68" t="str">
        <x:v>32</x:v>
      </x:c>
      <x:c r="M759" s="68" t="str"/>
      <x:c r="N759" s="68" t="str"/>
      <x:c r="O759" s="68" t="str">
        <x:v>58.5</x:v>
      </x:c>
      <x:c r="P759" s="68" t="str"/>
    </x:row>
    <x:row r="760">
      <x:c r="A760" s="106" t="n">
        <x:v>23</x:v>
      </x:c>
      <x:c r="B760" s="106" t="str">
        <x:v>759</x:v>
      </x:c>
      <x:c r="C760" s="167" t="str">
        <x:f>"095211000813"</x:f>
        <x:v>095211000813</x:v>
      </x:c>
      <x:c r="D760" s="68" t="str">
        <x:v>NGUY£N vAN KHA</x:v>
      </x:c>
      <x:c r="E760" s="68" t="str"/>
      <x:c r="F760" s="68" t="str">
        <x:v>03/1 1/2011</x:v>
      </x:c>
      <x:c r="G760" s="68" t="str">
        <x:v>Kinh</x:v>
      </x:c>
      <x:c r="H760" s="68" t="str">
        <x:v>Xa Phudc Long</x:v>
      </x:c>
      <x:c r="I760" s="68" t="str">
        <x:v>THCS Hung Pha</x:v>
      </x:c>
      <x:c r="J760" s="68" t="str">
        <x:v>Xa Vinh Thanh</x:v>
      </x:c>
      <x:c r="K760" s="68" t="str">
        <x:v>28.4</x:v>
      </x:c>
      <x:c r="L760" s="68" t="str">
        <x:v>30</x:v>
      </x:c>
      <x:c r="M760" s="68" t="str"/>
      <x:c r="N760" s="68" t="str"/>
      <x:c r="O760" s="68" t="str">
        <x:v>58.4</x:v>
      </x:c>
      <x:c r="P760" s="68" t="str"/>
    </x:row>
    <x:row r="761">
      <x:c r="A761" s="106" t="n">
        <x:v>23</x:v>
      </x:c>
      <x:c r="B761" s="106" t="str">
        <x:v>760</x:v>
      </x:c>
      <x:c r="C761" s="167" t="str">
        <x:f>"09531 1008910"</x:f>
        <x:v>09531 1008910</x:v>
      </x:c>
      <x:c r="D761" s="68" t="str">
        <x:v>NGUYeN THU THAO</x:v>
      </x:c>
      <x:c r="E761" s="68" t="str">
        <x:v>X</x:v>
      </x:c>
      <x:c r="F761" s="68" t="str">
        <x:v>14/09/201 1</x:v>
      </x:c>
      <x:c r="G761" s="68" t="str">
        <x:v>Kinh</x:v>
      </x:c>
      <x:c r="H761" s="68" t="str">
        <x:v>Xa Flnh Phu6c</x:v>
      </x:c>
      <x:c r="I761" s="68" t="str">
        <x:v>THCS VTnh Thanh</x:v>
      </x:c>
      <x:c r="J761" s="68" t="str">
        <x:v>Xa Vinh Thanh</x:v>
      </x:c>
      <x:c r="K761" s="68" t="str">
        <x:v>27.4</x:v>
      </x:c>
      <x:c r="L761" s="68" t="str">
        <x:v>30</x:v>
      </x:c>
      <x:c r="M761" s="68" t="str">
        <x:v>1.0</x:v>
      </x:c>
      <x:c r="N761" s="68" t="str"/>
      <x:c r="O761" s="68" t="str">
        <x:v>58.4</x:v>
      </x:c>
      <x:c r="P761" s="68" t="str"/>
    </x:row>
    <x:row r="762">
      <x:c r="A762" s="106" t="n">
        <x:v>23</x:v>
      </x:c>
      <x:c r="B762" s="106" t="str">
        <x:v>761</x:v>
      </x:c>
      <x:c r="C762" s="167" t="str">
        <x:f>"095211005384"</x:f>
        <x:v>095211005384</x:v>
      </x:c>
      <x:c r="D762" s="68" t="str">
        <x:v>Li Qu6C TAM</x:v>
      </x:c>
      <x:c r="E762" s="68" t="str"/>
      <x:c r="F762" s="68" t="str">
        <x:v>01/01/2011</x:v>
      </x:c>
      <x:c r="G762" s="68" t="str">
        <x:v>Kinh</x:v>
      </x:c>
      <x:c r="H762" s="68" t="str">
        <x:v>Xa Phu a Long</x:v>
      </x:c>
      <x:c r="I762" s="68" t="str">
        <x:v>THCS Pbuh Long</x:v>
      </x:c>
      <x:c r="J762" s="68" t="str">
        <x:v>Xa Phudc Long</x:v>
      </x:c>
      <x:c r="K762" s="68" t="str">
        <x:v>28.3</x:v>
      </x:c>
      <x:c r="L762" s="68" t="str">
        <x:v>30</x:v>
      </x:c>
      <x:c r="M762" s="68" t="str"/>
      <x:c r="N762" s="68" t="str"/>
      <x:c r="O762" s="68" t="str">
        <x:v>58.3</x:v>
      </x:c>
      <x:c r="P762" s="68" t="str"/>
    </x:row>
    <x:row r="763">
      <x:c r="A763" s="106" t="n">
        <x:v>23</x:v>
      </x:c>
      <x:c r="B763" s="106" t="str">
        <x:v>762</x:v>
      </x:c>
      <x:c r="C763" s="167" t="str">
        <x:f>"095211001861"</x:f>
        <x:v>095211001861</x:v>
      </x:c>
      <x:c r="D763" s="68" t="str">
        <x:v>PHAM QU6C THINH</x:v>
      </x:c>
      <x:c r="E763" s="68" t="str"/>
      <x:c r="F763" s="68" t="str">
        <x:v>15/03/2011</x:v>
      </x:c>
      <x:c r="G763" s="68" t="str">
        <x:v>Kinh</x:v>
      </x:c>
      <x:c r="H763" s="68" t="str">
        <x:v>Xa Vinh Thanh</x:v>
      </x:c>
      <x:c r="I763" s="68" t="str">
        <x:v>THCS Hung Phd</x:v>
      </x:c>
      <x:c r="J763" s="68" t="str">
        <x:v>Xa VTnh Thanh</x:v>
      </x:c>
      <x:c r="K763" s="68" t="str">
        <x:v>27.3</x:v>
      </x:c>
      <x:c r="L763" s="68" t="str">
        <x:v>31</x:v>
      </x:c>
      <x:c r="M763" s="68" t="str"/>
      <x:c r="N763" s="68" t="str"/>
      <x:c r="O763" s="68" t="str">
        <x:v>58.3</x:v>
      </x:c>
      <x:c r="P763" s="68" t="str"/>
    </x:row>
    <x:row r="764">
      <x:c r="A764" s="106" t="n">
        <x:v>23</x:v>
      </x:c>
      <x:c r="B764" s="106" t="str">
        <x:v>763</x:v>
      </x:c>
      <x:c r="C764" s="167" t="str">
        <x:f>"09521 1000297"</x:f>
        <x:v>09521 1000297</x:v>
      </x:c>
      <x:c r="D764" s="68" t="str">
        <x:v>LE GLA HUY</x:v>
      </x:c>
      <x:c r="E764" s="68" t="str"/>
      <x:c r="F764" s="68" t="str">
        <x:v>26/1 1/2011</x:v>
      </x:c>
      <x:c r="G764" s="68" t="str">
        <x:v>Kinh</x:v>
      </x:c>
      <x:c r="H764" s="68" t="str">
        <x:v>Xa VTnh Thanh</x:v>
      </x:c>
      <x:c r="I764" s="68" t="str">
        <x:v>THCS VTnh Thanh</x:v>
      </x:c>
      <x:c r="J764" s="68" t="str">
        <x:v>Xa Vrnh Thanh</x:v>
      </x:c>
      <x:c r="K764" s="68" t="str">
        <x:v>28.2</x:v>
      </x:c>
      <x:c r="L764" s="68" t="str">
        <x:v>30</x:v>
      </x:c>
      <x:c r="M764" s="68" t="str"/>
      <x:c r="N764" s="68" t="str"/>
      <x:c r="O764" s="68" t="str">
        <x:v>58.2</x:v>
      </x:c>
      <x:c r="P764" s="68" t="str"/>
    </x:row>
    <x:row r="765">
      <x:c r="A765" s="106" t="n">
        <x:v>23</x:v>
      </x:c>
      <x:c r="B765" s="106" t="str">
        <x:v>764</x:v>
      </x:c>
      <x:c r="C765" s="167" t="str">
        <x:f>"09521 1006422"</x:f>
        <x:v>09521 1006422</x:v>
      </x:c>
      <x:c r="D765" s="68" t="str">
        <x:v>DANH CHi THIEN</x:v>
      </x:c>
      <x:c r="E765" s="68" t="str"/>
      <x:c r="F765" s="68" t="str">
        <x:v>03/08/201 1</x:v>
      </x:c>
      <x:c r="G765" s="68" t="str">
        <x:v>Khmer</x:v>
      </x:c>
      <x:c r="H765" s="68" t="str">
        <x:v>Xa Phu6c Long</x:v>
      </x:c>
      <x:c r="I765" s="68" t="str">
        <x:v>THCS Vuang Hfru Nhan</x:v>
      </x:c>
      <x:c r="J765" s="68" t="str">
        <x:v>Xa Phu6c Long</x:v>
      </x:c>
      <x:c r="K765" s="68" t="str">
        <x:v>27.2</x:v>
      </x:c>
      <x:c r="L765" s="68" t="str">
        <x:v>30</x:v>
      </x:c>
      <x:c r="M765" s="68" t="str">
        <x:v>1.0</x:v>
      </x:c>
      <x:c r="N765" s="68" t="str"/>
      <x:c r="O765" s="68" t="str">
        <x:v>58.2</x:v>
      </x:c>
      <x:c r="P765" s="68" t="str"/>
    </x:row>
    <x:row r="766">
      <x:c r="A766" s="106" t="n">
        <x:v>23</x:v>
      </x:c>
      <x:c r="B766" s="106" t="str">
        <x:v>765</x:v>
      </x:c>
      <x:c r="C766" s="167" t="str">
        <x:f>"09521 1005220"</x:f>
        <x:v>09521 1005220</x:v>
      </x:c>
      <x:c r="D766" s="68" t="str">
        <x:v>RAN PHAN MINH MINH DANG DANG</x:v>
      </x:c>
      <x:c r="E766" s="68" t="str">
        <x:v>–lli9/12/2011thm</x:v>
      </x:c>
      <x:c r="F766" s="68" t="str"/>
      <x:c r="G766" s="68" t="str">
        <x:v>Kinh</x:v>
      </x:c>
      <x:c r="H766" s="68" t="str">
        <x:v>Xg Xa Ph,rdc Phu6c L,„il Long</x:v>
      </x:c>
      <x:c r="I766" s="68" t="str">
        <x:v>THCS Phu6c Long</x:v>
      </x:c>
      <x:c r="J766" s="68" t="str">
        <x:v>Xa Vinh Phu6c</x:v>
      </x:c>
      <x:c r="K766" s="68" t="str">
        <x:v>28.1</x:v>
      </x:c>
      <x:c r="L766" s="68" t="str">
        <x:v>30</x:v>
      </x:c>
      <x:c r="M766" s="68" t="str"/>
      <x:c r="N766" s="68" t="str"/>
      <x:c r="O766" s="68" t="str">
        <x:v>58.1</x:v>
      </x:c>
      <x:c r="P766" s="68" t="str"/>
    </x:row>
    <x:row r="767">
      <x:c r="A767" s="106" t="n">
        <x:v>23</x:v>
      </x:c>
      <x:c r="B767" s="106" t="str">
        <x:v>766</x:v>
      </x:c>
      <x:c r="C767" s="167" t="str">
        <x:f>"095311004189"</x:f>
        <x:v>095311004189</x:v>
      </x:c>
      <x:c r="D767" s="68" t="str">
        <x:v>HUtNHKHA t</x:v>
      </x:c>
      <x:c r="E767" s="68" t="str">
        <x:v>X</x:v>
      </x:c>
      <x:c r="F767" s="68" t="str">
        <x:v>26/1 1/2011</x:v>
      </x:c>
      <x:c r="G767" s="68" t="str">
        <x:v>Kinh</x:v>
      </x:c>
      <x:c r="H767" s="68" t="str">
        <x:v>Xa Phu6c Long</x:v>
      </x:c>
      <x:c r="I767" s="68" t="str">
        <x:v>THCS Phu a Long</x:v>
      </x:c>
      <x:c r="J767" s="68" t="str">
        <x:v>Xa Phu6c Long</x:v>
      </x:c>
      <x:c r="K767" s="68" t="str">
        <x:v>28. 1</x:v>
      </x:c>
      <x:c r="L767" s="68" t="str">
        <x:v>30</x:v>
      </x:c>
      <x:c r="M767" s="68" t="str"/>
      <x:c r="N767" s="68" t="str"/>
      <x:c r="O767" s="68" t="str">
        <x:v>58.1</x:v>
      </x:c>
      <x:c r="P767" s="68" t="str"/>
    </x:row>
    <x:row r="768">
      <x:c r="A768" s="106" t="n">
        <x:v>23</x:v>
      </x:c>
      <x:c r="B768" s="106" t="str">
        <x:v>767</x:v>
      </x:c>
      <x:c r="C768" s="167" t="str">
        <x:f>"095211001745"</x:f>
        <x:v>095211001745</x:v>
      </x:c>
      <x:c r="D768" s="68" t="str">
        <x:v>BtJI HOANG DANG</x:v>
      </x:c>
      <x:c r="E768" s="68" t="str"/>
      <x:c r="F768" s="68" t="str">
        <x:v>06/03/2011</x:v>
      </x:c>
      <x:c r="G768" s="68" t="str">
        <x:v>Kinh</x:v>
      </x:c>
      <x:c r="H768" s="68" t="str">
        <x:v>Xa Vinh Phudc</x:v>
      </x:c>
      <x:c r="I768" s="68" t="str">
        <x:v>THCS Wnh Pha Tay</x:v>
      </x:c>
      <x:c r="J768" s="68" t="str">
        <x:v>Xa Vinh Phu6c</x:v>
      </x:c>
      <x:c r="K768" s="68" t="str">
        <x:v>28.0</x:v>
      </x:c>
      <x:c r="L768" s="68" t="str">
        <x:v>30</x:v>
      </x:c>
      <x:c r="M768" s="68" t="str"/>
      <x:c r="N768" s="68" t="str"/>
      <x:c r="O768" s="68" t="str">
        <x:v>58.0</x:v>
      </x:c>
      <x:c r="P768" s="68" t="str"/>
    </x:row>
    <x:row r="769">
      <x:c r="A769" s="106" t="n">
        <x:v>23</x:v>
      </x:c>
      <x:c r="B769" s="106" t="str">
        <x:v>768</x:v>
      </x:c>
      <x:c r="C769" s="167" t="str">
        <x:f>"09521 1006597"</x:f>
        <x:v>09521 1006597</x:v>
      </x:c>
      <x:c r="D769" s="68" t="str">
        <x:v>NGUYEN vAN TAI</x:v>
      </x:c>
      <x:c r="E769" s="68" t="str"/>
      <x:c r="F769" s="68" t="str">
        <x:v>30/12/2011</x:v>
      </x:c>
      <x:c r="G769" s="68" t="str">
        <x:v>Kinh</x:v>
      </x:c>
      <x:c r="H769" s="68" t="str">
        <x:v>Xa Vinh Thanh</x:v>
      </x:c>
      <x:c r="I769" s="68" t="str">
        <x:v>THCS Hung Phd</x:v>
      </x:c>
      <x:c r="J769" s="68" t="str">
        <x:v>Xa Vinh Thanh</x:v>
      </x:c>
      <x:c r="K769" s="68" t="str">
        <x:v>28.0</x:v>
      </x:c>
      <x:c r="L769" s="68" t="str">
        <x:v>30</x:v>
      </x:c>
      <x:c r="M769" s="68" t="str"/>
      <x:c r="N769" s="68" t="str"/>
      <x:c r="O769" s="68" t="str">
        <x:v>58.0</x:v>
      </x:c>
      <x:c r="P769" s="68" t="str"/>
    </x:row>
    <x:row r="770">
      <x:c r="A770" s="106" t="n">
        <x:v>23</x:v>
      </x:c>
      <x:c r="B770" s="106" t="str">
        <x:v>769</x:v>
      </x:c>
      <x:c r="C770" s="167" t="str">
        <x:f>"09521 1009441"</x:f>
        <x:v>09521 1009441</x:v>
      </x:c>
      <x:c r="D770" s="68" t="str">
        <x:v>DANH KIM TRUNG</x:v>
      </x:c>
      <x:c r="E770" s="68" t="str"/>
      <x:c r="F770" s="68" t="str">
        <x:v>30/06/201 1</x:v>
      </x:c>
      <x:c r="G770" s="68" t="str">
        <x:v>Khmer I</x:v>
      </x:c>
      <x:c r="H770" s="68" t="str">
        <x:v>Xa VTnh Phu6c</x:v>
      </x:c>
      <x:c r="I770" s="68" t="str">
        <x:v>THCS Wnh Thanh</x:v>
      </x:c>
      <x:c r="J770" s="68" t="str">
        <x:v>Xa Vinh Thanh</x:v>
      </x:c>
      <x:c r="K770" s="68" t="str">
        <x:v>27.0</x:v>
      </x:c>
      <x:c r="L770" s="68" t="str">
        <x:v>30</x:v>
      </x:c>
      <x:c r="M770" s="68" t="str">
        <x:v>1.0</x:v>
      </x:c>
      <x:c r="N770" s="68" t="str"/>
      <x:c r="O770" s="68" t="str">
        <x:v>58.0</x:v>
      </x:c>
      <x:c r="P770" s="68" t="str"/>
    </x:row>
    <x:row r="771">
      <x:c r="A771" s="106" t="n">
        <x:v>23</x:v>
      </x:c>
      <x:c r="B771" s="106" t="str">
        <x:v>770</x:v>
      </x:c>
      <x:c r="C771" s="167" t="str">
        <x:f>"0952 1 1007355"</x:f>
        <x:v>0952 1 1007355</x:v>
      </x:c>
      <x:c r="D771" s="68" t="str">
        <x:v>DANG HOANG D6</x:v>
      </x:c>
      <x:c r="E771" s="68" t="str"/>
      <x:c r="F771" s="68" t="str">
        <x:v>25/05/2011</x:v>
      </x:c>
      <x:c r="G771" s="68" t="str">
        <x:v>Kinh</x:v>
      </x:c>
      <x:c r="H771" s="68" t="str">
        <x:v>Xa VTnh phu6c</x:v>
      </x:c>
      <x:c r="I771" s="68" t="str">
        <x:v>THCS Wnh Pha Tay</x:v>
      </x:c>
      <x:c r="J771" s="68" t="str">
        <x:v>Xa Vlnh Phudc</x:v>
      </x:c>
      <x:c r="K771" s="68" t="str">
        <x:v>25.9</x:v>
      </x:c>
      <x:c r="L771" s="68" t="str">
        <x:v>32</x:v>
      </x:c>
      <x:c r="M771" s="68" t="str"/>
      <x:c r="N771" s="68" t="str"/>
      <x:c r="O771" s="68" t="str">
        <x:v>57.9</x:v>
      </x:c>
      <x:c r="P771" s="68" t="str"/>
    </x:row>
    <x:row r="772">
      <x:c r="A772" s="106" t="n">
        <x:v>23</x:v>
      </x:c>
      <x:c r="B772" s="106" t="str">
        <x:v>771</x:v>
      </x:c>
      <x:c r="C772" s="167" t="str">
        <x:f>"09531 1003056"</x:f>
        <x:v>09531 1003056</x:v>
      </x:c>
      <x:c r="D772" s="68" t="str">
        <x:v>HUtNH KIM TROC</x:v>
      </x:c>
      <x:c r="E772" s="68" t="str">
        <x:v>X</x:v>
      </x:c>
      <x:c r="F772" s="68" t="str">
        <x:v>26/08/2011</x:v>
      </x:c>
      <x:c r="G772" s="68" t="str">
        <x:v>Kinh</x:v>
      </x:c>
      <x:c r="H772" s="68" t="str">
        <x:v>Xa Phudc Long</x:v>
      </x:c>
      <x:c r="I772" s="68" t="str">
        <x:v>THCS Phu6c Long</x:v>
      </x:c>
      <x:c r="J772" s="68" t="str">
        <x:v>Xa Phu6c Long</x:v>
      </x:c>
      <x:c r="K772" s="68" t="str">
        <x:v>27.9</x:v>
      </x:c>
      <x:c r="L772" s="68" t="str">
        <x:v>30</x:v>
      </x:c>
      <x:c r="M772" s="68" t="str"/>
      <x:c r="N772" s="68" t="str"/>
      <x:c r="O772" s="68" t="str">
        <x:v>57.9</x:v>
      </x:c>
      <x:c r="P772" s="68" t="str"/>
    </x:row>
    <x:row r="773">
      <x:c r="A773" s="106" t="n">
        <x:v>23</x:v>
      </x:c>
      <x:c r="B773" s="106" t="str">
        <x:v>772</x:v>
      </x:c>
      <x:c r="C773" s="167" t="str">
        <x:f>"09521 1004782"</x:f>
        <x:v>09521 1004782</x:v>
      </x:c>
      <x:c r="D773" s="68" t="str">
        <x:v>NGUYEN QU6C TUdNG</x:v>
      </x:c>
      <x:c r="E773" s="68" t="str"/>
      <x:c r="F773" s="68" t="str">
        <x:v>24/12/201 1</x:v>
      </x:c>
      <x:c r="G773" s="68" t="str">
        <x:v>Kinh</x:v>
      </x:c>
      <x:c r="H773" s="68" t="str">
        <x:v>Xa VTnh phu6c</x:v>
      </x:c>
      <x:c r="I773" s="68" t="str">
        <x:v>THCS VTnh Pha Tay</x:v>
      </x:c>
      <x:c r="J773" s="68" t="str">
        <x:v>Xa Wnh Phu6c</x:v>
      </x:c>
      <x:c r="K773" s="68" t="str">
        <x:v>26.9</x:v>
      </x:c>
      <x:c r="L773" s="68" t="str">
        <x:v>30</x:v>
      </x:c>
      <x:c r="M773" s="68" t="str">
        <x:v>1.0</x:v>
      </x:c>
      <x:c r="N773" s="68" t="str"/>
      <x:c r="O773" s="68" t="str">
        <x:v>57.9</x:v>
      </x:c>
      <x:c r="P773" s="68" t="str"/>
    </x:row>
    <x:row r="774">
      <x:c r="A774" s="106" t="n">
        <x:v>23</x:v>
      </x:c>
      <x:c r="B774" s="106" t="str">
        <x:v>773</x:v>
      </x:c>
      <x:c r="C774" s="167" t="str">
        <x:f>"09521 100543 1"</x:f>
        <x:v>09521 100543 1</x:v>
      </x:c>
      <x:c r="D774" s="68" t="str">
        <x:v>TRAN DUY SANG</x:v>
      </x:c>
      <x:c r="E774" s="68" t="str"/>
      <x:c r="F774" s="68" t="str">
        <x:v>21/03/2011</x:v>
      </x:c>
      <x:c r="G774" s="68" t="str">
        <x:v>Kinh</x:v>
      </x:c>
      <x:c r="H774" s="68" t="str">
        <x:v>Xa Vinh Phu6c</x:v>
      </x:c>
      <x:c r="I774" s="68" t="str">
        <x:v>THCS Wnh Pha Tay</x:v>
      </x:c>
      <x:c r="J774" s="68" t="str">
        <x:v>Xa Wrnh Phudc</x:v>
      </x:c>
      <x:c r="K774" s="68" t="str">
        <x:v>27.8</x:v>
      </x:c>
      <x:c r="L774" s="68" t="str">
        <x:v>30</x:v>
      </x:c>
      <x:c r="M774" s="68" t="str"/>
      <x:c r="N774" s="68" t="str"/>
      <x:c r="O774" s="68" t="str">
        <x:v>57.8</x:v>
      </x:c>
      <x:c r="P774" s="68" t="str"/>
    </x:row>
    <x:row r="775">
      <x:c r="A775" s="106" t="n">
        <x:v>23</x:v>
      </x:c>
      <x:c r="B775" s="106" t="str">
        <x:v>774</x:v>
      </x:c>
      <x:c r="C775" s="167" t="str">
        <x:f>"095211001485"</x:f>
        <x:v>095211001485</x:v>
      </x:c>
      <x:c r="D775" s="68" t="str">
        <x:v>NGUYENCHIBAO NGUYEN CHI BAO 1</x:v>
      </x:c>
      <x:c r="E775" s="68" t="str">
        <x:v>. 1</x:v>
      </x:c>
      <x:c r="F775" s="68" t="str">
        <x:v>15/06/2011 1</x:v>
      </x:c>
      <x:c r="G775" s="68" t="str">
        <x:v>Kinh Kinh I</x:v>
      </x:c>
      <x:c r="H775" s="68" t="str">
        <x:v>Xa Vinh phu6c</x:v>
      </x:c>
      <x:c r="I775" s="68" t="str">
        <x:v>THCS Wnh Pha Tay</x:v>
      </x:c>
      <x:c r="J775" s="68" t="str">
        <x:v>Xa Vmh Phu6c</x:v>
      </x:c>
      <x:c r="K775" s="68" t="str">
        <x:v>26.7</x:v>
      </x:c>
      <x:c r="L775" s="68" t="str">
        <x:v>30</x:v>
      </x:c>
      <x:c r="M775" s="68" t="str">
        <x:v>1.0</x:v>
      </x:c>
      <x:c r="N775" s="68" t="str"/>
      <x:c r="O775" s="68" t="str">
        <x:v>57.7</x:v>
      </x:c>
      <x:c r="P775" s="68" t="str"/>
    </x:row>
    <x:row r="776">
      <x:c r="A776" s="106" t="n">
        <x:v>23</x:v>
      </x:c>
      <x:c r="B776" s="106" t="str">
        <x:v>775</x:v>
      </x:c>
      <x:c r="C776" s="167" t="str">
        <x:f>"095211004153"</x:f>
        <x:v>095211004153</x:v>
      </x:c>
      <x:c r="D776" s="68" t="str">
        <x:v>NGUYEN TAN DAT</x:v>
      </x:c>
      <x:c r="E776" s="68" t="str"/>
      <x:c r="F776" s="68" t="str">
        <x:v>04/10/201 1</x:v>
      </x:c>
      <x:c r="G776" s="68" t="str">
        <x:v>Kinh</x:v>
      </x:c>
      <x:c r="H776" s="68" t="str">
        <x:v>Xa Wrnh Tlranh</x:v>
      </x:c>
      <x:c r="I776" s="68" t="str">
        <x:v>THCS Hung Pha</x:v>
      </x:c>
      <x:c r="J776" s="68" t="str">
        <x:v>Xa Vrnh Thanh</x:v>
      </x:c>
      <x:c r="K776" s="68" t="str">
        <x:v>27.7</x:v>
      </x:c>
      <x:c r="L776" s="68" t="str">
        <x:v>30</x:v>
      </x:c>
      <x:c r="M776" s="68" t="str"/>
      <x:c r="N776" s="68" t="str"/>
      <x:c r="O776" s="68" t="str">
        <x:v>57.7</x:v>
      </x:c>
      <x:c r="P776" s="68" t="str"/>
    </x:row>
    <x:row r="777">
      <x:c r="A777" s="106" t="n">
        <x:v>23</x:v>
      </x:c>
      <x:c r="B777" s="106" t="str">
        <x:v>776</x:v>
      </x:c>
      <x:c r="C777" s="167" t="str">
        <x:f>"09521 1005094"</x:f>
        <x:v>09521 1005094</x:v>
      </x:c>
      <x:c r="D777" s="68" t="str">
        <x:v>TRAN VET BAC</x:v>
      </x:c>
      <x:c r="E777" s="68" t="str"/>
      <x:c r="F777" s="68" t="str">
        <x:v>06/08/201 1 I</x:v>
      </x:c>
      <x:c r="G777" s="68" t="str">
        <x:v>Kinh I</x:v>
      </x:c>
      <x:c r="H777" s="68" t="str">
        <x:v>Xa H6ng Dan</x:v>
      </x:c>
      <x:c r="I777" s="68" t="str">
        <x:v>THCS Phu6c Long</x:v>
      </x:c>
      <x:c r="J777" s="68" t="str">
        <x:v>Xa Wmh phudc</x:v>
      </x:c>
      <x:c r="K777" s="68" t="str">
        <x:v>27.7</x:v>
      </x:c>
      <x:c r="L777" s="68" t="str">
        <x:v>30</x:v>
      </x:c>
      <x:c r="M777" s="68" t="str"/>
      <x:c r="N777" s="68" t="str"/>
      <x:c r="O777" s="68" t="str">
        <x:v>57.7</x:v>
      </x:c>
      <x:c r="P777" s="68" t="str"/>
    </x:row>
    <x:row r="778">
      <x:c r="A778" s="106" t="n">
        <x:v>24</x:v>
      </x:c>
      <x:c r="B778" s="106" t="str">
        <x:v>777</x:v>
      </x:c>
      <x:c r="C778" s="167" t="str">
        <x:f>"095311001063"</x:f>
        <x:v>095311001063</x:v>
      </x:c>
      <x:c r="D778" s="68" t="str">
        <x:v>T6 TUYET BANG</x:v>
      </x:c>
      <x:c r="E778" s="68" t="str">
        <x:v>X</x:v>
      </x:c>
      <x:c r="F778" s="68" t="str">
        <x:v>01/10)2011</x:v>
      </x:c>
      <x:c r="G778" s="68" t="str">
        <x:v>Kinh</x:v>
      </x:c>
      <x:c r="H778" s="68" t="str">
        <x:v>Xa Phu6c Long</x:v>
      </x:c>
      <x:c r="I778" s="68" t="str">
        <x:v>THCS Phudc Long</x:v>
      </x:c>
      <x:c r="J778" s="68" t="str">
        <x:v>Xa Phu6c Long</x:v>
      </x:c>
      <x:c r="K778" s="68" t="str">
        <x:v>27.6</x:v>
      </x:c>
      <x:c r="L778" s="68" t="str">
        <x:v>30</x:v>
      </x:c>
      <x:c r="M778" s="68" t="str"/>
      <x:c r="N778" s="68" t="str"/>
      <x:c r="O778" s="68" t="str">
        <x:v>57,6</x:v>
      </x:c>
      <x:c r="P778" s="68" t="str"/>
    </x:row>
    <x:row r="779">
      <x:c r="A779" s="106" t="n">
        <x:v>24</x:v>
      </x:c>
      <x:c r="B779" s="106" t="str">
        <x:v>778</x:v>
      </x:c>
      <x:c r="C779" s="167" t="str">
        <x:f>"09531 1006755"</x:f>
        <x:v>09531 1006755</x:v>
      </x:c>
      <x:c r="D779" s="68" t="str">
        <x:v>NGUY£N HONG CFrCJC</x:v>
      </x:c>
      <x:c r="E779" s="68" t="str">
        <x:v>X</x:v>
      </x:c>
      <x:c r="F779" s="68" t="str">
        <x:v>18/04/2011</x:v>
      </x:c>
      <x:c r="G779" s="68" t="str">
        <x:v>Kinh</x:v>
      </x:c>
      <x:c r="H779" s="68" t="str">
        <x:v>Xa Vmh Thanh</x:v>
      </x:c>
      <x:c r="I779" s="68" t="str">
        <x:v>THCS Hung Phd</x:v>
      </x:c>
      <x:c r="J779" s="68" t="str">
        <x:v>Xa Vinh Thanh</x:v>
      </x:c>
      <x:c r="K779" s="68" t="str">
        <x:v>27.6</x:v>
      </x:c>
      <x:c r="L779" s="68" t="str">
        <x:v>30</x:v>
      </x:c>
      <x:c r="M779" s="68" t="str"/>
      <x:c r="N779" s="68" t="str"/>
      <x:c r="O779" s="68" t="str">
        <x:v>57.6</x:v>
      </x:c>
      <x:c r="P779" s="68" t="str"/>
    </x:row>
    <x:row r="780">
      <x:c r="A780" s="106" t="n">
        <x:v>24</x:v>
      </x:c>
      <x:c r="B780" s="106" t="str">
        <x:v>779</x:v>
      </x:c>
      <x:c r="C780" s="167" t="str">
        <x:f>"09621 1004855"</x:f>
        <x:v>09621 1004855</x:v>
      </x:c>
      <x:c r="D780" s="68" t="str">
        <x:v>DAO DANG DANG KHOA</x:v>
      </x:c>
      <x:c r="E780" s="68" t="str"/>
      <x:c r="F780" s="68" t="str">
        <x:v>23/07/201 1</x:v>
      </x:c>
      <x:c r="G780" s="68" t="str">
        <x:v>Kinh</x:v>
      </x:c>
      <x:c r="H780" s="68" t="str">
        <x:v>Xa Vinh Thanh</x:v>
      </x:c>
      <x:c r="I780" s="68" t="str">
        <x:v>THCS Hung Phi</x:v>
      </x:c>
      <x:c r="J780" s="68" t="str">
        <x:v>Xa Wnh Thanh</x:v>
      </x:c>
      <x:c r="K780" s="68" t="str">
        <x:v>27.6</x:v>
      </x:c>
      <x:c r="L780" s="68" t="str">
        <x:v>30</x:v>
      </x:c>
      <x:c r="M780" s="68" t="str"/>
      <x:c r="N780" s="68" t="str"/>
      <x:c r="O780" s="68" t="str">
        <x:v>57.6</x:v>
      </x:c>
      <x:c r="P780" s="68" t="str"/>
    </x:row>
    <x:row r="781">
      <x:c r="A781" s="106" t="n">
        <x:v>24</x:v>
      </x:c>
      <x:c r="B781" s="106" t="str">
        <x:v>780</x:v>
      </x:c>
      <x:c r="C781" s="167" t="str">
        <x:f>"0953 1 1005205"</x:f>
        <x:v>0953 1 1005205</x:v>
      </x:c>
      <x:c r="D781" s="68" t="str">
        <x:v>vO THI KIEU</x:v>
      </x:c>
      <x:c r="E781" s="68" t="str">
        <x:v>X</x:v>
      </x:c>
      <x:c r="F781" s="68" t="str">
        <x:v>01/09/201 1</x:v>
      </x:c>
      <x:c r="G781" s="68" t="str">
        <x:v>Kinh</x:v>
      </x:c>
      <x:c r="H781" s="68" t="str">
        <x:v>Xa Vinh Thanh</x:v>
      </x:c>
      <x:c r="I781" s="68" t="str">
        <x:v>THCS Vinh Thanh</x:v>
      </x:c>
      <x:c r="J781" s="68" t="str">
        <x:v>Xa VTnh Thanh</x:v>
      </x:c>
      <x:c r="K781" s="68" t="str">
        <x:v>27.6</x:v>
      </x:c>
      <x:c r="L781" s="68" t="str">
        <x:v>30</x:v>
      </x:c>
      <x:c r="M781" s="68" t="str"/>
      <x:c r="N781" s="68" t="str"/>
      <x:c r="O781" s="68" t="str">
        <x:v>57.6</x:v>
      </x:c>
      <x:c r="P781" s="68" t="str"/>
    </x:row>
    <x:row r="782">
      <x:c r="A782" s="106" t="n">
        <x:v>24</x:v>
      </x:c>
      <x:c r="B782" s="106" t="str">
        <x:v>781</x:v>
      </x:c>
      <x:c r="C782" s="167" t="str">
        <x:f>"0953 1 1003986"</x:f>
        <x:v>0953 1 1003986</x:v>
      </x:c>
      <x:c r="D782" s="68" t="str">
        <x:v>CHAU H£U NGHI</x:v>
      </x:c>
      <x:c r="E782" s="68" t="str">
        <x:v>X</x:v>
      </x:c>
      <x:c r="F782" s="68" t="str">
        <x:v>08/09/2011</x:v>
      </x:c>
      <x:c r="G782" s="68" t="str">
        <x:v>Kinh</x:v>
      </x:c>
      <x:c r="H782" s="68" t="str">
        <x:v>Xa Phu6c Long</x:v>
      </x:c>
      <x:c r="I782" s="68" t="str">
        <x:v>THCS Phudc Long</x:v>
      </x:c>
      <x:c r="J782" s="68" t="str">
        <x:v>Xa Phudc Long</x:v>
      </x:c>
      <x:c r="K782" s="68" t="str">
        <x:v>27.5</x:v>
      </x:c>
      <x:c r="L782" s="68" t="str">
        <x:v>30</x:v>
      </x:c>
      <x:c r="M782" s="68" t="str"/>
      <x:c r="N782" s="68" t="str"/>
      <x:c r="O782" s="68" t="str">
        <x:v>57.5</x:v>
      </x:c>
      <x:c r="P782" s="68" t="str"/>
    </x:row>
    <x:row r="783">
      <x:c r="A783" s="106" t="n">
        <x:v>24</x:v>
      </x:c>
      <x:c r="B783" s="106" t="str">
        <x:v>782</x:v>
      </x:c>
      <x:c r="C783" s="167" t="str">
        <x:f>"09521 1008828"</x:f>
        <x:v>09521 1008828</x:v>
      </x:c>
      <x:c r="D783" s="68" t="str">
        <x:v>LAM THAI HQC</x:v>
      </x:c>
      <x:c r="E783" s="68" t="str"/>
      <x:c r="F783" s="68" t="str">
        <x:v>20/07/2011</x:v>
      </x:c>
      <x:c r="G783" s="68" t="str">
        <x:v>Kinh</x:v>
      </x:c>
      <x:c r="H783" s="68" t="str">
        <x:v>Xa Phu6c Long</x:v>
      </x:c>
      <x:c r="I783" s="68" t="str">
        <x:v>THCS Phu M Long</x:v>
      </x:c>
      <x:c r="J783" s="68" t="str">
        <x:v>Xa Phu6c Long</x:v>
      </x:c>
      <x:c r="K783" s="68" t="str">
        <x:v>27.5</x:v>
      </x:c>
      <x:c r="L783" s="68" t="str">
        <x:v>30</x:v>
      </x:c>
      <x:c r="M783" s="68" t="str"/>
      <x:c r="N783" s="68" t="str"/>
      <x:c r="O783" s="68" t="str">
        <x:v>57.5</x:v>
      </x:c>
      <x:c r="P783" s="68" t="str"/>
    </x:row>
    <x:row r="784">
      <x:c r="A784" s="106" t="n">
        <x:v>24</x:v>
      </x:c>
      <x:c r="B784" s="106" t="str">
        <x:v>783</x:v>
      </x:c>
      <x:c r="C784" s="167" t="str">
        <x:f>"096311005852"</x:f>
        <x:v>096311005852</x:v>
      </x:c>
      <x:c r="D784" s="68" t="str">
        <x:v>Bell NGQC TRAM</x:v>
      </x:c>
      <x:c r="E784" s="68" t="str">
        <x:v>X</x:v>
      </x:c>
      <x:c r="F784" s="68" t="str">
        <x:v>25/09/2011</x:v>
      </x:c>
      <x:c r="G784" s="68" t="str">
        <x:v>Kinh</x:v>
      </x:c>
      <x:c r="H784" s="68" t="str">
        <x:v>Xa Wnh Thanh</x:v>
      </x:c>
      <x:c r="I784" s="68" t="str">
        <x:v>THCS Wnh Thanh</x:v>
      </x:c>
      <x:c r="J784" s="68" t="str">
        <x:v>Xa Fnrh Thanh</x:v>
      </x:c>
      <x:c r="K784" s="68" t="str">
        <x:v>27.5</x:v>
      </x:c>
      <x:c r="L784" s="68" t="str">
        <x:v>30</x:v>
      </x:c>
      <x:c r="M784" s="68" t="str"/>
      <x:c r="N784" s="68" t="str"/>
      <x:c r="O784" s="68" t="str">
        <x:v>57.5</x:v>
      </x:c>
      <x:c r="P784" s="68" t="str"/>
    </x:row>
    <x:row r="785">
      <x:c r="A785" s="106" t="n">
        <x:v>24</x:v>
      </x:c>
      <x:c r="B785" s="106" t="str">
        <x:v>784</x:v>
      </x:c>
      <x:c r="C785" s="167" t="str">
        <x:f>"091211014778"</x:f>
        <x:v>091211014778</x:v>
      </x:c>
      <x:c r="D785" s="68" t="str">
        <x:v>NGUYEN DtlONG nCI-u TOAN</x:v>
      </x:c>
      <x:c r="E785" s="68" t="str"/>
      <x:c r="F785" s="68" t="str">
        <x:v>20/12/201 1</x:v>
      </x:c>
      <x:c r="G785" s="68" t="str">
        <x:v>Kinh</x:v>
      </x:c>
      <x:c r="H785" s="68" t="str">
        <x:v>Xa Phu6c Long</x:v>
      </x:c>
      <x:c r="I785" s="68" t="str">
        <x:v>THCS Phu a Long</x:v>
      </x:c>
      <x:c r="J785" s="68" t="str">
        <x:v>Xa Vinh Phudc</x:v>
      </x:c>
      <x:c r="K785" s="68" t="str">
        <x:v>27.5</x:v>
      </x:c>
      <x:c r="L785" s="68" t="str">
        <x:v>30</x:v>
      </x:c>
      <x:c r="M785" s="68" t="str"/>
      <x:c r="N785" s="68" t="str"/>
      <x:c r="O785" s="68" t="str">
        <x:v>57.5</x:v>
      </x:c>
      <x:c r="P785" s="68" t="str"/>
    </x:row>
    <x:row r="786">
      <x:c r="A786" s="106" t="n">
        <x:v>24</x:v>
      </x:c>
      <x:c r="B786" s="106" t="str">
        <x:v>785</x:v>
      </x:c>
      <x:c r="C786" s="167" t="str">
        <x:f>"09531 1008059"</x:f>
        <x:v>09531 1008059</x:v>
      </x:c>
      <x:c r="D786" s="68" t="str">
        <x:v>DtJONG LE ANH THU'</x:v>
      </x:c>
      <x:c r="E786" s="68" t="str">
        <x:v>X</x:v>
      </x:c>
      <x:c r="F786" s="68" t="str">
        <x:v>26/02/201 1</x:v>
      </x:c>
      <x:c r="G786" s="68" t="str">
        <x:v>Kinh</x:v>
      </x:c>
      <x:c r="H786" s="68" t="str">
        <x:v>Xa Vinh Ttlanh</x:v>
      </x:c>
      <x:c r="I786" s="68" t="str">
        <x:v>THCS Hung Phd</x:v>
      </x:c>
      <x:c r="J786" s="68" t="str">
        <x:v>Xg Vinh Tbanh</x:v>
      </x:c>
      <x:c r="K786" s="68" t="str">
        <x:v>26.4</x:v>
      </x:c>
      <x:c r="L786" s="68" t="str">
        <x:v>31</x:v>
      </x:c>
      <x:c r="M786" s="68" t="str"/>
      <x:c r="N786" s="68" t="str"/>
      <x:c r="O786" s="68" t="str">
        <x:v>57.4</x:v>
      </x:c>
      <x:c r="P786" s="68" t="str"/>
    </x:row>
    <x:row r="787">
      <x:c r="A787" s="106" t="n">
        <x:v>24</x:v>
      </x:c>
      <x:c r="B787" s="106" t="str">
        <x:v>786</x:v>
      </x:c>
      <x:c r="C787" s="167" t="str">
        <x:f>"0953 1 1001655"</x:f>
        <x:v>0953 1 1001655</x:v>
      </x:c>
      <x:c r="D787" s="68" t="str">
        <x:v>DANG THI HUYEN TRAN</x:v>
      </x:c>
      <x:c r="E787" s="68" t="str">
        <x:v>X</x:v>
      </x:c>
      <x:c r="F787" s="68" t="str">
        <x:v>11/10/2011</x:v>
      </x:c>
      <x:c r="G787" s="68" t="str">
        <x:v>Kinh</x:v>
      </x:c>
      <x:c r="H787" s="68" t="str">
        <x:v>Xa VTnh Thanh</x:v>
      </x:c>
      <x:c r="I787" s="68" t="str">
        <x:v>THCS Vmh Thanh</x:v>
      </x:c>
      <x:c r="J787" s="68" t="str">
        <x:v>Xa Vinh Thanh</x:v>
      </x:c>
      <x:c r="K787" s="68" t="str">
        <x:v>27.4</x:v>
      </x:c>
      <x:c r="L787" s="68" t="str">
        <x:v>30</x:v>
      </x:c>
      <x:c r="M787" s="68" t="str"/>
      <x:c r="N787" s="68" t="str"/>
      <x:c r="O787" s="68" t="str">
        <x:v>57.4</x:v>
      </x:c>
      <x:c r="P787" s="68" t="str"/>
    </x:row>
    <x:row r="788">
      <x:c r="A788" s="106" t="n">
        <x:v>24</x:v>
      </x:c>
      <x:c r="B788" s="106" t="str">
        <x:v>787</x:v>
      </x:c>
      <x:c r="C788" s="167" t="str">
        <x:f>"095211002809"</x:f>
        <x:v>095211002809</x:v>
      </x:c>
      <x:c r="D788" s="68" t="str">
        <x:v>NGUY£N vAN TU'dNG</x:v>
      </x:c>
      <x:c r="E788" s="68" t="str"/>
      <x:c r="F788" s="68" t="str">
        <x:v>17/10/2011</x:v>
      </x:c>
      <x:c r="G788" s="68" t="str">
        <x:v>Kinh</x:v>
      </x:c>
      <x:c r="H788" s="68" t="str">
        <x:v>Xa Vinh Phu6c</x:v>
      </x:c>
      <x:c r="I788" s="68" t="str">
        <x:v>THCS Wrnh Thanh</x:v>
      </x:c>
      <x:c r="J788" s="68" t="str">
        <x:v>Xi VTnh Thanh</x:v>
      </x:c>
      <x:c r="K788" s="68" t="str">
        <x:v>26.4</x:v>
      </x:c>
      <x:c r="L788" s="68" t="str">
        <x:v>30</x:v>
      </x:c>
      <x:c r="M788" s="68" t="str">
        <x:v>1.0</x:v>
      </x:c>
      <x:c r="N788" s="68" t="str"/>
      <x:c r="O788" s="68" t="str">
        <x:v>57.4</x:v>
      </x:c>
      <x:c r="P788" s="68" t="str"/>
    </x:row>
    <x:row r="789">
      <x:c r="A789" s="106" t="n">
        <x:v>24</x:v>
      </x:c>
      <x:c r="B789" s="106" t="str">
        <x:v>788</x:v>
      </x:c>
      <x:c r="C789" s="167" t="str">
        <x:f>"09521100563 1"</x:f>
        <x:v>09521100563 1</x:v>
      </x:c>
      <x:c r="D789" s="68" t="str">
        <x:v>TRAN PHCJC KHANG</x:v>
      </x:c>
      <x:c r="E789" s="68" t="str"/>
      <x:c r="F789" s="68" t="str">
        <x:v>01/08/201 1</x:v>
      </x:c>
      <x:c r="G789" s="68" t="str">
        <x:v>Kinh</x:v>
      </x:c>
      <x:c r="H789" s="68" t="str">
        <x:v>Xa Phu6c Long</x:v>
      </x:c>
      <x:c r="I789" s="68" t="str">
        <x:v>THCS Phpdc Long</x:v>
      </x:c>
      <x:c r="J789" s="68" t="str">
        <x:v>Xa Phu6c Long</x:v>
      </x:c>
      <x:c r="K789" s="68" t="str">
        <x:v>27.3</x:v>
      </x:c>
      <x:c r="L789" s="68" t="str">
        <x:v>30</x:v>
      </x:c>
      <x:c r="M789" s="68" t="str"/>
      <x:c r="N789" s="68" t="str"/>
      <x:c r="O789" s="68" t="str">
        <x:v>57.3</x:v>
      </x:c>
      <x:c r="P789" s="68" t="str"/>
    </x:row>
    <x:row r="790">
      <x:c r="A790" s="106" t="n">
        <x:v>24</x:v>
      </x:c>
      <x:c r="B790" s="106" t="str">
        <x:v>789</x:v>
      </x:c>
      <x:c r="C790" s="167" t="str">
        <x:f>"09521 1007392"</x:f>
        <x:v>09521 1007392</x:v>
      </x:c>
      <x:c r="D790" s="68" t="str">
        <x:v>VU'CJNG GIA LAM</x:v>
      </x:c>
      <x:c r="E790" s="68" t="str"/>
      <x:c r="F790" s="68" t="str">
        <x:v>19/04/2011</x:v>
      </x:c>
      <x:c r="G790" s="68" t="str">
        <x:v>Kinh</x:v>
      </x:c>
      <x:c r="H790" s="68" t="str">
        <x:v>Xa Phu6c Long</x:v>
      </x:c>
      <x:c r="I790" s="68" t="str">
        <x:v>THCS Phudc Long</x:v>
      </x:c>
      <x:c r="J790" s="68" t="str">
        <x:v>Xa Phu(tc Long</x:v>
      </x:c>
      <x:c r="K790" s="68" t="str">
        <x:v>27.3</x:v>
      </x:c>
      <x:c r="L790" s="68" t="str">
        <x:v>30</x:v>
      </x:c>
      <x:c r="M790" s="68" t="str"/>
      <x:c r="N790" s="68" t="str"/>
      <x:c r="O790" s="68" t="str">
        <x:v>57.3</x:v>
      </x:c>
      <x:c r="P790" s="68" t="str"/>
    </x:row>
    <x:row r="791">
      <x:c r="A791" s="106" t="n">
        <x:v>24</x:v>
      </x:c>
      <x:c r="B791" s="106" t="str">
        <x:v>790</x:v>
      </x:c>
      <x:c r="C791" s="167" t="str">
        <x:f>"0953 1 1004796"</x:f>
        <x:v>0953 1 1004796</x:v>
      </x:c>
      <x:c r="D791" s="68" t="str">
        <x:v>HUtNH KHANH BANG</x:v>
      </x:c>
      <x:c r="E791" s="68" t="str">
        <x:v>X</x:v>
      </x:c>
      <x:c r="F791" s="68" t="str">
        <x:v>15/07/201 1</x:v>
      </x:c>
      <x:c r="G791" s="68" t="str">
        <x:v>Kinh</x:v>
      </x:c>
      <x:c r="H791" s="68" t="str">
        <x:v>Xa Vinh Thanh</x:v>
      </x:c>
      <x:c r="I791" s="68" t="str">
        <x:v>THCS Wnh Thanh</x:v>
      </x:c>
      <x:c r="J791" s="68" t="str">
        <x:v>Xa VTnh Thanh</x:v>
      </x:c>
      <x:c r="K791" s="68" t="str">
        <x:v>27.3</x:v>
      </x:c>
      <x:c r="L791" s="68" t="str">
        <x:v>30</x:v>
      </x:c>
      <x:c r="M791" s="68" t="str"/>
      <x:c r="N791" s="68" t="str"/>
      <x:c r="O791" s="68" t="str">
        <x:v>57.3</x:v>
      </x:c>
      <x:c r="P791" s="68" t="str"/>
    </x:row>
    <x:row r="792">
      <x:c r="A792" s="106" t="n">
        <x:v>24</x:v>
      </x:c>
      <x:c r="B792" s="106" t="str">
        <x:v>791</x:v>
      </x:c>
      <x:c r="C792" s="167" t="str">
        <x:f>"0953 1 1008234"</x:f>
        <x:v>0953 1 1008234</x:v>
      </x:c>
      <x:c r="D792" s="68" t="str">
        <x:v>NGUYEN ANH THU</x:v>
      </x:c>
      <x:c r="E792" s="68" t="str">
        <x:v>X</x:v>
      </x:c>
      <x:c r="F792" s="68" t="str">
        <x:v>14/04/201 1</x:v>
      </x:c>
      <x:c r="G792" s="68" t="str">
        <x:v>Kinh</x:v>
      </x:c>
      <x:c r="H792" s="68" t="str">
        <x:v>Xa Phu6c Long</x:v>
      </x:c>
      <x:c r="I792" s="68" t="str">
        <x:v>THCS Phudc Long</x:v>
      </x:c>
      <x:c r="J792" s="68" t="str">
        <x:v>Xa Phu6c Long</x:v>
      </x:c>
      <x:c r="K792" s="68" t="str">
        <x:v>27.2</x:v>
      </x:c>
      <x:c r="L792" s="68" t="str">
        <x:v>30</x:v>
      </x:c>
      <x:c r="M792" s="68" t="str"/>
      <x:c r="N792" s="68" t="str"/>
      <x:c r="O792" s="68" t="str">
        <x:v>57.2</x:v>
      </x:c>
      <x:c r="P792" s="68" t="str"/>
    </x:row>
    <x:row r="793">
      <x:c r="A793" s="106" t="n">
        <x:v>24</x:v>
      </x:c>
      <x:c r="B793" s="106" t="str">
        <x:v>792</x:v>
      </x:c>
      <x:c r="C793" s="167" t="str">
        <x:f>"095210006139"</x:f>
        <x:v>095210006139</x:v>
      </x:c>
      <x:c r="D793" s="68" t="str">
        <x:v>TRtlONG vAN KIIA</x:v>
      </x:c>
      <x:c r="E793" s="68" t="str"/>
      <x:c r="F793" s="68" t="str">
        <x:v>26/09/2010</x:v>
      </x:c>
      <x:c r="G793" s="68" t="str">
        <x:v>Kinh</x:v>
      </x:c>
      <x:c r="H793" s="68" t="str">
        <x:v>Xa Vmh Thanh</x:v>
      </x:c>
      <x:c r="I793" s="68" t="str">
        <x:v>THCS Hung Phd</x:v>
      </x:c>
      <x:c r="J793" s="68" t="str">
        <x:v>Xa Vinh Thanh</x:v>
      </x:c>
      <x:c r="K793" s="68" t="str">
        <x:v>27.2</x:v>
      </x:c>
      <x:c r="L793" s="68" t="str">
        <x:v>30</x:v>
      </x:c>
      <x:c r="M793" s="68" t="str"/>
      <x:c r="N793" s="68" t="str"/>
      <x:c r="O793" s="68" t="str">
        <x:v>57.2</x:v>
      </x:c>
      <x:c r="P793" s="68" t="str"/>
    </x:row>
    <x:row r="794">
      <x:c r="A794" s="106" t="n">
        <x:v>24</x:v>
      </x:c>
      <x:c r="B794" s="106" t="str">
        <x:v>793</x:v>
      </x:c>
      <x:c r="C794" s="167" t="str">
        <x:f>"0952 1 1009053"</x:f>
        <x:v>0952 1 1009053</x:v>
      </x:c>
      <x:c r="D794" s="68" t="str">
        <x:v>PILAN KnANH TUdNG</x:v>
      </x:c>
      <x:c r="E794" s="68" t="str"/>
      <x:c r="F794" s="68" t="str">
        <x:v>02/06/201 1</x:v>
      </x:c>
      <x:c r="G794" s="68" t="str">
        <x:v>Kinh</x:v>
      </x:c>
      <x:c r="H794" s="68" t="str">
        <x:v>Xa Vinh Thanh</x:v>
      </x:c>
      <x:c r="I794" s="68" t="str">
        <x:v>THCS Vinh Thanh</x:v>
      </x:c>
      <x:c r="J794" s="68" t="str">
        <x:v>Xa Wnh Thanh</x:v>
      </x:c>
      <x:c r="K794" s="68" t="str">
        <x:v>26.2</x:v>
      </x:c>
      <x:c r="L794" s="68" t="str">
        <x:v>31</x:v>
      </x:c>
      <x:c r="M794" s="68" t="str"/>
      <x:c r="N794" s="68" t="str"/>
      <x:c r="O794" s="68" t="str">
        <x:v>57.2</x:v>
      </x:c>
      <x:c r="P794" s="68" t="str"/>
    </x:row>
    <x:row r="795">
      <x:c r="A795" s="106" t="n">
        <x:v>24</x:v>
      </x:c>
      <x:c r="B795" s="106" t="str">
        <x:v>794</x:v>
      </x:c>
      <x:c r="C795" s="167" t="str">
        <x:f>"09521 1000529"</x:f>
        <x:v>09521 1000529</x:v>
      </x:c>
      <x:c r="D795" s="68" t="str">
        <x:v>LE THUAN PHAT</x:v>
      </x:c>
      <x:c r="E795" s="68" t="str"/>
      <x:c r="F795" s="68" t="str">
        <x:v>17/07/201 1</x:v>
      </x:c>
      <x:c r="G795" s="68" t="str">
        <x:v>Kinh</x:v>
      </x:c>
      <x:c r="H795" s="68" t="str">
        <x:v>Xa VTnh Phu6c</x:v>
      </x:c>
      <x:c r="I795" s="68" t="str">
        <x:v>THCS PhMc Long</x:v>
      </x:c>
      <x:c r="J795" s="68" t="str">
        <x:v>Xa Phudc Long</x:v>
      </x:c>
      <x:c r="K795" s="68" t="str">
        <x:v>26.6</x:v>
      </x:c>
      <x:c r="L795" s="68" t="str">
        <x:v>28</x:v>
      </x:c>
      <x:c r="M795" s="68" t="str">
        <x:v>1.o 1</x:v>
      </x:c>
      <x:c r="N795" s="68" t="str">
        <x:v>1.5</x:v>
      </x:c>
      <x:c r="O795" s="68" t="str">
        <x:v>57.1</x:v>
      </x:c>
      <x:c r="P795" s="68" t="str"/>
    </x:row>
    <x:row r="796">
      <x:c r="A796" s="106" t="n">
        <x:v>24</x:v>
      </x:c>
      <x:c r="B796" s="106" t="str">
        <x:v>795</x:v>
      </x:c>
      <x:c r="C796" s="167" t="str">
        <x:f>"09521 1006714"</x:f>
        <x:v>09521 1006714</x:v>
      </x:c>
      <x:c r="D796" s="68" t="str">
        <x:v>DUONGLUU vANG</x:v>
      </x:c>
      <x:c r="E796" s="68" t="str"/>
      <x:c r="F796" s="68" t="str">
        <x:v>02/08/201 1</x:v>
      </x:c>
      <x:c r="G796" s="68" t="str">
        <x:v>Kinh</x:v>
      </x:c>
      <x:c r="H796" s="68" t="str">
        <x:v>Xa Frnh phudc</x:v>
      </x:c>
      <x:c r="I796" s="68" t="str">
        <x:v>THCS Phua Long</x:v>
      </x:c>
      <x:c r="J796" s="68" t="str">
        <x:v>Xa Phudc Long</x:v>
      </x:c>
      <x:c r="K796" s="68" t="str">
        <x:v>27. 1</x:v>
      </x:c>
      <x:c r="L796" s="68" t="str">
        <x:v>30</x:v>
      </x:c>
      <x:c r="M796" s="68" t="str"/>
      <x:c r="N796" s="68" t="str"/>
      <x:c r="O796" s="68" t="str">
        <x:v>57.1</x:v>
      </x:c>
      <x:c r="P796" s="68" t="str"/>
    </x:row>
    <x:row r="797">
      <x:c r="A797" s="106" t="n">
        <x:v>24</x:v>
      </x:c>
      <x:c r="B797" s="106" t="str">
        <x:v>796</x:v>
      </x:c>
      <x:c r="C797" s="167" t="str">
        <x:f>"0953 1 1000383"</x:f>
        <x:v>0953 1 1000383</x:v>
      </x:c>
      <x:c r="D797" s="68" t="str">
        <x:v>DOAN THUY VY</x:v>
      </x:c>
      <x:c r="E797" s="68" t="str">
        <x:v>X</x:v>
      </x:c>
      <x:c r="F797" s="68" t="str">
        <x:v>12/10/201 1</x:v>
      </x:c>
      <x:c r="G797" s="68" t="str">
        <x:v>Kinh</x:v>
      </x:c>
      <x:c r="H797" s="68" t="str">
        <x:v>Xa Wnh Thanh</x:v>
      </x:c>
      <x:c r="I797" s="68" t="str">
        <x:v>THCS Wnh Pha Tay</x:v>
      </x:c>
      <x:c r="J797" s="68" t="str">
        <x:v>Xa Vinh Phudc</x:v>
      </x:c>
      <x:c r="K797" s="68" t="str">
        <x:v>26.0</x:v>
      </x:c>
      <x:c r="L797" s="68" t="str">
        <x:v>30</x:v>
      </x:c>
      <x:c r="M797" s="68" t="str">
        <x:v>1.0</x:v>
      </x:c>
      <x:c r="N797" s="68" t="str"/>
      <x:c r="O797" s="68" t="str">
        <x:v>57.0</x:v>
      </x:c>
      <x:c r="P797" s="68" t="str"/>
    </x:row>
    <x:row r="798">
      <x:c r="A798" s="106" t="n">
        <x:v>24</x:v>
      </x:c>
      <x:c r="B798" s="106" t="str">
        <x:v>797</x:v>
      </x:c>
      <x:c r="C798" s="167" t="str">
        <x:f>"09521 1006982"</x:f>
        <x:v>09521 1006982</x:v>
      </x:c>
      <x:c r="D798" s="68" t="str">
        <x:v>NGUYEN PH(J LAM</x:v>
      </x:c>
      <x:c r="E798" s="68" t="str"/>
      <x:c r="F798" s="68" t="str">
        <x:v>04/12/2011</x:v>
      </x:c>
      <x:c r="G798" s="68" t="str">
        <x:v>Kinh</x:v>
      </x:c>
      <x:c r="H798" s="68" t="str">
        <x:v>Xa Vrnh Thanh</x:v>
      </x:c>
      <x:c r="I798" s="68" t="str">
        <x:v>THCS Hung Pha</x:v>
      </x:c>
      <x:c r="J798" s="68" t="str">
        <x:v>Xa Vlnh Thanh</x:v>
      </x:c>
      <x:c r="K798" s="68" t="str">
        <x:v>27.0</x:v>
      </x:c>
      <x:c r="L798" s="68" t="str">
        <x:v>30</x:v>
      </x:c>
      <x:c r="M798" s="68" t="str"/>
      <x:c r="N798" s="68" t="str"/>
      <x:c r="O798" s="68" t="str">
        <x:v>57.0</x:v>
      </x:c>
      <x:c r="P798" s="68" t="str"/>
    </x:row>
    <x:row r="799">
      <x:c r="A799" s="106" t="n">
        <x:v>24</x:v>
      </x:c>
      <x:c r="B799" s="106" t="str">
        <x:v>798</x:v>
      </x:c>
      <x:c r="C799" s="167" t="str">
        <x:f>"0962 1 1003 144"</x:f>
        <x:v>0962 1 1003 144</x:v>
      </x:c>
      <x:c r="D799" s="68" t="str">
        <x:v>TRU'ONG C6NG QUAN</x:v>
      </x:c>
      <x:c r="E799" s="68" t="str"/>
      <x:c r="F799" s="68" t="str">
        <x:v>26/05/2011</x:v>
      </x:c>
      <x:c r="G799" s="68" t="str">
        <x:v>Kinh</x:v>
      </x:c>
      <x:c r="H799" s="68" t="str">
        <x:v>Xa Phu6c Long</x:v>
      </x:c>
      <x:c r="I799" s="68" t="str">
        <x:v>THCS Vuong Hau Nhon</x:v>
      </x:c>
      <x:c r="J799" s="68" t="str">
        <x:v>Xa Phu6c Long</x:v>
      </x:c>
      <x:c r="K799" s="68" t="str">
        <x:v>27.0</x:v>
      </x:c>
      <x:c r="L799" s="68" t="str">
        <x:v>30</x:v>
      </x:c>
      <x:c r="M799" s="68" t="str"/>
      <x:c r="N799" s="68" t="str"/>
      <x:c r="O799" s="68" t="str">
        <x:v>57.0</x:v>
      </x:c>
      <x:c r="P799" s="68" t="str"/>
    </x:row>
    <x:row r="800">
      <x:c r="A800" s="106" t="n">
        <x:v>24</x:v>
      </x:c>
      <x:c r="B800" s="106" t="str">
        <x:v>799</x:v>
      </x:c>
      <x:c r="C800" s="167" t="str">
        <x:f>"09621 1013692"</x:f>
        <x:v>09621 1013692</x:v>
      </x:c>
      <x:c r="D800" s="68" t="str">
        <x:v>TRAN LINH NHI</x:v>
      </x:c>
      <x:c r="E800" s="68" t="str"/>
      <x:c r="F800" s="68" t="str">
        <x:v>31/08/2011</x:v>
      </x:c>
      <x:c r="G800" s="68" t="str">
        <x:v>Kinh</x:v>
      </x:c>
      <x:c r="H800" s="68" t="str">
        <x:v>Xa VTnh Thanh</x:v>
      </x:c>
      <x:c r="I800" s="68" t="str">
        <x:v>THCS Hung Phd</x:v>
      </x:c>
      <x:c r="J800" s="68" t="str">
        <x:v>Xa Vlnh Thanh</x:v>
      </x:c>
      <x:c r="K800" s="68" t="str">
        <x:v>26.0</x:v>
      </x:c>
      <x:c r="L800" s="68" t="str">
        <x:v>30</x:v>
      </x:c>
      <x:c r="M800" s="68" t="str"/>
      <x:c r="N800" s="68" t="str">
        <x:v>1.0</x:v>
      </x:c>
      <x:c r="O800" s="68" t="str">
        <x:v>57.0</x:v>
      </x:c>
      <x:c r="P800" s="68" t="str"/>
    </x:row>
    <x:row r="801">
      <x:c r="A801" s="106" t="n">
        <x:v>24</x:v>
      </x:c>
      <x:c r="B801" s="106" t="str">
        <x:v>800</x:v>
      </x:c>
      <x:c r="C801" s="167" t="str">
        <x:f>"09531 1009027"</x:f>
        <x:v>09531 1009027</x:v>
      </x:c>
      <x:c r="D801" s="68" t="str">
        <x:v>NGUYEN THI NGQC HON</x:v>
      </x:c>
      <x:c r="E801" s="68" t="str">
        <x:v>X</x:v>
      </x:c>
      <x:c r="F801" s="68" t="str">
        <x:v>31/07/2011</x:v>
      </x:c>
      <x:c r="G801" s="68" t="str">
        <x:v>Kinh</x:v>
      </x:c>
      <x:c r="H801" s="68" t="str">
        <x:v>Xa Phu a Long</x:v>
      </x:c>
      <x:c r="I801" s="68" t="str">
        <x:v>THCS VTnh Thanh</x:v>
      </x:c>
      <x:c r="J801" s="68" t="str">
        <x:v>Xa Wnh Thanh</x:v>
      </x:c>
      <x:c r="K801" s="68" t="str">
        <x:v>26.9</x:v>
      </x:c>
      <x:c r="L801" s="68" t="str">
        <x:v>30</x:v>
      </x:c>
      <x:c r="M801" s="68" t="str"/>
      <x:c r="N801" s="68" t="str"/>
      <x:c r="O801" s="68" t="str">
        <x:v>56.9</x:v>
      </x:c>
      <x:c r="P801" s="68" t="str"/>
    </x:row>
    <x:row r="802">
      <x:c r="A802" s="106" t="n">
        <x:v>24</x:v>
      </x:c>
      <x:c r="B802" s="106" t="str">
        <x:v>801</x:v>
      </x:c>
      <x:c r="C802" s="167" t="str">
        <x:f>"0952 1 1000548"</x:f>
        <x:v>0952 1 1000548</x:v>
      </x:c>
      <x:c r="D802" s="68" t="str">
        <x:v>vO DUY KHANH</x:v>
      </x:c>
      <x:c r="E802" s="68" t="str"/>
      <x:c r="F802" s="68" t="str">
        <x:v>26/10/201 1</x:v>
      </x:c>
      <x:c r="G802" s="68" t="str">
        <x:v>Kinh</x:v>
      </x:c>
      <x:c r="H802" s="68" t="str">
        <x:v>Xa Vrnh Thanh</x:v>
      </x:c>
      <x:c r="I802" s="68" t="str">
        <x:v>THCS Wnh Thanh</x:v>
      </x:c>
      <x:c r="J802" s="68" t="str">
        <x:v>Xa Vmh Thanh</x:v>
      </x:c>
      <x:c r="K802" s="68" t="str">
        <x:v>26.9</x:v>
      </x:c>
      <x:c r="L802" s="68" t="str">
        <x:v>30</x:v>
      </x:c>
      <x:c r="M802" s="68" t="str"/>
      <x:c r="N802" s="68" t="str"/>
      <x:c r="O802" s="68" t="str">
        <x:v>56.9</x:v>
      </x:c>
      <x:c r="P802" s="68" t="str"/>
    </x:row>
    <x:row r="803">
      <x:c r="A803" s="106" t="n">
        <x:v>24</x:v>
      </x:c>
      <x:c r="B803" s="106" t="str">
        <x:v>802</x:v>
      </x:c>
      <x:c r="C803" s="167" t="str">
        <x:f>"095211009912"</x:f>
        <x:v>095211009912</x:v>
      </x:c>
      <x:c r="D803" s="68" t="str">
        <x:v>NGUY£N KHANH BANG</x:v>
      </x:c>
      <x:c r="E803" s="68" t="str"/>
      <x:c r="F803" s="68" t="str">
        <x:v>01/02/2011</x:v>
      </x:c>
      <x:c r="G803" s="68" t="str">
        <x:v>Kinh</x:v>
      </x:c>
      <x:c r="H803" s="68" t="str">
        <x:v>Xa Vinh phu6c</x:v>
      </x:c>
      <x:c r="I803" s="68" t="str">
        <x:v>THCS Phu a Long</x:v>
      </x:c>
      <x:c r="J803" s="68" t="str">
        <x:v>Xa Phudc Long</x:v>
      </x:c>
      <x:c r="K803" s="68" t="str">
        <x:v>27.8</x:v>
      </x:c>
      <x:c r="L803" s="68" t="str">
        <x:v>29</x:v>
      </x:c>
      <x:c r="M803" s="68" t="str"/>
      <x:c r="N803" s="68" t="str"/>
      <x:c r="O803" s="68" t="str">
        <x:v>56.8</x:v>
      </x:c>
      <x:c r="P803" s="68" t="str"/>
    </x:row>
    <x:row r="804">
      <x:c r="A804" s="106" t="n">
        <x:v>24</x:v>
      </x:c>
      <x:c r="B804" s="106" t="str">
        <x:v>803</x:v>
      </x:c>
      <x:c r="C804" s="167" t="str">
        <x:f>"09521 1004887"</x:f>
        <x:v>09521 1004887</x:v>
      </x:c>
      <x:c r="D804" s="68" t="str">
        <x:v>NGUYEN GLA KIET</x:v>
      </x:c>
      <x:c r="E804" s="68" t="str"/>
      <x:c r="F804" s="68" t="str">
        <x:v>14/10/2011</x:v>
      </x:c>
      <x:c r="G804" s="68" t="str">
        <x:v>Kinh</x:v>
      </x:c>
      <x:c r="H804" s="68" t="str">
        <x:v>Xa Vinh Phudc</x:v>
      </x:c>
      <x:c r="I804" s="68" t="str">
        <x:v>THCS Phudc Long</x:v>
      </x:c>
      <x:c r="J804" s="68" t="str">
        <x:v>Xa Phudc Long</x:v>
      </x:c>
      <x:c r="K804" s="68" t="str">
        <x:v>26.8</x:v>
      </x:c>
      <x:c r="L804" s="68" t="str">
        <x:v>30</x:v>
      </x:c>
      <x:c r="M804" s="68" t="str"/>
      <x:c r="N804" s="68" t="str"/>
      <x:c r="O804" s="68" t="str">
        <x:v>56.8</x:v>
      </x:c>
      <x:c r="P804" s="68" t="str"/>
    </x:row>
    <x:row r="805">
      <x:c r="A805" s="106" t="n">
        <x:v>24</x:v>
      </x:c>
      <x:c r="B805" s="106" t="str">
        <x:v>804</x:v>
      </x:c>
      <x:c r="C805" s="167" t="str">
        <x:f>"09521 1007373"</x:f>
        <x:v>09521 1007373</x:v>
      </x:c>
      <x:c r="D805" s="68" t="str">
        <x:v>nutNH vAN THa</x:v>
      </x:c>
      <x:c r="E805" s="68" t="str"/>
      <x:c r="F805" s="68" t="str">
        <x:v>26/09/2011</x:v>
      </x:c>
      <x:c r="G805" s="68" t="str">
        <x:v>Kinh</x:v>
      </x:c>
      <x:c r="H805" s="68" t="str">
        <x:v>Xa Vrnh Thanh</x:v>
      </x:c>
      <x:c r="I805" s="68" t="str">
        <x:v>THCS Hung Phd</x:v>
      </x:c>
      <x:c r="J805" s="68" t="str">
        <x:v>Xa Wnh Thanh</x:v>
      </x:c>
      <x:c r="K805" s="68" t="str">
        <x:v>26.8</x:v>
      </x:c>
      <x:c r="L805" s="68" t="str">
        <x:v>30</x:v>
      </x:c>
      <x:c r="M805" s="68" t="str"/>
      <x:c r="N805" s="68" t="str"/>
      <x:c r="O805" s="68" t="str">
        <x:v>56.8</x:v>
      </x:c>
      <x:c r="P805" s="68" t="str"/>
    </x:row>
    <x:row r="806">
      <x:c r="A806" s="106" t="n">
        <x:v>24</x:v>
      </x:c>
      <x:c r="B806" s="106" t="str">
        <x:v>805</x:v>
      </x:c>
      <x:c r="C806" s="167" t="str">
        <x:f>"0953 1 1004978"</x:f>
        <x:v>0953 1 1004978</x:v>
      </x:c>
      <x:c r="D806" s="68" t="str">
        <x:v>NGUY£N THI MONG NGHI</x:v>
      </x:c>
      <x:c r="E806" s="68" t="str">
        <x:v>X</x:v>
      </x:c>
      <x:c r="F806" s="68" t="str">
        <x:v>20/06/2011</x:v>
      </x:c>
      <x:c r="G806" s="68" t="str">
        <x:v>Kinh</x:v>
      </x:c>
      <x:c r="H806" s="68" t="str">
        <x:v>Xa Wnh Thanh</x:v>
      </x:c>
      <x:c r="I806" s="68" t="str">
        <x:v>THCS Vinh Thanh</x:v>
      </x:c>
      <x:c r="J806" s="68" t="str">
        <x:v>Xa Vmh Thanh</x:v>
      </x:c>
      <x:c r="K806" s="68" t="str">
        <x:v>26.8</x:v>
      </x:c>
      <x:c r="L806" s="68" t="str">
        <x:v>30</x:v>
      </x:c>
      <x:c r="M806" s="68" t="str"/>
      <x:c r="N806" s="68" t="str"/>
      <x:c r="O806" s="68" t="str">
        <x:v>56.8</x:v>
      </x:c>
      <x:c r="P806" s="68" t="str"/>
    </x:row>
    <x:row r="807">
      <x:c r="A807" s="106" t="n">
        <x:v>24</x:v>
      </x:c>
      <x:c r="B807" s="106" t="str">
        <x:v>806</x:v>
      </x:c>
      <x:c r="C807" s="167" t="str">
        <x:f>"095211009242"</x:f>
        <x:v>095211009242</x:v>
      </x:c>
      <x:c r="D807" s="68" t="str">
        <x:v>TRAN BtNH KHANG</x:v>
      </x:c>
      <x:c r="E807" s="68" t="str"/>
      <x:c r="F807" s="68" t="str">
        <x:v>11/12/2011</x:v>
      </x:c>
      <x:c r="G807" s="68" t="str">
        <x:v>Kinh</x:v>
      </x:c>
      <x:c r="H807" s="68" t="str">
        <x:v>Xa Phudc Long</x:v>
      </x:c>
      <x:c r="I807" s="68" t="str">
        <x:v>THCS Phu a Long</x:v>
      </x:c>
      <x:c r="J807" s="68" t="str">
        <x:v>Xi Vmh Phudc</x:v>
      </x:c>
      <x:c r="K807" s="68" t="str">
        <x:v>27.7</x:v>
      </x:c>
      <x:c r="L807" s="68" t="str">
        <x:v>29</x:v>
      </x:c>
      <x:c r="M807" s="68" t="str"/>
      <x:c r="N807" s="68" t="str"/>
      <x:c r="O807" s="68" t="str">
        <x:v>56.7</x:v>
      </x:c>
      <x:c r="P807" s="68" t="str"/>
    </x:row>
    <x:row r="808">
      <x:c r="A808" s="106" t="n">
        <x:v>24</x:v>
      </x:c>
      <x:c r="B808" s="106" t="str">
        <x:v>807</x:v>
      </x:c>
      <x:c r="C808" s="167" t="str">
        <x:f>"09531 1001230"</x:f>
        <x:v>09531 1001230</x:v>
      </x:c>
      <x:c r="D808" s="68" t="str">
        <x:v>TRAN NGQC DOAN :</x:v>
      </x:c>
      <x:c r="E808" s="68" t="str">
        <x:v>X</x:v>
      </x:c>
      <x:c r="F808" s="68" t="str">
        <x:v>07/09/2011</x:v>
      </x:c>
      <x:c r="G808" s="68" t="str">
        <x:v>Kinh</x:v>
      </x:c>
      <x:c r="H808" s="68" t="str">
        <x:v>Xi Wrnh Thanh</x:v>
      </x:c>
      <x:c r="I808" s="68" t="str">
        <x:v>THCS Wnh Thanh</x:v>
      </x:c>
      <x:c r="J808" s="68" t="str">
        <x:v>Xa Wnh Thanh</x:v>
      </x:c>
      <x:c r="K808" s="68" t="str">
        <x:v>26.6</x:v>
      </x:c>
      <x:c r="L808" s="68" t="str">
        <x:v>30</x:v>
      </x:c>
      <x:c r="M808" s="68" t="str"/>
      <x:c r="N808" s="68" t="str"/>
      <x:c r="O808" s="68" t="str">
        <x:v>56.6</x:v>
      </x:c>
      <x:c r="P808" s="68" t="str"/>
    </x:row>
    <x:row r="809">
      <x:c r="A809" s="106" t="n">
        <x:v>24</x:v>
      </x:c>
      <x:c r="B809" s="106" t="str">
        <x:v>808</x:v>
      </x:c>
      <x:c r="C809" s="167" t="str">
        <x:f>"0953 1 1006233"</x:f>
        <x:v>0953 1 1006233</x:v>
      </x:c>
      <x:c r="D809" s="68" t="str">
        <x:v>LE NHAT TUYEN</x:v>
      </x:c>
      <x:c r="E809" s="68" t="str">
        <x:v>X</x:v>
      </x:c>
      <x:c r="F809" s="68" t="str">
        <x:v>30/01/2011</x:v>
      </x:c>
      <x:c r="G809" s="68" t="str">
        <x:v>Kinh</x:v>
      </x:c>
      <x:c r="H809" s="68" t="str">
        <x:v>Xa WITh Thanh</x:v>
      </x:c>
      <x:c r="I809" s="68" t="str">
        <x:v>THCS Hung Phd</x:v>
      </x:c>
      <x:c r="J809" s="68" t="str">
        <x:v>Xa Wnh Thanh</x:v>
      </x:c>
      <x:c r="K809" s="68" t="str">
        <x:v>26.6</x:v>
      </x:c>
      <x:c r="L809" s="68" t="str">
        <x:v>30</x:v>
      </x:c>
      <x:c r="M809" s="68" t="str"/>
      <x:c r="N809" s="68" t="str"/>
      <x:c r="O809" s="68" t="str">
        <x:v>56.6</x:v>
      </x:c>
      <x:c r="P809" s="68" t="str"/>
    </x:row>
    <x:row r="810">
      <x:c r="A810" s="106" t="n">
        <x:v>24</x:v>
      </x:c>
      <x:c r="B810" s="106" t="str">
        <x:v>809</x:v>
      </x:c>
      <x:c r="C810" s="167" t="str">
        <x:f>"0953 1 1005227"</x:f>
        <x:v>0953 1 1005227</x:v>
      </x:c>
      <x:c r="D810" s="68" t="str">
        <x:v>NGUY£N vel NHA THU</x:v>
      </x:c>
      <x:c r="E810" s="68" t="str">
        <x:v>F,tn4 X</x:v>
      </x:c>
      <x:c r="F810" s="68" t="str">
        <x:v>09/idNKinh</x:v>
      </x:c>
      <x:c r="G810" s="68" t="str">
        <x:v>Kinh I</x:v>
      </x:c>
      <x:c r="H810" s="68" t="str">
        <x:v>Xa Vinh Phu6c</x:v>
      </x:c>
      <x:c r="I810" s="68" t="str">
        <x:v>THCS Phudc Long</x:v>
      </x:c>
      <x:c r="J810" s="68" t="str">
        <x:v>Xa Phudc Long</x:v>
      </x:c>
      <x:c r="K810" s="68" t="str">
        <x:v>26.5</x:v>
      </x:c>
      <x:c r="L810" s="68" t="str">
        <x:v>30</x:v>
      </x:c>
      <x:c r="M810" s="68" t="str"/>
      <x:c r="N810" s="68" t="str"/>
      <x:c r="O810" s="68" t="str">
        <x:v>56.5</x:v>
      </x:c>
      <x:c r="P810" s="68" t="str"/>
    </x:row>
    <x:row r="811">
      <x:c r="A811" s="106" t="n">
        <x:v>24</x:v>
      </x:c>
      <x:c r="B811" s="106" t="str">
        <x:v>810</x:v>
      </x:c>
      <x:c r="C811" s="167" t="str">
        <x:f>"095211008112"</x:f>
        <x:v>095211008112</x:v>
      </x:c>
      <x:c r="D811" s="68" t="str">
        <x:v>LUU DANG KH61</x:v>
      </x:c>
      <x:c r="E811" s="68" t="str"/>
      <x:c r="F811" s="68" t="str">
        <x:v>22/06/2011</x:v>
      </x:c>
      <x:c r="G811" s="68" t="str">
        <x:v>Kinh</x:v>
      </x:c>
      <x:c r="H811" s="68" t="str">
        <x:v>Xa Vinh Thanh</x:v>
      </x:c>
      <x:c r="I811" s="68" t="str">
        <x:v>THCS Wnh Thanh</x:v>
      </x:c>
      <x:c r="J811" s="68" t="str">
        <x:v>Xa Vrnh Thanh</x:v>
      </x:c>
      <x:c r="K811" s="68" t="str">
        <x:v>26.5</x:v>
      </x:c>
      <x:c r="L811" s="68" t="str">
        <x:v>30</x:v>
      </x:c>
      <x:c r="M811" s="68" t="str"/>
      <x:c r="N811" s="68" t="str"/>
      <x:c r="O811" s="68" t="str">
        <x:v>56.5</x:v>
      </x:c>
      <x:c r="P811" s="68" t="str"/>
    </x:row>
    <x:row r="812">
      <x:c r="A812" s="106" t="n">
        <x:v>25</x:v>
      </x:c>
      <x:c r="B812" s="106" t="str">
        <x:v>811</x:v>
      </x:c>
      <x:c r="C812" s="167" t="str">
        <x:f>"09531 1006453"</x:f>
        <x:v>09531 1006453</x:v>
      </x:c>
      <x:c r="D812" s="68" t="str">
        <x:v>Ta Tn1 NGQC NHI</x:v>
      </x:c>
      <x:c r="E812" s="68" t="str">
        <x:v>X</x:v>
      </x:c>
      <x:c r="F812" s="68" t="str">
        <x:v>12/1 1/2011</x:v>
      </x:c>
      <x:c r="G812" s="68" t="str">
        <x:v>Kinh</x:v>
      </x:c>
      <x:c r="H812" s="68" t="str">
        <x:v>Xi Vinh Phudc</x:v>
      </x:c>
      <x:c r="I812" s="68" t="str">
        <x:v>THCS Wnh Pha Tay</x:v>
      </x:c>
      <x:c r="J812" s="68" t="str">
        <x:v>Xa VTnh phu6c</x:v>
      </x:c>
      <x:c r="K812" s="68" t="str">
        <x:v>26.3</x:v>
      </x:c>
      <x:c r="L812" s="68" t="str">
        <x:v>30</x:v>
      </x:c>
      <x:c r="M812" s="68" t="str"/>
      <x:c r="N812" s="68" t="str"/>
      <x:c r="O812" s="68" t="str">
        <x:v>56.3</x:v>
      </x:c>
      <x:c r="P812" s="68" t="str"/>
    </x:row>
    <x:row r="813">
      <x:c r="A813" s="106" t="n">
        <x:v>25</x:v>
      </x:c>
      <x:c r="B813" s="106" t="str">
        <x:v>812</x:v>
      </x:c>
      <x:c r="C813" s="167" t="str">
        <x:f>"0953 1 1007906"</x:f>
        <x:v>0953 1 1007906</x:v>
      </x:c>
      <x:c r="D813" s="68" t="str">
        <x:v>BaI NGQC cAM</x:v>
      </x:c>
      <x:c r="E813" s="68" t="str">
        <x:v>X</x:v>
      </x:c>
      <x:c r="F813" s="68" t="str">
        <x:v>03/02/2011</x:v>
      </x:c>
      <x:c r="G813" s="68" t="str">
        <x:v>Kinh</x:v>
      </x:c>
      <x:c r="H813" s="68" t="str">
        <x:v>Xa Phudc Long</x:v>
      </x:c>
      <x:c r="I813" s="68" t="str">
        <x:v>THCS PhMc Long</x:v>
      </x:c>
      <x:c r="J813" s="68" t="str">
        <x:v>Xa Phudc Long</x:v>
      </x:c>
      <x:c r="K813" s="68" t="str">
        <x:v>26.3</x:v>
      </x:c>
      <x:c r="L813" s="68" t="str">
        <x:v>30</x:v>
      </x:c>
      <x:c r="M813" s="68" t="str"/>
      <x:c r="N813" s="68" t="str"/>
      <x:c r="O813" s="68" t="str">
        <x:v>56.3</x:v>
      </x:c>
      <x:c r="P813" s="68" t="str"/>
    </x:row>
    <x:row r="814">
      <x:c r="A814" s="106" t="n">
        <x:v>25</x:v>
      </x:c>
      <x:c r="B814" s="106" t="str">
        <x:v>813</x:v>
      </x:c>
      <x:c r="C814" s="167" t="str">
        <x:f>"0952110005 14"</x:f>
        <x:v>0952110005 14</x:v>
      </x:c>
      <x:c r="D814" s="68" t="str">
        <x:v>Li BAO AN</x:v>
      </x:c>
      <x:c r="E814" s="68" t="str"/>
      <x:c r="F814" s="68" t="str">
        <x:v>15/03/201 1</x:v>
      </x:c>
      <x:c r="G814" s="68" t="str">
        <x:v>Kinh</x:v>
      </x:c>
      <x:c r="H814" s="68" t="str">
        <x:v>Xa Phudc Long</x:v>
      </x:c>
      <x:c r="I814" s="68" t="str">
        <x:v>THCS VTnh Thanh</x:v>
      </x:c>
      <x:c r="J814" s="68" t="str">
        <x:v>Xa Wnh Thanh</x:v>
      </x:c>
      <x:c r="K814" s="68" t="str">
        <x:v>26.3</x:v>
      </x:c>
      <x:c r="L814" s="68" t="str">
        <x:v>30</x:v>
      </x:c>
      <x:c r="M814" s="68" t="str"/>
      <x:c r="N814" s="68" t="str"/>
      <x:c r="O814" s="68" t="str">
        <x:v>56.3</x:v>
      </x:c>
      <x:c r="P814" s="68" t="str"/>
    </x:row>
    <x:row r="815">
      <x:c r="A815" s="106" t="n">
        <x:v>25</x:v>
      </x:c>
      <x:c r="B815" s="106" t="str">
        <x:v>814</x:v>
      </x:c>
      <x:c r="C815" s="167" t="str">
        <x:f>"09521 1000370"</x:f>
        <x:v>09521 1000370</x:v>
      </x:c>
      <x:c r="D815" s="68" t="str">
        <x:v>LAM vAN NHU6NG</x:v>
      </x:c>
      <x:c r="E815" s="68" t="str"/>
      <x:c r="F815" s="68" t="str">
        <x:v>23/1 1/2011</x:v>
      </x:c>
      <x:c r="G815" s="68" t="str">
        <x:v>Kinh</x:v>
      </x:c>
      <x:c r="H815" s="68" t="str">
        <x:v>Xa Wnh Thanh</x:v>
      </x:c>
      <x:c r="I815" s="68" t="str">
        <x:v>THCS Vuang Htru Nhon</x:v>
      </x:c>
      <x:c r="J815" s="68" t="str">
        <x:v>Xa Phu6c Long</x:v>
      </x:c>
      <x:c r="K815" s="68" t="str">
        <x:v>27.3</x:v>
      </x:c>
      <x:c r="L815" s="68" t="str">
        <x:v>29</x:v>
      </x:c>
      <x:c r="M815" s="68" t="str"/>
      <x:c r="N815" s="68" t="str"/>
      <x:c r="O815" s="68" t="str">
        <x:v>56.3</x:v>
      </x:c>
      <x:c r="P815" s="68" t="str"/>
    </x:row>
    <x:row r="816">
      <x:c r="A816" s="106" t="n">
        <x:v>25</x:v>
      </x:c>
      <x:c r="B816" s="106" t="str">
        <x:v>815</x:v>
      </x:c>
      <x:c r="C816" s="167" t="str">
        <x:f>"0963 1 1012877"</x:f>
        <x:v>0963 1 1012877</x:v>
      </x:c>
      <x:c r="D816" s="68" t="str">
        <x:v>vO ANH THU</x:v>
      </x:c>
      <x:c r="E816" s="68" t="str">
        <x:v>X</x:v>
      </x:c>
      <x:c r="F816" s="68" t="str">
        <x:v>3 1/05/201 1</x:v>
      </x:c>
      <x:c r="G816" s="68" t="str">
        <x:v>Kinh</x:v>
      </x:c>
      <x:c r="H816" s="68" t="str">
        <x:v>Xa Phu6c Long</x:v>
      </x:c>
      <x:c r="I816" s="68" t="str">
        <x:v>THCS Wnh Thanh</x:v>
      </x:c>
      <x:c r="J816" s="68" t="str">
        <x:v>Xa Vinh Thanh</x:v>
      </x:c>
      <x:c r="K816" s="68" t="str">
        <x:v>26.2</x:v>
      </x:c>
      <x:c r="L816" s="68" t="str">
        <x:v>30</x:v>
      </x:c>
      <x:c r="M816" s="68" t="str"/>
      <x:c r="N816" s="68" t="str"/>
      <x:c r="O816" s="68" t="str">
        <x:v>56.2</x:v>
      </x:c>
      <x:c r="P816" s="68" t="str"/>
    </x:row>
    <x:row r="817">
      <x:c r="A817" s="106" t="n">
        <x:v>25</x:v>
      </x:c>
      <x:c r="B817" s="106" t="str">
        <x:v>816</x:v>
      </x:c>
      <x:c r="C817" s="167" t="str">
        <x:f>"09521 1009227"</x:f>
        <x:v>09521 1009227</x:v>
      </x:c>
      <x:c r="D817" s="68" t="str">
        <x:v>NGUY£N HOANG DUY</x:v>
      </x:c>
      <x:c r="E817" s="68" t="str"/>
      <x:c r="F817" s="68" t="str">
        <x:v>21/05/2011</x:v>
      </x:c>
      <x:c r="G817" s="68" t="str">
        <x:v>Kinh</x:v>
      </x:c>
      <x:c r="H817" s="68" t="str">
        <x:v>Xa Phudc Long</x:v>
      </x:c>
      <x:c r="I817" s="68" t="str">
        <x:v>THCS Vuang Hnu Nhan</x:v>
      </x:c>
      <x:c r="J817" s="68" t="str">
        <x:v>Xa Phudc Long</x:v>
      </x:c>
      <x:c r="K817" s="68" t="str">
        <x:v>26.2</x:v>
      </x:c>
      <x:c r="L817" s="68" t="str">
        <x:v>30</x:v>
      </x:c>
      <x:c r="M817" s="68" t="str"/>
      <x:c r="N817" s="68" t="str"/>
      <x:c r="O817" s="68" t="str">
        <x:v>56.2</x:v>
      </x:c>
      <x:c r="P817" s="68" t="str"/>
    </x:row>
    <x:row r="818">
      <x:c r="A818" s="106" t="n">
        <x:v>25</x:v>
      </x:c>
      <x:c r="B818" s="106" t="str">
        <x:v>817</x:v>
      </x:c>
      <x:c r="C818" s="167" t="str">
        <x:f>"095211008381"</x:f>
        <x:v>095211008381</x:v>
      </x:c>
      <x:c r="D818" s="68" t="str">
        <x:v>TRAN DANG KH61</x:v>
      </x:c>
      <x:c r="E818" s="68" t="str"/>
      <x:c r="F818" s="68" t="str">
        <x:v>03/1 1/2011</x:v>
      </x:c>
      <x:c r="G818" s="68" t="str">
        <x:v>Kinh</x:v>
      </x:c>
      <x:c r="H818" s="68" t="str">
        <x:v>Xi Vinh Thanh</x:v>
      </x:c>
      <x:c r="I818" s="68" t="str">
        <x:v>THCS Hung Phd</x:v>
      </x:c>
      <x:c r="J818" s="68" t="str">
        <x:v>Xa Wnh Thanh</x:v>
      </x:c>
      <x:c r="K818" s="68" t="str">
        <x:v>26. 1</x:v>
      </x:c>
      <x:c r="L818" s="68" t="str">
        <x:v>30</x:v>
      </x:c>
      <x:c r="M818" s="68" t="str"/>
      <x:c r="N818" s="68" t="str"/>
      <x:c r="O818" s="68" t="str">
        <x:v>56.1</x:v>
      </x:c>
      <x:c r="P818" s="68" t="str"/>
    </x:row>
    <x:row r="819">
      <x:c r="A819" s="106" t="n">
        <x:v>25</x:v>
      </x:c>
      <x:c r="B819" s="106" t="str">
        <x:v>818</x:v>
      </x:c>
      <x:c r="C819" s="167" t="str">
        <x:f>"09521 1001307 ,"</x:f>
        <x:v>09521 1001307 ,</x:v>
      </x:c>
      <x:c r="D819" s="68" t="str">
        <x:v>NGUY£N vAN HEEU</x:v>
      </x:c>
      <x:c r="E819" s="68" t="str"/>
      <x:c r="F819" s="68" t="str">
        <x:v>22/03/2011</x:v>
      </x:c>
      <x:c r="G819" s="68" t="str">
        <x:v>Kinh</x:v>
      </x:c>
      <x:c r="H819" s="68" t="str">
        <x:v>Xa Vinh Thanh</x:v>
      </x:c>
      <x:c r="I819" s="68" t="str">
        <x:v>THCS Wnh Thanh</x:v>
      </x:c>
      <x:c r="J819" s="68" t="str">
        <x:v>Xa Vrnh Thanh</x:v>
      </x:c>
      <x:c r="K819" s="68" t="str">
        <x:v>26.1</x:v>
      </x:c>
      <x:c r="L819" s="68" t="str">
        <x:v>30</x:v>
      </x:c>
      <x:c r="M819" s="68" t="str"/>
      <x:c r="N819" s="68" t="str"/>
      <x:c r="O819" s="68" t="str">
        <x:v>56.1</x:v>
      </x:c>
      <x:c r="P819" s="68" t="str"/>
    </x:row>
    <x:row r="820">
      <x:c r="A820" s="106" t="n">
        <x:v>25</x:v>
      </x:c>
      <x:c r="B820" s="106" t="str">
        <x:v>819</x:v>
      </x:c>
      <x:c r="C820" s="167" t="str">
        <x:f>"09521 1006254"</x:f>
        <x:v>09521 1006254</x:v>
      </x:c>
      <x:c r="D820" s="68" t="str">
        <x:v>DOAN GLA HUY</x:v>
      </x:c>
      <x:c r="E820" s="68" t="str"/>
      <x:c r="F820" s="68" t="str">
        <x:v>07/05/2011</x:v>
      </x:c>
      <x:c r="G820" s="68" t="str">
        <x:v>Kinh</x:v>
      </x:c>
      <x:c r="H820" s="68" t="str">
        <x:v>Xi Vmh Thanh</x:v>
      </x:c>
      <x:c r="I820" s="68" t="str">
        <x:v>THCS VTnh Thanh</x:v>
      </x:c>
      <x:c r="J820" s="68" t="str">
        <x:v>Xa Vinh Thanh</x:v>
      </x:c>
      <x:c r="K820" s="68" t="str">
        <x:v>26. 1</x:v>
      </x:c>
      <x:c r="L820" s="68" t="str">
        <x:v>30</x:v>
      </x:c>
      <x:c r="M820" s="68" t="str"/>
      <x:c r="N820" s="68" t="str"/>
      <x:c r="O820" s="68" t="str">
        <x:v>56.1</x:v>
      </x:c>
      <x:c r="P820" s="68" t="str"/>
    </x:row>
    <x:row r="821">
      <x:c r="A821" s="106" t="n">
        <x:v>25</x:v>
      </x:c>
      <x:c r="B821" s="106" t="str">
        <x:v>820</x:v>
      </x:c>
      <x:c r="C821" s="167" t="str">
        <x:f>"095211005909"</x:f>
        <x:v>095211005909</x:v>
      </x:c>
      <x:c r="D821" s="68" t="str">
        <x:v>NGUYEN KHAC rruy</x:v>
      </x:c>
      <x:c r="E821" s="68" t="str"/>
      <x:c r="F821" s="68" t="str">
        <x:v>18/07/201 1</x:v>
      </x:c>
      <x:c r="G821" s="68" t="str">
        <x:v>Kinh</x:v>
      </x:c>
      <x:c r="H821" s="68" t="str">
        <x:v>Xa Phu a Long</x:v>
      </x:c>
      <x:c r="I821" s="68" t="str">
        <x:v>THCS Wnh Thanh</x:v>
      </x:c>
      <x:c r="J821" s="68" t="str">
        <x:v>Xa VTnh Thanh</x:v>
      </x:c>
      <x:c r="K821" s="68" t="str">
        <x:v>26.0</x:v>
      </x:c>
      <x:c r="L821" s="68" t="str">
        <x:v>30</x:v>
      </x:c>
      <x:c r="M821" s="68" t="str"/>
      <x:c r="N821" s="68" t="str"/>
      <x:c r="O821" s="68" t="str">
        <x:v>56.0</x:v>
      </x:c>
      <x:c r="P821" s="68" t="str"/>
    </x:row>
    <x:row r="822">
      <x:c r="A822" s="106" t="n">
        <x:v>25</x:v>
      </x:c>
      <x:c r="B822" s="106" t="str">
        <x:v>821</x:v>
      </x:c>
      <x:c r="C822" s="167" t="str">
        <x:f>"09521 1009260"</x:f>
        <x:v>09521 1009260</x:v>
      </x:c>
      <x:c r="D822" s="68" t="str">
        <x:v>PHAM DANG KH61</x:v>
      </x:c>
      <x:c r="E822" s="68" t="str"/>
      <x:c r="F822" s="68" t="str">
        <x:v>30/07/2011</x:v>
      </x:c>
      <x:c r="G822" s="68" t="str">
        <x:v>Kinh</x:v>
      </x:c>
      <x:c r="H822" s="68" t="str">
        <x:v>Xa Phudc Long</x:v>
      </x:c>
      <x:c r="I822" s="68" t="str">
        <x:v>THCS Vuang Hau Nhan</x:v>
      </x:c>
      <x:c r="J822" s="68" t="str">
        <x:v>Xa Phu6c Long</x:v>
      </x:c>
      <x:c r="K822" s="68" t="str">
        <x:v>26.0</x:v>
      </x:c>
      <x:c r="L822" s="68" t="str">
        <x:v>30</x:v>
      </x:c>
      <x:c r="M822" s="68" t="str"/>
      <x:c r="N822" s="68" t="str"/>
      <x:c r="O822" s="68" t="str">
        <x:v>56.0</x:v>
      </x:c>
      <x:c r="P822" s="68" t="str"/>
    </x:row>
    <x:row r="823">
      <x:c r="A823" s="106" t="n">
        <x:v>25</x:v>
      </x:c>
      <x:c r="B823" s="106" t="str">
        <x:v>822</x:v>
      </x:c>
      <x:c r="C823" s="167" t="str">
        <x:f>"09521 1005 115"</x:f>
        <x:v>09521 1005 115</x:v>
      </x:c>
      <x:c r="D823" s="68" t="str">
        <x:v>LE TRQNG NGHiA</x:v>
      </x:c>
      <x:c r="E823" s="68" t="str"/>
      <x:c r="F823" s="68" t="str">
        <x:v>24/08/2011</x:v>
      </x:c>
      <x:c r="G823" s="68" t="str">
        <x:v>Kinh</x:v>
      </x:c>
      <x:c r="H823" s="68" t="str">
        <x:v>Xa Phudc Long</x:v>
      </x:c>
      <x:c r="I823" s="68" t="str">
        <x:v>THCS Vuang Htru Nhan</x:v>
      </x:c>
      <x:c r="J823" s="68" t="str">
        <x:v>Xa Phu6c Long</x:v>
      </x:c>
      <x:c r="K823" s="68" t="str">
        <x:v>25.9</x:v>
      </x:c>
      <x:c r="L823" s="68" t="str">
        <x:v>30</x:v>
      </x:c>
      <x:c r="M823" s="68" t="str"/>
      <x:c r="N823" s="68" t="str"/>
      <x:c r="O823" s="68" t="str">
        <x:v>55.9</x:v>
      </x:c>
      <x:c r="P823" s="68" t="str"/>
    </x:row>
    <x:row r="824">
      <x:c r="A824" s="106" t="n">
        <x:v>25</x:v>
      </x:c>
      <x:c r="B824" s="106" t="str">
        <x:v>823</x:v>
      </x:c>
      <x:c r="C824" s="167" t="str">
        <x:f>"095211002614"</x:f>
        <x:v>095211002614</x:v>
      </x:c>
      <x:c r="D824" s="68" t="str">
        <x:v>NGUY£N MINH NHUT</x:v>
      </x:c>
      <x:c r="E824" s="68" t="str"/>
      <x:c r="F824" s="68" t="str">
        <x:v>3 1/10/2011</x:v>
      </x:c>
      <x:c r="G824" s="68" t="str">
        <x:v>Kinh</x:v>
      </x:c>
      <x:c r="H824" s="68" t="str">
        <x:v>Xa Phu6c Long</x:v>
      </x:c>
      <x:c r="I824" s="68" t="str">
        <x:v>THCS Phu6c Long</x:v>
      </x:c>
      <x:c r="J824" s="68" t="str">
        <x:v>Xa Phudc Long</x:v>
      </x:c>
      <x:c r="K824" s="68" t="str">
        <x:v>25.9</x:v>
      </x:c>
      <x:c r="L824" s="68" t="str">
        <x:v>30</x:v>
      </x:c>
      <x:c r="M824" s="68" t="str"/>
      <x:c r="N824" s="68" t="str"/>
      <x:c r="O824" s="68" t="str">
        <x:v>55.9</x:v>
      </x:c>
      <x:c r="P824" s="68" t="str"/>
    </x:row>
    <x:row r="825">
      <x:c r="A825" s="106" t="n">
        <x:v>25</x:v>
      </x:c>
      <x:c r="B825" s="106" t="str">
        <x:v>824</x:v>
      </x:c>
      <x:c r="C825" s="167" t="str">
        <x:f>"095211003443"</x:f>
        <x:v>095211003443</x:v>
      </x:c>
      <x:c r="D825" s="68" t="str">
        <x:v>NGUYEN HOANG DUY£N</x:v>
      </x:c>
      <x:c r="E825" s="68" t="str"/>
      <x:c r="F825" s="68" t="str">
        <x:v>01/04/201 1</x:v>
      </x:c>
      <x:c r="G825" s="68" t="str">
        <x:v>Kinh</x:v>
      </x:c>
      <x:c r="H825" s="68" t="str">
        <x:v>Xa Phu6c Long</x:v>
      </x:c>
      <x:c r="I825" s="68" t="str">
        <x:v>THCS Phu6c Long</x:v>
      </x:c>
      <x:c r="J825" s="68" t="str">
        <x:v>Xa Phudc Long</x:v>
      </x:c>
      <x:c r="K825" s="68" t="str">
        <x:v>26.9</x:v>
      </x:c>
      <x:c r="L825" s="68" t="str">
        <x:v>28</x:v>
      </x:c>
      <x:c r="M825" s="68" t="str">
        <x:v>1.0</x:v>
      </x:c>
      <x:c r="N825" s="68" t="str"/>
      <x:c r="O825" s="68" t="str">
        <x:v>55.9</x:v>
      </x:c>
      <x:c r="P825" s="68" t="str"/>
    </x:row>
    <x:row r="826">
      <x:c r="A826" s="106" t="n">
        <x:v>25</x:v>
      </x:c>
      <x:c r="B826" s="106" t="str">
        <x:v>825</x:v>
      </x:c>
      <x:c r="C826" s="167" t="str">
        <x:f>"092211008228"</x:f>
        <x:v>092211008228</x:v>
      </x:c>
      <x:c r="D826" s="68" t="str">
        <x:v>PHAM QU6C VINH</x:v>
      </x:c>
      <x:c r="E826" s="68" t="str"/>
      <x:c r="F826" s="68" t="str">
        <x:v>13/06/201 1</x:v>
      </x:c>
      <x:c r="G826" s="68" t="str">
        <x:v>Kinh</x:v>
      </x:c>
      <x:c r="H826" s="68" t="str">
        <x:v>Xa Phu6c Long</x:v>
      </x:c>
      <x:c r="I826" s="68" t="str">
        <x:v>THCS Phudc Long</x:v>
      </x:c>
      <x:c r="J826" s="68" t="str">
        <x:v>Xa Phu6c Long</x:v>
      </x:c>
      <x:c r="K826" s="68" t="str">
        <x:v>25.9</x:v>
      </x:c>
      <x:c r="L826" s="68" t="str">
        <x:v>30</x:v>
      </x:c>
      <x:c r="M826" s="68" t="str"/>
      <x:c r="N826" s="68" t="str"/>
      <x:c r="O826" s="68" t="str">
        <x:v>55.9</x:v>
      </x:c>
      <x:c r="P826" s="68" t="str"/>
    </x:row>
    <x:row r="827">
      <x:c r="A827" s="106" t="n">
        <x:v>25</x:v>
      </x:c>
      <x:c r="B827" s="106" t="str">
        <x:v>826</x:v>
      </x:c>
      <x:c r="C827" s="167" t="str">
        <x:f>"095211000911"</x:f>
        <x:v>095211000911</x:v>
      </x:c>
      <x:c r="D827" s="68" t="str">
        <x:v>NGUYEN PH(JC TOAN</x:v>
      </x:c>
      <x:c r="E827" s="68" t="str"/>
      <x:c r="F827" s="68" t="str">
        <x:v>25/09/2011</x:v>
      </x:c>
      <x:c r="G827" s="68" t="str">
        <x:v>Kinh</x:v>
      </x:c>
      <x:c r="H827" s="68" t="str">
        <x:v>Xa Phu6c Long</x:v>
      </x:c>
      <x:c r="I827" s="68" t="str">
        <x:v>THCS Vrnh Thanh</x:v>
      </x:c>
      <x:c r="J827" s="68" t="str">
        <x:v>Xa Wnh Thanh</x:v>
      </x:c>
      <x:c r="K827" s="68" t="str">
        <x:v>25.8</x:v>
      </x:c>
      <x:c r="L827" s="68" t="str">
        <x:v>30</x:v>
      </x:c>
      <x:c r="M827" s="68" t="str"/>
      <x:c r="N827" s="68" t="str"/>
      <x:c r="O827" s="68" t="str">
        <x:v>55.8</x:v>
      </x:c>
      <x:c r="P827" s="68" t="str"/>
    </x:row>
    <x:row r="828">
      <x:c r="A828" s="106" t="n">
        <x:v>25</x:v>
      </x:c>
      <x:c r="B828" s="106" t="str">
        <x:v>827</x:v>
      </x:c>
      <x:c r="C828" s="167" t="str">
        <x:f>"093211006218"</x:f>
        <x:v>093211006218</x:v>
      </x:c>
      <x:c r="D828" s="68" t="str">
        <x:v>DINH GIA HUY</x:v>
      </x:c>
      <x:c r="E828" s="68" t="str"/>
      <x:c r="F828" s="68" t="str">
        <x:v>06/12/2011</x:v>
      </x:c>
      <x:c r="G828" s="68" t="str">
        <x:v>Kinh</x:v>
      </x:c>
      <x:c r="H828" s="68" t="str">
        <x:v>Xa Wnh Phu(ic</x:v>
      </x:c>
      <x:c r="I828" s="68" t="str">
        <x:v>THCS VTnh Pha Tay</x:v>
      </x:c>
      <x:c r="J828" s="68" t="str">
        <x:v>Xa Wnh Phudc</x:v>
      </x:c>
      <x:c r="K828" s="68" t="str">
        <x:v>25.7</x:v>
      </x:c>
      <x:c r="L828" s="68" t="str">
        <x:v>30</x:v>
      </x:c>
      <x:c r="M828" s="68" t="str"/>
      <x:c r="N828" s="68" t="str"/>
      <x:c r="O828" s="68" t="str">
        <x:v>55.7</x:v>
      </x:c>
      <x:c r="P828" s="68" t="str"/>
    </x:row>
    <x:row r="829">
      <x:c r="A829" s="106" t="n">
        <x:v>25</x:v>
      </x:c>
      <x:c r="B829" s="106" t="str">
        <x:v>828</x:v>
      </x:c>
      <x:c r="C829" s="167" t="str">
        <x:f>"095211001084"</x:f>
        <x:v>095211001084</x:v>
      </x:c>
      <x:c r="D829" s="68" t="str">
        <x:v>DANH PHO QUV</x:v>
      </x:c>
      <x:c r="E829" s="68" t="str"/>
      <x:c r="F829" s="68" t="str">
        <x:v>05/09/201 1</x:v>
      </x:c>
      <x:c r="G829" s="68" t="str">
        <x:v>Khmer</x:v>
      </x:c>
      <x:c r="H829" s="68" t="str">
        <x:v>Xa Wnh Phu6c</x:v>
      </x:c>
      <x:c r="I829" s="68" t="str">
        <x:v>THCS VTnh Thanh</x:v>
      </x:c>
      <x:c r="J829" s="68" t="str">
        <x:v>Xa Wnh Thanh</x:v>
      </x:c>
      <x:c r="K829" s="68" t="str">
        <x:v>24.7</x:v>
      </x:c>
      <x:c r="L829" s="68" t="str">
        <x:v>30</x:v>
      </x:c>
      <x:c r="M829" s="68" t="str">
        <x:v>1.0</x:v>
      </x:c>
      <x:c r="N829" s="68" t="str"/>
      <x:c r="O829" s="68" t="str">
        <x:v>55.7</x:v>
      </x:c>
      <x:c r="P829" s="68" t="str"/>
    </x:row>
    <x:row r="830">
      <x:c r="A830" s="106" t="n">
        <x:v>25</x:v>
      </x:c>
      <x:c r="B830" s="106" t="str">
        <x:v>829</x:v>
      </x:c>
      <x:c r="C830" s="167" t="str">
        <x:f>"0"</x:f>
        <x:v>0</x:v>
      </x:c>
      <x:c r="D830" s="68" t="str">
        <x:v>PHAN HOANG AN</x:v>
      </x:c>
      <x:c r="E830" s="68" t="str"/>
      <x:c r="F830" s="68" t="str">
        <x:v>15/12/2011</x:v>
      </x:c>
      <x:c r="G830" s="68" t="str">
        <x:v>Khrner I</x:v>
      </x:c>
      <x:c r="H830" s="68" t="str">
        <x:v>Xa Wnh Phu6c</x:v>
      </x:c>
      <x:c r="I830" s="68" t="str">
        <x:v>THCS Vinh Pha Tay</x:v>
      </x:c>
      <x:c r="J830" s="68" t="str">
        <x:v>Xa Vlnh Phudc</x:v>
      </x:c>
      <x:c r="K830" s="68" t="str">
        <x:v>26.0</x:v>
      </x:c>
      <x:c r="L830" s="68" t="str">
        <x:v>28</x:v>
      </x:c>
      <x:c r="M830" s="68" t="str">
        <x:v>1.0</x:v>
      </x:c>
      <x:c r="N830" s="68" t="str"/>
      <x:c r="O830" s="68" t="str">
        <x:v>55.0</x:v>
      </x:c>
      <x:c r="P830" s="68" t="str"/>
    </x:row>
    <x:row r="831">
      <x:c r="A831" s="106" t="n">
        <x:v>25</x:v>
      </x:c>
      <x:c r="B831" s="106" t="str">
        <x:v>830</x:v>
      </x:c>
      <x:c r="C831" s="167" t="str">
        <x:f>"095211002710"</x:f>
        <x:v>095211002710</x:v>
      </x:c>
      <x:c r="D831" s="68" t="str">
        <x:v>NGUYEN CHi DI£N</x:v>
      </x:c>
      <x:c r="E831" s="68" t="str"/>
      <x:c r="F831" s="68" t="str">
        <x:v>16/05/201 1</x:v>
      </x:c>
      <x:c r="G831" s="68" t="str">
        <x:v>Kinh</x:v>
      </x:c>
      <x:c r="H831" s="68" t="str">
        <x:v>Xa Wnh Thanh</x:v>
      </x:c>
      <x:c r="I831" s="68" t="str">
        <x:v>THCS VTnh Thanh</x:v>
      </x:c>
      <x:c r="J831" s="68" t="str">
        <x:v>Xa VTnh Than]I</x:v>
      </x:c>
      <x:c r="K831" s="68" t="str">
        <x:v>24.9</x:v>
      </x:c>
      <x:c r="L831" s="68" t="str">
        <x:v>30</x:v>
      </x:c>
      <x:c r="M831" s="68" t="str"/>
      <x:c r="N831" s="68" t="str"/>
      <x:c r="O831" s="68" t="str">
        <x:v>54.9</x:v>
      </x:c>
      <x:c r="P831" s="68" t="str"/>
    </x:row>
    <x:row r="832">
      <x:c r="A832" s="106" t="n">
        <x:v>25</x:v>
      </x:c>
      <x:c r="B832" s="106" t="str">
        <x:v>831</x:v>
      </x:c>
      <x:c r="C832" s="167" t="str">
        <x:f>"095310000473"</x:f>
        <x:v>095310000473</x:v>
      </x:c>
      <x:c r="D832" s="68" t="str">
        <x:v>Lg PHUONG VY</x:v>
      </x:c>
      <x:c r="E832" s="68" t="str">
        <x:v>X</x:v>
      </x:c>
      <x:c r="F832" s="68" t="str">
        <x:v>30/04/2010</x:v>
      </x:c>
      <x:c r="G832" s="68" t="str">
        <x:v>Kinh</x:v>
      </x:c>
      <x:c r="H832" s="68" t="str">
        <x:v>Xa Phudc Long</x:v>
      </x:c>
      <x:c r="I832" s="68" t="str">
        <x:v>THCS Phu a Long</x:v>
      </x:c>
      <x:c r="J832" s="68" t="str">
        <x:v>Xa Phudc Long</x:v>
      </x:c>
      <x:c r="K832" s="68" t="str">
        <x:v>26.7</x:v>
      </x:c>
      <x:c r="L832" s="68" t="str">
        <x:v>28</x:v>
      </x:c>
      <x:c r="M832" s="68" t="str"/>
      <x:c r="N832" s="68" t="str"/>
      <x:c r="O832" s="68" t="str">
        <x:v>54.7</x:v>
      </x:c>
      <x:c r="P832" s="68" t="str"/>
    </x:row>
    <x:row r="833">
      <x:c r="A833" s="106" t="n">
        <x:v>25</x:v>
      </x:c>
      <x:c r="B833" s="106" t="str">
        <x:v>832</x:v>
      </x:c>
      <x:c r="C833" s="167" t="str">
        <x:f>"09531 1009700"</x:f>
        <x:v>09531 1009700</x:v>
      </x:c>
      <x:c r="D833" s="68" t="str">
        <x:v>Lt NHU' BtNH</x:v>
      </x:c>
      <x:c r="E833" s="68" t="str">
        <x:v>X</x:v>
      </x:c>
      <x:c r="F833" s="68" t="str">
        <x:v>09/01/201 1</x:v>
      </x:c>
      <x:c r="G833" s="68" t="str">
        <x:v>Khmer I</x:v>
      </x:c>
      <x:c r="H833" s="68" t="str">
        <x:v>Xa Phu a Long</x:v>
      </x:c>
      <x:c r="I833" s="68" t="str">
        <x:v>THCS Phudc Long</x:v>
      </x:c>
      <x:c r="J833" s="68" t="str">
        <x:v>Xa Phudc Long</x:v>
      </x:c>
      <x:c r="K833" s="68" t="str">
        <x:v>25.7</x:v>
      </x:c>
      <x:c r="L833" s="68" t="str">
        <x:v>28</x:v>
      </x:c>
      <x:c r="M833" s="68" t="str">
        <x:v>1.0</x:v>
      </x:c>
      <x:c r="N833" s="68" t="str"/>
      <x:c r="O833" s="68" t="str">
        <x:v>54.7</x:v>
      </x:c>
      <x:c r="P833" s="68" t="str"/>
    </x:row>
    <x:row r="834">
      <x:c r="A834" s="106" t="n">
        <x:v>25</x:v>
      </x:c>
      <x:c r="B834" s="106" t="str">
        <x:v>833</x:v>
      </x:c>
      <x:c r="C834" s="167" t="str">
        <x:f>"09531 1002281"</x:f>
        <x:v>09531 1002281</x:v>
      </x:c>
      <x:c r="D834" s="68" t="str">
        <x:v>NGUY£N THI NGQC QUYEN</x:v>
      </x:c>
      <x:c r="E834" s="68" t="str">
        <x:v>X</x:v>
      </x:c>
      <x:c r="F834" s="68" t="str">
        <x:v>25/12/2011</x:v>
      </x:c>
      <x:c r="G834" s="68" t="str">
        <x:v>Kinh</x:v>
      </x:c>
      <x:c r="H834" s="68" t="str">
        <x:v>Xa Vinh Thanh</x:v>
      </x:c>
      <x:c r="I834" s="68" t="str">
        <x:v>THCS Wnh Thanh</x:v>
      </x:c>
      <x:c r="J834" s="68" t="str">
        <x:v>Xa Wnh Thanh</x:v>
      </x:c>
      <x:c r="K834" s="68" t="str">
        <x:v>26.6</x:v>
      </x:c>
      <x:c r="L834" s="68" t="str">
        <x:v>28</x:v>
      </x:c>
      <x:c r="M834" s="68" t="str"/>
      <x:c r="N834" s="68" t="str"/>
      <x:c r="O834" s="68" t="str">
        <x:v>54.6</x:v>
      </x:c>
      <x:c r="P834" s="68" t="str"/>
    </x:row>
    <x:row r="835">
      <x:c r="A835" s="106" t="n">
        <x:v>25</x:v>
      </x:c>
      <x:c r="B835" s="106" t="str">
        <x:v>834</x:v>
      </x:c>
      <x:c r="C835" s="167" t="str">
        <x:f>"0953 1 1005496"</x:f>
        <x:v>0953 1 1005496</x:v>
      </x:c>
      <x:c r="D835" s="68" t="str">
        <x:v>HUtNH HUE LINll</x:v>
      </x:c>
      <x:c r="E835" s="68" t="str">
        <x:v>X</x:v>
      </x:c>
      <x:c r="F835" s="68" t="str">
        <x:v>26/12/201 1</x:v>
      </x:c>
      <x:c r="G835" s="68" t="str">
        <x:v>Hoa</x:v>
      </x:c>
      <x:c r="H835" s="68" t="str">
        <x:v>Xa Phu6c Long</x:v>
      </x:c>
      <x:c r="I835" s="68" t="str">
        <x:v>THCS Phu6c Long</x:v>
      </x:c>
      <x:c r="J835" s="68" t="str">
        <x:v>Xa Phu6c Long</x:v>
      </x:c>
      <x:c r="K835" s="68" t="str">
        <x:v>25.5</x:v>
      </x:c>
      <x:c r="L835" s="68" t="str">
        <x:v>28</x:v>
      </x:c>
      <x:c r="M835" s="68" t="str">
        <x:v>1.0</x:v>
      </x:c>
      <x:c r="N835" s="68" t="str"/>
      <x:c r="O835" s="68" t="str">
        <x:v>54.5</x:v>
      </x:c>
      <x:c r="P835" s="68" t="str"/>
    </x:row>
    <x:row r="836">
      <x:c r="A836" s="106" t="n">
        <x:v>25</x:v>
      </x:c>
      <x:c r="B836" s="106" t="str">
        <x:v>835</x:v>
      </x:c>
      <x:c r="C836" s="167" t="str">
        <x:f>"09521 1002402"</x:f>
        <x:v>09521 1002402</x:v>
      </x:c>
      <x:c r="D836" s="68" t="str">
        <x:v>TRAN QUANG TtIdNG</x:v>
      </x:c>
      <x:c r="E836" s="68" t="str"/>
      <x:c r="F836" s="68" t="str">
        <x:v>3,0/12/2011</x:v>
      </x:c>
      <x:c r="G836" s="68" t="str">
        <x:v>Kinh</x:v>
      </x:c>
      <x:c r="H836" s="68" t="str">
        <x:v>Xa Phudc Long</x:v>
      </x:c>
      <x:c r="I836" s="68" t="str">
        <x:v>THCS Phu6c Long</x:v>
      </x:c>
      <x:c r="J836" s="68" t="str">
        <x:v>Xa Phu6c Long</x:v>
      </x:c>
      <x:c r="K836" s="68" t="str">
        <x:v>26.5</x:v>
      </x:c>
      <x:c r="L836" s="68" t="str">
        <x:v>28</x:v>
      </x:c>
      <x:c r="M836" s="68" t="str"/>
      <x:c r="N836" s="68" t="str"/>
      <x:c r="O836" s="68" t="str">
        <x:v>54.5</x:v>
      </x:c>
      <x:c r="P836" s="68" t="str"/>
    </x:row>
    <x:row r="837">
      <x:c r="A837" s="106" t="n">
        <x:v>25</x:v>
      </x:c>
      <x:c r="B837" s="106" t="str">
        <x:v>836</x:v>
      </x:c>
      <x:c r="C837" s="167" t="str">
        <x:f>"095311001819"</x:f>
        <x:v>095311001819</x:v>
      </x:c>
      <x:c r="D837" s="68" t="str">
        <x:v>THACH NGQC TRAM</x:v>
      </x:c>
      <x:c r="E837" s="68" t="str">
        <x:v>X</x:v>
      </x:c>
      <x:c r="F837" s="68" t="str">
        <x:v>07/10/2011</x:v>
      </x:c>
      <x:c r="G837" s="68" t="str">
        <x:v>Khmer I</x:v>
      </x:c>
      <x:c r="H837" s="68" t="str">
        <x:v>Xa Wmh Phu(tc</x:v>
      </x:c>
      <x:c r="I837" s="68" t="str">
        <x:v>THCS Vinh Pha Tay</x:v>
      </x:c>
      <x:c r="J837" s="68" t="str">
        <x:v>Xa Vinh Phudc</x:v>
      </x:c>
      <x:c r="K837" s="68" t="str">
        <x:v>23.5</x:v>
      </x:c>
      <x:c r="L837" s="68" t="str">
        <x:v>30</x:v>
      </x:c>
      <x:c r="M837" s="68" t="str">
        <x:v>1.0</x:v>
      </x:c>
      <x:c r="N837" s="68" t="str"/>
      <x:c r="O837" s="68" t="str">
        <x:v>54.5</x:v>
      </x:c>
      <x:c r="P837" s="68" t="str"/>
    </x:row>
    <x:row r="838">
      <x:c r="A838" s="106" t="n">
        <x:v>25</x:v>
      </x:c>
      <x:c r="B838" s="106" t="str">
        <x:v>837</x:v>
      </x:c>
      <x:c r="C838" s="167" t="str">
        <x:f>"096211013877"</x:f>
        <x:v>096211013877</x:v>
      </x:c>
      <x:c r="D838" s="68" t="str">
        <x:v>DU'aNG TRQNG NGUYEN</x:v>
      </x:c>
      <x:c r="E838" s="68" t="str"/>
      <x:c r="F838" s="68" t="str">
        <x:v>21/10/2011</x:v>
      </x:c>
      <x:c r="G838" s="68" t="str">
        <x:v>Kinh</x:v>
      </x:c>
      <x:c r="H838" s="68" t="str">
        <x:v>Xa Wnh Thanh</x:v>
      </x:c>
      <x:c r="I838" s="68" t="str">
        <x:v>THCS Hung Phd</x:v>
      </x:c>
      <x:c r="J838" s="68" t="str">
        <x:v>Xa Vinh Thanh</x:v>
      </x:c>
      <x:c r="K838" s="68" t="str">
        <x:v>24.5</x:v>
      </x:c>
      <x:c r="L838" s="68" t="str">
        <x:v>30</x:v>
      </x:c>
      <x:c r="M838" s="68" t="str"/>
      <x:c r="N838" s="68" t="str"/>
      <x:c r="O838" s="68" t="str">
        <x:v>54.5</x:v>
      </x:c>
      <x:c r="P838" s="68" t="str"/>
    </x:row>
    <x:row r="839">
      <x:c r="A839" s="106" t="n">
        <x:v>25</x:v>
      </x:c>
      <x:c r="B839" s="106" t="str">
        <x:v>838</x:v>
      </x:c>
      <x:c r="C839" s="167" t="str">
        <x:f>"09531 1004400"</x:f>
        <x:v>09531 1004400</x:v>
      </x:c>
      <x:c r="D839" s="68" t="str">
        <x:v>VO THI NGQC NHEEN</x:v>
      </x:c>
      <x:c r="E839" s="68" t="str">
        <x:v>X</x:v>
      </x:c>
      <x:c r="F839" s="68" t="str">
        <x:v>01/01/2011</x:v>
      </x:c>
      <x:c r="G839" s="68" t="str">
        <x:v>Kinh</x:v>
      </x:c>
      <x:c r="H839" s="68" t="str">
        <x:v>Xa VTnh Phudc</x:v>
      </x:c>
      <x:c r="I839" s="68" t="str">
        <x:v>THCS Phudc Long</x:v>
      </x:c>
      <x:c r="J839" s="68" t="str">
        <x:v>Xa Phu6c Long</x:v>
      </x:c>
      <x:c r="K839" s="68" t="str">
        <x:v>26.4</x:v>
      </x:c>
      <x:c r="L839" s="68" t="str">
        <x:v>28</x:v>
      </x:c>
      <x:c r="M839" s="68" t="str"/>
      <x:c r="N839" s="68" t="str"/>
      <x:c r="O839" s="68" t="str">
        <x:v>54,4</x:v>
      </x:c>
      <x:c r="P839" s="68" t="str"/>
    </x:row>
    <x:row r="840">
      <x:c r="A840" s="106" t="n">
        <x:v>25</x:v>
      </x:c>
      <x:c r="B840" s="106" t="str">
        <x:v>839</x:v>
      </x:c>
      <x:c r="C840" s="167" t="str">
        <x:f>"095210003669"</x:f>
        <x:v>095210003669</x:v>
      </x:c>
      <x:c r="D840" s="68" t="str">
        <x:v>NGUY£N vAN THINH</x:v>
      </x:c>
      <x:c r="E840" s="68" t="str"/>
      <x:c r="F840" s="68" t="str">
        <x:v>25/01/2010</x:v>
      </x:c>
      <x:c r="G840" s="68" t="str">
        <x:v>Kinh</x:v>
      </x:c>
      <x:c r="H840" s="68" t="str">
        <x:v>Xa VTnh Thanh</x:v>
      </x:c>
      <x:c r="I840" s="68" t="str">
        <x:v>THCS Hung Phd</x:v>
      </x:c>
      <x:c r="J840" s="68" t="str">
        <x:v>Xa Vinh Thanh</x:v>
      </x:c>
      <x:c r="K840" s="68" t="str">
        <x:v>26.4</x:v>
      </x:c>
      <x:c r="L840" s="68" t="str">
        <x:v>28</x:v>
      </x:c>
      <x:c r="M840" s="68" t="str"/>
      <x:c r="N840" s="68" t="str"/>
      <x:c r="O840" s="68" t="str">
        <x:v>54.4</x:v>
      </x:c>
      <x:c r="P840" s="68" t="str"/>
    </x:row>
    <x:row r="841">
      <x:c r="A841" s="106" t="n">
        <x:v>25</x:v>
      </x:c>
      <x:c r="B841" s="106" t="str">
        <x:v>840</x:v>
      </x:c>
      <x:c r="C841" s="167" t="str">
        <x:f>"095211007688"</x:f>
        <x:v>095211007688</x:v>
      </x:c>
      <x:c r="D841" s="68" t="str">
        <x:v>NGUY£N ANH KHOA</x:v>
      </x:c>
      <x:c r="E841" s="68" t="str"/>
      <x:c r="F841" s="68" t="str">
        <x:v>16/03/201 1</x:v>
      </x:c>
      <x:c r="G841" s="68" t="str">
        <x:v>Kinh</x:v>
      </x:c>
      <x:c r="H841" s="68" t="str">
        <x:v>Xa Phu6c Long</x:v>
      </x:c>
      <x:c r="I841" s="68" t="str">
        <x:v>THCS Vuang HOu Nhan</x:v>
      </x:c>
      <x:c r="J841" s="68" t="str">
        <x:v>Xa Phudc Long</x:v>
      </x:c>
      <x:c r="K841" s="68" t="str">
        <x:v>25.3</x:v>
      </x:c>
      <x:c r="L841" s="68" t="str">
        <x:v>29</x:v>
      </x:c>
      <x:c r="M841" s="68" t="str"/>
      <x:c r="N841" s="68" t="str"/>
      <x:c r="O841" s="68" t="str">
        <x:v>54.3</x:v>
      </x:c>
      <x:c r="P841" s="68" t="str"/>
    </x:row>
    <x:row r="842">
      <x:c r="A842" s="106" t="n">
        <x:v>25</x:v>
      </x:c>
      <x:c r="B842" s="106" t="str">
        <x:v>841</x:v>
      </x:c>
      <x:c r="C842" s="167" t="str">
        <x:f>"095211003935"</x:f>
        <x:v>095211003935</x:v>
      </x:c>
      <x:c r="D842" s="68" t="str">
        <x:v>H(J'A HAI NGHI£M</x:v>
      </x:c>
      <x:c r="E842" s="68" t="str"/>
      <x:c r="F842" s="68" t="str">
        <x:v>30/10/2011</x:v>
      </x:c>
      <x:c r="G842" s="68" t="str">
        <x:v>Kinh</x:v>
      </x:c>
      <x:c r="H842" s="68" t="str">
        <x:v>Xa Phu6c Long</x:v>
      </x:c>
      <x:c r="I842" s="68" t="str">
        <x:v>THCS Phu(b Long</x:v>
      </x:c>
      <x:c r="J842" s="68" t="str">
        <x:v>Xa Phu a Long</x:v>
      </x:c>
      <x:c r="K842" s="68" t="str">
        <x:v>26.2</x:v>
      </x:c>
      <x:c r="L842" s="68" t="str">
        <x:v>28</x:v>
      </x:c>
      <x:c r="M842" s="68" t="str"/>
      <x:c r="N842" s="68" t="str"/>
      <x:c r="O842" s="68" t="str">
        <x:v>54.2</x:v>
      </x:c>
      <x:c r="P842" s="68" t="str"/>
    </x:row>
    <x:row r="843">
      <x:c r="A843" s="106" t="n">
        <x:v>25</x:v>
      </x:c>
      <x:c r="B843" s="106" t="str">
        <x:v>842</x:v>
      </x:c>
      <x:c r="C843" s="167" t="str">
        <x:f>"09521 1003756"</x:f>
        <x:v>09521 1003756</x:v>
      </x:c>
      <x:c r="D843" s="68" t="str">
        <x:v>ve) nAI DANG</x:v>
      </x:c>
      <x:c r="E843" s="68" t="str"/>
      <x:c r="F843" s="68" t="str">
        <x:v>19/09/201 1</x:v>
      </x:c>
      <x:c r="G843" s="68" t="str">
        <x:v>Kinh</x:v>
      </x:c>
      <x:c r="H843" s="68" t="str">
        <x:v>Xa PhMc Long</x:v>
      </x:c>
      <x:c r="I843" s="68" t="str">
        <x:v>THCS Hung Phd</x:v>
      </x:c>
      <x:c r="J843" s="68" t="str">
        <x:v>Xa Wnh Thanh</x:v>
      </x:c>
      <x:c r="K843" s="68" t="str">
        <x:v>26.2</x:v>
      </x:c>
      <x:c r="L843" s="68" t="str">
        <x:v>28</x:v>
      </x:c>
      <x:c r="M843" s="68" t="str"/>
      <x:c r="N843" s="68" t="str"/>
      <x:c r="O843" s="68" t="str">
        <x:v>54.2</x:v>
      </x:c>
      <x:c r="P843" s="68" t="str"/>
    </x:row>
    <x:row r="844">
      <x:c r="A844" s="106" t="n">
        <x:v>25</x:v>
      </x:c>
      <x:c r="B844" s="106" t="str">
        <x:v>843</x:v>
      </x:c>
      <x:c r="C844" s="167" t="str">
        <x:f>"0953 1 1005084"</x:f>
        <x:v>0953 1 1005084</x:v>
      </x:c>
      <x:c r="D844" s="68" t="str">
        <x:v>Li KIM THLr</x:v>
      </x:c>
      <x:c r="E844" s="68" t="str">
        <x:v>X</x:v>
      </x:c>
      <x:c r="F844" s="68" t="str">
        <x:v>20/08/2011</x:v>
      </x:c>
      <x:c r="G844" s="68" t="str">
        <x:v>Kinh</x:v>
      </x:c>
      <x:c r="H844" s="68" t="str">
        <x:v>Xa Phu6c Long</x:v>
      </x:c>
      <x:c r="I844" s="68" t="str">
        <x:v>THCS Phu6c Long</x:v>
      </x:c>
      <x:c r="J844" s="68" t="str">
        <x:v>Xa Phu6c Long</x:v>
      </x:c>
      <x:c r="K844" s="68" t="str">
        <x:v>25.6</x:v>
      </x:c>
      <x:c r="L844" s="68" t="str">
        <x:v>28</x:v>
      </x:c>
      <x:c r="M844" s="68" t="str"/>
      <x:c r="N844" s="68" t="str">
        <x:v>0.5</x:v>
      </x:c>
      <x:c r="O844" s="68" t="str">
        <x:v>54. 1</x:v>
      </x:c>
      <x:c r="P844" s="68" t="str"/>
    </x:row>
    <x:row r="845">
      <x:c r="A845" s="106" t="n">
        <x:v>25</x:v>
      </x:c>
      <x:c r="B845" s="106" t="str">
        <x:v>844</x:v>
      </x:c>
      <x:c r="C845" s="167" t="str">
        <x:f>"09531 1006919"</x:f>
        <x:v>09531 1006919</x:v>
      </x:c>
      <x:c r="D845" s="68" t="str">
        <x:v>DANG THUt VY</x:v>
      </x:c>
      <x:c r="E845" s="68" t="str">
        <x:v>X</x:v>
      </x:c>
      <x:c r="F845" s="68" t="str">
        <x:v>22/12/2011</x:v>
      </x:c>
      <x:c r="G845" s="68" t="str">
        <x:v>Kinh</x:v>
      </x:c>
      <x:c r="H845" s="68" t="str">
        <x:v>Xa Phudc Long</x:v>
      </x:c>
      <x:c r="I845" s="68" t="str">
        <x:v>THCS Phu6c Long</x:v>
      </x:c>
      <x:c r="J845" s="68" t="str">
        <x:v>Xa Phu6c Long</x:v>
      </x:c>
      <x:c r="K845" s="68" t="str">
        <x:v>26. 1</x:v>
      </x:c>
      <x:c r="L845" s="68" t="str">
        <x:v>28</x:v>
      </x:c>
      <x:c r="M845" s="68" t="str"/>
      <x:c r="N845" s="68" t="str"/>
      <x:c r="O845" s="68" t="str">
        <x:v>54. 1</x:v>
      </x:c>
      <x:c r="P845" s="68" t="str"/>
    </x:row>
    <x:row r="846">
      <x:c r="A846" s="106" t="n">
        <x:v>26</x:v>
      </x:c>
      <x:c r="B846" s="106" t="str">
        <x:v>845</x:v>
      </x:c>
      <x:c r="C846" s="167" t="str">
        <x:f>"0953 1 1009929"</x:f>
        <x:v>0953 1 1009929</x:v>
      </x:c>
      <x:c r="D846" s="68" t="str">
        <x:v>TkAN CHAU TtJdNG Mt</x:v>
      </x:c>
      <x:c r="E846" s="68" t="str">
        <x:v>X</x:v>
      </x:c>
      <x:c r="F846" s="68" t="str">
        <x:v>02/12/201 1</x:v>
      </x:c>
      <x:c r="G846" s="68" t="str">
        <x:v>Kinh</x:v>
      </x:c>
      <x:c r="H846" s="68" t="str">
        <x:v>Xa Phu6c Long</x:v>
      </x:c>
      <x:c r="I846" s="68" t="str">
        <x:v>THCS Phudc Long</x:v>
      </x:c>
      <x:c r="J846" s="68" t="str">
        <x:v>Xa Phu6c Long</x:v>
      </x:c>
      <x:c r="K846" s="68" t="str">
        <x:v>26.1</x:v>
      </x:c>
      <x:c r="L846" s="68" t="str">
        <x:v>28</x:v>
      </x:c>
      <x:c r="M846" s="68" t="str"/>
      <x:c r="N846" s="68" t="str"/>
      <x:c r="O846" s="68" t="str">
        <x:v>54. 1</x:v>
      </x:c>
      <x:c r="P846" s="68" t="str"/>
    </x:row>
    <x:row r="847">
      <x:c r="A847" s="106" t="n">
        <x:v>26</x:v>
      </x:c>
      <x:c r="B847" s="106" t="str">
        <x:v>846</x:v>
      </x:c>
      <x:c r="C847" s="167" t="str">
        <x:f>"095211001069"</x:f>
        <x:v>095211001069</x:v>
      </x:c>
      <x:c r="D847" s="68" t="str">
        <x:v>Pn4M DUONG TRIEU vV</x:v>
      </x:c>
      <x:c r="E847" s="68" t="str"/>
      <x:c r="F847" s="68" t="str">
        <x:v>24/10/20 1 1</x:v>
      </x:c>
      <x:c r="G847" s="68" t="str">
        <x:v>Kinh</x:v>
      </x:c>
      <x:c r="H847" s="68" t="str">
        <x:v>Xa Phudc Long</x:v>
      </x:c>
      <x:c r="I847" s="68" t="str">
        <x:v>THCS Vuong Hau Nhan</x:v>
      </x:c>
      <x:c r="J847" s="68" t="str">
        <x:v>Xa Phu6c Long</x:v>
      </x:c>
      <x:c r="K847" s="68" t="str">
        <x:v>25.1</x:v>
      </x:c>
      <x:c r="L847" s="68" t="str">
        <x:v>29</x:v>
      </x:c>
      <x:c r="M847" s="68" t="str"/>
      <x:c r="N847" s="68" t="str"/>
      <x:c r="O847" s="68" t="str">
        <x:v>54. 1</x:v>
      </x:c>
      <x:c r="P847" s="68" t="str"/>
    </x:row>
    <x:row r="848">
      <x:c r="A848" s="106" t="n">
        <x:v>26</x:v>
      </x:c>
      <x:c r="B848" s="106" t="str">
        <x:v>847</x:v>
      </x:c>
      <x:c r="C848" s="167" t="str">
        <x:f>"09521 1006093"</x:f>
        <x:v>09521 1006093</x:v>
      </x:c>
      <x:c r="D848" s="68" t="str">
        <x:v>HUYNH TY</x:v>
      </x:c>
      <x:c r="E848" s="68" t="str"/>
      <x:c r="F848" s="68" t="str">
        <x:v>19/02/201 1</x:v>
      </x:c>
      <x:c r="G848" s="68" t="str">
        <x:v>Kirlh</x:v>
      </x:c>
      <x:c r="H848" s="68" t="str">
        <x:v>Xa Phong Hiep</x:v>
      </x:c>
      <x:c r="I848" s="68" t="str">
        <x:v>THCS Phong Th4nh Tay B</x:v>
      </x:c>
      <x:c r="J848" s="68" t="str">
        <x:v>Xa Phong Hiep</x:v>
      </x:c>
      <x:c r="K848" s="68" t="str">
        <x:v>26.1</x:v>
      </x:c>
      <x:c r="L848" s="68" t="str">
        <x:v>28</x:v>
      </x:c>
      <x:c r="M848" s="68" t="str"/>
      <x:c r="N848" s="68" t="str"/>
      <x:c r="O848" s="68" t="str">
        <x:v>54. 1</x:v>
      </x:c>
      <x:c r="P848" s="68" t="str"/>
    </x:row>
    <x:row r="849">
      <x:c r="A849" s="106" t="n">
        <x:v>26</x:v>
      </x:c>
      <x:c r="B849" s="106" t="str">
        <x:v>848</x:v>
      </x:c>
      <x:c r="C849" s="167" t="str">
        <x:f>"095311001501"</x:f>
        <x:v>095311001501</x:v>
      </x:c>
      <x:c r="D849" s="68" t="str">
        <x:v>TRAN NGQC HUYEN</x:v>
      </x:c>
      <x:c r="E849" s="68" t="str">
        <x:v>X</x:v>
      </x:c>
      <x:c r="F849" s="68" t="str">
        <x:v>25/05/2011</x:v>
      </x:c>
      <x:c r="G849" s="68" t="str">
        <x:v>Kinh</x:v>
      </x:c>
      <x:c r="H849" s="68" t="str">
        <x:v>Xa VTnh Thanh</x:v>
      </x:c>
      <x:c r="I849" s="68" t="str">
        <x:v>THCS Hung Pha</x:v>
      </x:c>
      <x:c r="J849" s="68" t="str">
        <x:v>Xa Wnh Thanh</x:v>
      </x:c>
      <x:c r="K849" s="68" t="str">
        <x:v>26.0</x:v>
      </x:c>
      <x:c r="L849" s="68" t="str">
        <x:v>28</x:v>
      </x:c>
      <x:c r="M849" s="68" t="str"/>
      <x:c r="N849" s="68" t="str"/>
      <x:c r="O849" s="68" t="str">
        <x:v>54.0</x:v>
      </x:c>
      <x:c r="P849" s="68" t="str"/>
    </x:row>
    <x:row r="850">
      <x:c r="A850" s="106" t="n">
        <x:v>26</x:v>
      </x:c>
      <x:c r="B850" s="106" t="str">
        <x:v>849</x:v>
      </x:c>
      <x:c r="C850" s="167" t="str">
        <x:f>"0953 1 1006973"</x:f>
        <x:v>0953 1 1006973</x:v>
      </x:c>
      <x:c r="D850" s="68" t="str">
        <x:v>LAM TAM NHLr</x:v>
      </x:c>
      <x:c r="E850" s="68" t="str">
        <x:v>X</x:v>
      </x:c>
      <x:c r="F850" s="68" t="str">
        <x:v>26/12/201 1</x:v>
      </x:c>
      <x:c r="G850" s="68" t="str">
        <x:v>Kinh</x:v>
      </x:c>
      <x:c r="H850" s="68" t="str">
        <x:v>xa Vlnh Phudc</x:v>
      </x:c>
      <x:c r="I850" s="68" t="str">
        <x:v>THCS Phu6c Long</x:v>
      </x:c>
      <x:c r="J850" s="68" t="str">
        <x:v>Xa Phu6c Long</x:v>
      </x:c>
      <x:c r="K850" s="68" t="str">
        <x:v>25.9</x:v>
      </x:c>
      <x:c r="L850" s="68" t="str">
        <x:v>28</x:v>
      </x:c>
      <x:c r="M850" s="68" t="str"/>
      <x:c r="N850" s="68" t="str"/>
      <x:c r="O850" s="68" t="str">
        <x:v>53.9</x:v>
      </x:c>
      <x:c r="P850" s="68" t="str"/>
    </x:row>
    <x:row r="851">
      <x:c r="A851" s="106" t="n">
        <x:v>26</x:v>
      </x:c>
      <x:c r="B851" s="106" t="str">
        <x:v>850</x:v>
      </x:c>
      <x:c r="C851" s="167" t="str">
        <x:f>"09521 1001397"</x:f>
        <x:v>09521 1001397</x:v>
      </x:c>
      <x:c r="D851" s="68" t="str">
        <x:v>MAI THANH HAI</x:v>
      </x:c>
      <x:c r="E851" s="68" t="str"/>
      <x:c r="F851" s="68" t="str">
        <x:v>22/01/201 1</x:v>
      </x:c>
      <x:c r="G851" s="68" t="str">
        <x:v>Kinh</x:v>
      </x:c>
      <x:c r="H851" s="68" t="str">
        <x:v>Xa PhMc Long</x:v>
      </x:c>
      <x:c r="I851" s="68" t="str">
        <x:v>THCS Phudc Long</x:v>
      </x:c>
      <x:c r="J851" s="68" t="str">
        <x:v>Xa Phudc Long</x:v>
      </x:c>
      <x:c r="K851" s="68" t="str">
        <x:v>24.8</x:v>
      </x:c>
      <x:c r="L851" s="68" t="str">
        <x:v>29</x:v>
      </x:c>
      <x:c r="M851" s="68" t="str"/>
      <x:c r="N851" s="68" t="str"/>
      <x:c r="O851" s="68" t="str">
        <x:v>53.8</x:v>
      </x:c>
      <x:c r="P851" s="68" t="str"/>
    </x:row>
    <x:row r="852">
      <x:c r="A852" s="106" t="n">
        <x:v>26</x:v>
      </x:c>
      <x:c r="B852" s="106" t="str">
        <x:v>851</x:v>
      </x:c>
      <x:c r="C852" s="167" t="str">
        <x:f>"09521 1004788"</x:f>
        <x:v>09521 1004788</x:v>
      </x:c>
      <x:c r="D852" s="68" t="str">
        <x:v>PHAN HOANG HUYNH</x:v>
      </x:c>
      <x:c r="E852" s="68" t="str"/>
      <x:c r="F852" s="68" t="str">
        <x:v>07/07/201 1</x:v>
      </x:c>
      <x:c r="G852" s="68" t="str">
        <x:v>Kinh</x:v>
      </x:c>
      <x:c r="H852" s="68" t="str">
        <x:v>Xa Phu6c Long</x:v>
      </x:c>
      <x:c r="I852" s="68" t="str">
        <x:v>THCS Phu a Long</x:v>
      </x:c>
      <x:c r="J852" s="68" t="str">
        <x:v>Xa Phudc Long</x:v>
      </x:c>
      <x:c r="K852" s="68" t="str">
        <x:v>25.6</x:v>
      </x:c>
      <x:c r="L852" s="68" t="str">
        <x:v>28</x:v>
      </x:c>
      <x:c r="M852" s="68" t="str"/>
      <x:c r="N852" s="68" t="str"/>
      <x:c r="O852" s="68" t="str">
        <x:v>53.6</x:v>
      </x:c>
      <x:c r="P852" s="68" t="str"/>
    </x:row>
    <x:row r="853">
      <x:c r="A853" s="106" t="n">
        <x:v>26</x:v>
      </x:c>
      <x:c r="B853" s="106" t="str">
        <x:v>852</x:v>
      </x:c>
      <x:c r="C853" s="167" t="str">
        <x:f>"095211009464"</x:f>
        <x:v>095211009464</x:v>
      </x:c>
      <x:c r="D853" s="68" t="str">
        <x:v>DO TAN THINH</x:v>
      </x:c>
      <x:c r="E853" s="68" t="str"/>
      <x:c r="F853" s="68" t="str">
        <x:v>26/02/201 1</x:v>
      </x:c>
      <x:c r="G853" s="68" t="str">
        <x:v>Kinh</x:v>
      </x:c>
      <x:c r="H853" s="68" t="str">
        <x:v>Xa Vlnh Phu6c</x:v>
      </x:c>
      <x:c r="I853" s="68" t="str">
        <x:v>THCS Phua Long</x:v>
      </x:c>
      <x:c r="J853" s="68" t="str">
        <x:v>Xa VTnh Phu6c</x:v>
      </x:c>
      <x:c r="K853" s="68" t="str">
        <x:v>25.6</x:v>
      </x:c>
      <x:c r="L853" s="68" t="str">
        <x:v>27</x:v>
      </x:c>
      <x:c r="M853" s="68" t="str">
        <x:v>1.0</x:v>
      </x:c>
      <x:c r="N853" s="68" t="str"/>
      <x:c r="O853" s="68" t="str">
        <x:v>53.6</x:v>
      </x:c>
      <x:c r="P853" s="68" t="str"/>
    </x:row>
    <x:row r="854">
      <x:c r="A854" s="106" t="n">
        <x:v>26</x:v>
      </x:c>
      <x:c r="B854" s="106" t="str">
        <x:v>853</x:v>
      </x:c>
      <x:c r="C854" s="167" t="str">
        <x:f>"095211001017"</x:f>
        <x:v>095211001017</x:v>
      </x:c>
      <x:c r="D854" s="68" t="str">
        <x:v>TRAN MINH PHO</x:v>
      </x:c>
      <x:c r="E854" s="68" t="str"/>
      <x:c r="F854" s="68" t="str">
        <x:v>04/01/2011</x:v>
      </x:c>
      <x:c r="G854" s="68" t="str">
        <x:v>Kinh</x:v>
      </x:c>
      <x:c r="H854" s="68" t="str">
        <x:v>Xa Phudc Long</x:v>
      </x:c>
      <x:c r="I854" s="68" t="str">
        <x:v>THCS Phu&amp; Long</x:v>
      </x:c>
      <x:c r="J854" s="68" t="str">
        <x:v>Xa Phudc Long</x:v>
      </x:c>
      <x:c r="K854" s="68" t="str">
        <x:v>25.4</x:v>
      </x:c>
      <x:c r="L854" s="68" t="str">
        <x:v>28</x:v>
      </x:c>
      <x:c r="M854" s="68" t="str"/>
      <x:c r="N854" s="68" t="str"/>
      <x:c r="O854" s="68" t="str">
        <x:v>53.4</x:v>
      </x:c>
      <x:c r="P854" s="68" t="str"/>
    </x:row>
    <x:row r="855">
      <x:c r="A855" s="106" t="n">
        <x:v>26</x:v>
      </x:c>
      <x:c r="B855" s="106" t="str">
        <x:v>854</x:v>
      </x:c>
      <x:c r="C855" s="167" t="str">
        <x:f>"095211003719,"</x:f>
        <x:v>095211003719,</x:v>
      </x:c>
      <x:c r="D855" s="68" t="str">
        <x:v>PHtING QUANG VnLH</x:v>
      </x:c>
      <x:c r="E855" s="68" t="str"/>
      <x:c r="F855" s="68" t="str">
        <x:v>15/01/201 1</x:v>
      </x:c>
      <x:c r="G855" s="68" t="str">
        <x:v>Kinh</x:v>
      </x:c>
      <x:c r="H855" s="68" t="str">
        <x:v>Xa Vinh phu6c</x:v>
      </x:c>
      <x:c r="I855" s="68" t="str">
        <x:v>THCS VTnh Pha Tay</x:v>
      </x:c>
      <x:c r="J855" s="68" t="str">
        <x:v>Xa Wnh Phu6c</x:v>
      </x:c>
      <x:c r="K855" s="68" t="str">
        <x:v>25.4</x:v>
      </x:c>
      <x:c r="L855" s="68" t="str">
        <x:v>28</x:v>
      </x:c>
      <x:c r="M855" s="68" t="str"/>
      <x:c r="N855" s="68" t="str"/>
      <x:c r="O855" s="68" t="str">
        <x:v>53.4</x:v>
      </x:c>
      <x:c r="P855" s="68" t="str"/>
    </x:row>
    <x:row r="856">
      <x:c r="A856" s="106" t="n">
        <x:v>26</x:v>
      </x:c>
      <x:c r="B856" s="106" t="str">
        <x:v>855</x:v>
      </x:c>
      <x:c r="C856" s="167" t="str">
        <x:f>"0953 1 1006042"</x:f>
        <x:v>0953 1 1006042</x:v>
      </x:c>
      <x:c r="D856" s="68" t="str">
        <x:v>PHAN NGQC THAO NGUY£N</x:v>
      </x:c>
      <x:c r="E856" s="68" t="str">
        <x:v>X</x:v>
      </x:c>
      <x:c r="F856" s="68" t="str">
        <x:v>07/05/201 1</x:v>
      </x:c>
      <x:c r="G856" s="68" t="str">
        <x:v>Kinh</x:v>
      </x:c>
      <x:c r="H856" s="68" t="str">
        <x:v>Xa Phu6c Long</x:v>
      </x:c>
      <x:c r="I856" s="68" t="str">
        <x:v>THCS Vuang Hrru Nhan</x:v>
      </x:c>
      <x:c r="J856" s="68" t="str">
        <x:v>Xa PhMc Long</x:v>
      </x:c>
      <x:c r="K856" s="68" t="str">
        <x:v>24.4</x:v>
      </x:c>
      <x:c r="L856" s="68" t="str">
        <x:v>28</x:v>
      </x:c>
      <x:c r="M856" s="68" t="str">
        <x:v>1.0</x:v>
      </x:c>
      <x:c r="N856" s="68" t="str"/>
      <x:c r="O856" s="68" t="str">
        <x:v>53.4</x:v>
      </x:c>
      <x:c r="P856" s="68" t="str"/>
    </x:row>
    <x:row r="857">
      <x:c r="A857" s="106" t="n">
        <x:v>26</x:v>
      </x:c>
      <x:c r="B857" s="106" t="str">
        <x:v>856</x:v>
      </x:c>
      <x:c r="C857" s="167" t="str">
        <x:f>"095211006610"</x:f>
        <x:v>095211006610</x:v>
      </x:c>
      <x:c r="D857" s="68" t="str">
        <x:v>VO HOANG QU6C DINH</x:v>
      </x:c>
      <x:c r="E857" s="68" t="str"/>
      <x:c r="F857" s="68" t="str">
        <x:v>05/06/20 11</x:v>
      </x:c>
      <x:c r="G857" s="68" t="str">
        <x:v>Kinh</x:v>
      </x:c>
      <x:c r="H857" s="68" t="str">
        <x:v>Xa Vinh Thanh</x:v>
      </x:c>
      <x:c r="I857" s="68" t="str">
        <x:v>THCS Hung Phd</x:v>
      </x:c>
      <x:c r="J857" s="68" t="str">
        <x:v>Xa VTnh Thanh</x:v>
      </x:c>
      <x:c r="K857" s="68" t="str">
        <x:v>25.3</x:v>
      </x:c>
      <x:c r="L857" s="68" t="str">
        <x:v>28</x:v>
      </x:c>
      <x:c r="M857" s="68" t="str"/>
      <x:c r="N857" s="68" t="str"/>
      <x:c r="O857" s="68" t="str">
        <x:v>53.3</x:v>
      </x:c>
      <x:c r="P857" s="68" t="str"/>
    </x:row>
    <x:row r="858">
      <x:c r="A858" s="106" t="n">
        <x:v>26</x:v>
      </x:c>
      <x:c r="B858" s="106" t="str">
        <x:v>857</x:v>
      </x:c>
      <x:c r="C858" s="167" t="str">
        <x:f>"09521 1002906"</x:f>
        <x:v>09521 1002906</x:v>
      </x:c>
      <x:c r="D858" s="68" t="str">
        <x:v>LE TAN BO</x:v>
      </x:c>
      <x:c r="E858" s="68" t="str"/>
      <x:c r="F858" s="68" t="str">
        <x:v>22/1 1/2011</x:v>
      </x:c>
      <x:c r="G858" s="68" t="str">
        <x:v>Kinh</x:v>
      </x:c>
      <x:c r="H858" s="68" t="str">
        <x:v>Xa Phu6c Long</x:v>
      </x:c>
      <x:c r="I858" s="68" t="str">
        <x:v>THCS Vuang Hku Nhan</x:v>
      </x:c>
      <x:c r="J858" s="68" t="str">
        <x:v>Xa Phu6c Long</x:v>
      </x:c>
      <x:c r="K858" s="68" t="str">
        <x:v>26.3</x:v>
      </x:c>
      <x:c r="L858" s="68" t="str">
        <x:v>27</x:v>
      </x:c>
      <x:c r="M858" s="68" t="str"/>
      <x:c r="N858" s="68" t="str"/>
      <x:c r="O858" s="68" t="str">
        <x:v>53.3</x:v>
      </x:c>
      <x:c r="P858" s="68" t="str"/>
    </x:row>
    <x:row r="859">
      <x:c r="A859" s="106" t="n">
        <x:v>26</x:v>
      </x:c>
      <x:c r="B859" s="106" t="str">
        <x:v>858</x:v>
      </x:c>
      <x:c r="C859" s="167" t="str">
        <x:f>"0953 1 100708 1"</x:f>
        <x:v>0953 1 100708 1</x:v>
      </x:c>
      <x:c r="D859" s="68" t="str">
        <x:v>DAo PHtiaNG THUV</x:v>
      </x:c>
      <x:c r="E859" s="68" t="str">
        <x:v>X</x:v>
      </x:c>
      <x:c r="F859" s="68" t="str">
        <x:v>28/10/2011</x:v>
      </x:c>
      <x:c r="G859" s="68" t="str">
        <x:v>Kinh</x:v>
      </x:c>
      <x:c r="H859" s="68" t="str">
        <x:v>Xa Phu6c Long</x:v>
      </x:c>
      <x:c r="I859" s="68" t="str">
        <x:v>THCS Phudc Long</x:v>
      </x:c>
      <x:c r="J859" s="68" t="str">
        <x:v>Xa Phu6c Long</x:v>
      </x:c>
      <x:c r="K859" s="68" t="str">
        <x:v>25.2 1</x:v>
      </x:c>
      <x:c r="L859" s="68" t="str">
        <x:v>28</x:v>
      </x:c>
      <x:c r="M859" s="68" t="str">
        <x:v>1 1</x:v>
      </x:c>
      <x:c r="N859" s="68" t="str">
        <x:v>1</x:v>
      </x:c>
      <x:c r="O859" s="68" t="str">
        <x:v>53.2 53.2</x:v>
      </x:c>
      <x:c r="P859" s="68" t="str"/>
    </x:row>
    <x:row r="860">
      <x:c r="A860" s="106" t="n">
        <x:v>26</x:v>
      </x:c>
      <x:c r="B860" s="106" t="str">
        <x:v>859</x:v>
      </x:c>
      <x:c r="C860" s="167" t="str">
        <x:f>"09521 1003642"</x:f>
        <x:v>09521 1003642</x:v>
      </x:c>
      <x:c r="D860" s="68" t="str">
        <x:v>NGUY£N KHANH DUY</x:v>
      </x:c>
      <x:c r="E860" s="68" t="str"/>
      <x:c r="F860" s="68" t="str">
        <x:v>25/12/201 1</x:v>
      </x:c>
      <x:c r="G860" s="68" t="str">
        <x:v>Kinh</x:v>
      </x:c>
      <x:c r="H860" s="68" t="str">
        <x:v>. Xa Phu6c Long</x:v>
      </x:c>
      <x:c r="I860" s="68" t="str">
        <x:v>THCS Phu6c Long</x:v>
      </x:c>
      <x:c r="J860" s="68" t="str">
        <x:v>Xa Phu6c Long</x:v>
      </x:c>
      <x:c r="K860" s="68" t="str">
        <x:v>25.2</x:v>
      </x:c>
      <x:c r="L860" s="68" t="str">
        <x:v>28</x:v>
      </x:c>
      <x:c r="M860" s="68" t="str">
        <x:v>1</x:v>
      </x:c>
      <x:c r="N860" s="68" t="str">
        <x:v>1</x:v>
      </x:c>
      <x:c r="O860" s="68" t="str">
        <x:v>1 53.2</x:v>
      </x:c>
      <x:c r="P860" s="68" t="str"/>
    </x:row>
    <x:row r="861">
      <x:c r="A861" s="106" t="n">
        <x:v>26</x:v>
      </x:c>
      <x:c r="B861" s="106" t="str">
        <x:v>860</x:v>
      </x:c>
      <x:c r="C861" s="167" t="str">
        <x:f>"0952 1 1004970"</x:f>
        <x:v>0952 1 1004970</x:v>
      </x:c>
      <x:c r="D861" s="68" t="str">
        <x:v>TRAN MINH KH61</x:v>
      </x:c>
      <x:c r="E861" s="68" t="str"/>
      <x:c r="F861" s="68" t="str">
        <x:v>12/06/201 1</x:v>
      </x:c>
      <x:c r="G861" s="68" t="str">
        <x:v>Kinh</x:v>
      </x:c>
      <x:c r="H861" s="68" t="str">
        <x:v>Xa Phudc Long</x:v>
      </x:c>
      <x:c r="I861" s="68" t="str">
        <x:v>THCS Vuong Hau Nhan</x:v>
      </x:c>
      <x:c r="J861" s="68" t="str">
        <x:v>Xa Phu6c Long</x:v>
      </x:c>
      <x:c r="K861" s="68" t="str">
        <x:v>24.2</x:v>
      </x:c>
      <x:c r="L861" s="68" t="str">
        <x:v>28</x:v>
      </x:c>
      <x:c r="M861" s="68" t="str">
        <x:v>1.0</x:v>
      </x:c>
      <x:c r="N861" s="68" t="str"/>
      <x:c r="O861" s="68" t="str">
        <x:v>53.2</x:v>
      </x:c>
      <x:c r="P861" s="68" t="str"/>
    </x:row>
    <x:row r="862">
      <x:c r="A862" s="106" t="n">
        <x:v>26</x:v>
      </x:c>
      <x:c r="B862" s="106" t="str">
        <x:v>861</x:v>
      </x:c>
      <x:c r="C862" s="167" t="str">
        <x:f>"095209001 197"</x:f>
        <x:v>095209001 197</x:v>
      </x:c>
      <x:c r="D862" s="68" t="str">
        <x:v>NGUY£N THANH PHONG</x:v>
      </x:c>
      <x:c r="E862" s="68" t="str"/>
      <x:c r="F862" s="68" t="str">
        <x:v>18/06/2009</x:v>
      </x:c>
      <x:c r="G862" s="68" t="str">
        <x:v>Kinh</x:v>
      </x:c>
      <x:c r="H862" s="68" t="str">
        <x:v>Xa Vinh phu6c</x:v>
      </x:c>
      <x:c r="I862" s="68" t="str">
        <x:v>THCS VTnh Pha Tay</x:v>
      </x:c>
      <x:c r="J862" s="68" t="str">
        <x:v>Xa Vrnh phu6c</x:v>
      </x:c>
      <x:c r="K862" s="68" t="str">
        <x:v>25.2</x:v>
      </x:c>
      <x:c r="L862" s="68" t="str">
        <x:v>28</x:v>
      </x:c>
      <x:c r="M862" s="68" t="str"/>
      <x:c r="N862" s="68" t="str"/>
      <x:c r="O862" s="68" t="str">
        <x:v>53.2</x:v>
      </x:c>
      <x:c r="P862" s="68" t="str"/>
    </x:row>
    <x:row r="863">
      <x:c r="A863" s="106" t="n">
        <x:v>26</x:v>
      </x:c>
      <x:c r="B863" s="106" t="str">
        <x:v>862</x:v>
      </x:c>
      <x:c r="C863" s="167" t="str">
        <x:f>"095211006172"</x:f>
        <x:v>095211006172</x:v>
      </x:c>
      <x:c r="D863" s="68" t="str">
        <x:v>D6 ANH KItT</x:v>
      </x:c>
      <x:c r="E863" s="68" t="str"/>
      <x:c r="F863" s="68" t="str">
        <x:v>25/07/2011</x:v>
      </x:c>
      <x:c r="G863" s="68" t="str">
        <x:v>Kinh</x:v>
      </x:c>
      <x:c r="H863" s="68" t="str">
        <x:v>Xa Vinh Thanh</x:v>
      </x:c>
      <x:c r="I863" s="68" t="str">
        <x:v>THCS Phu6c Long</x:v>
      </x:c>
      <x:c r="J863" s="68" t="str">
        <x:v>Xa Phudc Long</x:v>
      </x:c>
      <x:c r="K863" s="68" t="str">
        <x:v>25.1</x:v>
      </x:c>
      <x:c r="L863" s="68" t="str">
        <x:v>28</x:v>
      </x:c>
      <x:c r="M863" s="68" t="str"/>
      <x:c r="N863" s="68" t="str"/>
      <x:c r="O863" s="68" t="str">
        <x:v>53.1</x:v>
      </x:c>
      <x:c r="P863" s="68" t="str"/>
    </x:row>
    <x:row r="864">
      <x:c r="A864" s="106" t="n">
        <x:v>26</x:v>
      </x:c>
      <x:c r="B864" s="106" t="str">
        <x:v>863</x:v>
      </x:c>
      <x:c r="C864" s="167" t="str">
        <x:f>"09521 1004567 ,"</x:f>
        <x:v>09521 1004567 ,</x:v>
      </x:c>
      <x:c r="D864" s="68" t="str">
        <x:v>cO BiNH AN</x:v>
      </x:c>
      <x:c r="E864" s="68" t="str"/>
      <x:c r="F864" s="68" t="str">
        <x:v>12/12/201 1</x:v>
      </x:c>
      <x:c r="G864" s="68" t="str">
        <x:v>Kinh</x:v>
      </x:c>
      <x:c r="H864" s="68" t="str">
        <x:v>Xa Phu6c Long</x:v>
      </x:c>
      <x:c r="I864" s="68" t="str">
        <x:v>THCS Phu a Long</x:v>
      </x:c>
      <x:c r="J864" s="68" t="str">
        <x:v>Xa Phudc Long</x:v>
      </x:c>
      <x:c r="K864" s="68" t="str">
        <x:v>26.0</x:v>
      </x:c>
      <x:c r="L864" s="68" t="str">
        <x:v>27</x:v>
      </x:c>
      <x:c r="M864" s="68" t="str"/>
      <x:c r="N864" s="68" t="str"/>
      <x:c r="O864" s="68" t="str">
        <x:v>53.0</x:v>
      </x:c>
      <x:c r="P864" s="68" t="str"/>
    </x:row>
    <x:row r="865">
      <x:c r="A865" s="106" t="n">
        <x:v>26</x:v>
      </x:c>
      <x:c r="B865" s="106" t="str">
        <x:v>864</x:v>
      </x:c>
      <x:c r="C865" s="167" t="str">
        <x:f>"09521 1005968"</x:f>
        <x:v>09521 1005968</x:v>
      </x:c>
      <x:c r="D865" s="68" t="str">
        <x:v>TRAN MINH TUAN</x:v>
      </x:c>
      <x:c r="E865" s="68" t="str"/>
      <x:c r="F865" s="68" t="str">
        <x:v>30/09/201 1</x:v>
      </x:c>
      <x:c r="G865" s="68" t="str">
        <x:v>Kinh</x:v>
      </x:c>
      <x:c r="H865" s="68" t="str">
        <x:v>Xa Phu M Long</x:v>
      </x:c>
      <x:c r="I865" s="68" t="str">
        <x:v>THCS Vuong Hfru Nhan</x:v>
      </x:c>
      <x:c r="J865" s="68" t="str">
        <x:v>Xa Phudc Long</x:v>
      </x:c>
      <x:c r="K865" s="68" t="str">
        <x:v>25.0</x:v>
      </x:c>
      <x:c r="L865" s="68" t="str">
        <x:v>28</x:v>
      </x:c>
      <x:c r="M865" s="68" t="str"/>
      <x:c r="N865" s="68" t="str"/>
      <x:c r="O865" s="68" t="str">
        <x:v>53.0</x:v>
      </x:c>
      <x:c r="P865" s="68" t="str"/>
    </x:row>
    <x:row r="866">
      <x:c r="A866" s="106" t="n">
        <x:v>26</x:v>
      </x:c>
      <x:c r="B866" s="106" t="str">
        <x:v>865</x:v>
      </x:c>
      <x:c r="C866" s="167" t="str">
        <x:f>"09521 1009340"</x:f>
        <x:v>09521 1009340</x:v>
      </x:c>
      <x:c r="D866" s="68" t="str">
        <x:v>NGUY£N MINH KHANG</x:v>
      </x:c>
      <x:c r="E866" s="68" t="str"/>
      <x:c r="F866" s="68" t="str">
        <x:v>28/1 1/2011</x:v>
      </x:c>
      <x:c r="G866" s="68" t="str">
        <x:v>Kinh</x:v>
      </x:c>
      <x:c r="H866" s="68" t="str">
        <x:v>Xa Phu6c Long</x:v>
      </x:c>
      <x:c r="I866" s="68" t="str">
        <x:v>THCS Phudc Long</x:v>
      </x:c>
      <x:c r="J866" s="68" t="str">
        <x:v>Xa Phudc Long</x:v>
      </x:c>
      <x:c r="K866" s="68" t="str">
        <x:v>24.9</x:v>
      </x:c>
      <x:c r="L866" s="68" t="str">
        <x:v>28</x:v>
      </x:c>
      <x:c r="M866" s="68" t="str"/>
      <x:c r="N866" s="68" t="str"/>
      <x:c r="O866" s="68" t="str">
        <x:v>52.9</x:v>
      </x:c>
      <x:c r="P866" s="68" t="str"/>
    </x:row>
    <x:row r="867">
      <x:c r="A867" s="106" t="n">
        <x:v>26</x:v>
      </x:c>
      <x:c r="B867" s="106" t="str">
        <x:v>866</x:v>
      </x:c>
      <x:c r="C867" s="167" t="str">
        <x:f>"09521 1002523"</x:f>
        <x:v>09521 1002523</x:v>
      </x:c>
      <x:c r="D867" s="68" t="str">
        <x:v>NGUYeN vAN LiNH</x:v>
      </x:c>
      <x:c r="E867" s="68" t="str"/>
      <x:c r="F867" s="68" t="str">
        <x:v>27/08/2011</x:v>
      </x:c>
      <x:c r="G867" s="68" t="str">
        <x:v>Kinh</x:v>
      </x:c>
      <x:c r="H867" s="68" t="str">
        <x:v>Xa Phudc Long</x:v>
      </x:c>
      <x:c r="I867" s="68" t="str">
        <x:v>THCS Phudc Long</x:v>
      </x:c>
      <x:c r="J867" s="68" t="str">
        <x:v>Xa PhMc Long</x:v>
      </x:c>
      <x:c r="K867" s="68" t="str">
        <x:v>24.8</x:v>
      </x:c>
      <x:c r="L867" s="68" t="str">
        <x:v>28</x:v>
      </x:c>
      <x:c r="M867" s="68" t="str"/>
      <x:c r="N867" s="68" t="str"/>
      <x:c r="O867" s="68" t="str">
        <x:v>52.8</x:v>
      </x:c>
      <x:c r="P867" s="68" t="str"/>
    </x:row>
    <x:row r="868">
      <x:c r="A868" s="106" t="n">
        <x:v>26</x:v>
      </x:c>
      <x:c r="B868" s="106" t="str">
        <x:v>867</x:v>
      </x:c>
      <x:c r="C868" s="167" t="str">
        <x:f>"0953 1 1001828"</x:f>
        <x:v>0953 1 1001828</x:v>
      </x:c>
      <x:c r="D868" s="68" t="str">
        <x:v>NGUYEN NGQC NHU V</x:v>
      </x:c>
      <x:c r="E868" s="68" t="str">
        <x:v>X</x:v>
      </x:c>
      <x:c r="F868" s="68" t="str">
        <x:v>22/05/20 11</x:v>
      </x:c>
      <x:c r="G868" s="68" t="str">
        <x:v>Kinh</x:v>
      </x:c>
      <x:c r="H868" s="68" t="str">
        <x:v>Xa Wnh Thanh</x:v>
      </x:c>
      <x:c r="I868" s="68" t="str">
        <x:v>THCS Hung Phd</x:v>
      </x:c>
      <x:c r="J868" s="68" t="str">
        <x:v>Xa VTnh Thanh</x:v>
      </x:c>
      <x:c r="K868" s="68" t="str">
        <x:v>24.8</x:v>
      </x:c>
      <x:c r="L868" s="68" t="str">
        <x:v>28</x:v>
      </x:c>
      <x:c r="M868" s="68" t="str"/>
      <x:c r="N868" s="68" t="str"/>
      <x:c r="O868" s="68" t="str">
        <x:v>52.8</x:v>
      </x:c>
      <x:c r="P868" s="68" t="str"/>
    </x:row>
    <x:row r="869">
      <x:c r="A869" s="106" t="n">
        <x:v>26</x:v>
      </x:c>
      <x:c r="B869" s="106" t="str">
        <x:v>868</x:v>
      </x:c>
      <x:c r="C869" s="167" t="str">
        <x:f>"0962100045 15"</x:f>
        <x:v>0962100045 15</x:v>
      </x:c>
      <x:c r="D869" s="68" t="str">
        <x:v>LE HAI DANG</x:v>
      </x:c>
      <x:c r="E869" s="68" t="str"/>
      <x:c r="F869" s="68" t="str">
        <x:v>19/08/2010</x:v>
      </x:c>
      <x:c r="G869" s="68" t="str">
        <x:v>Kinh</x:v>
      </x:c>
      <x:c r="H869" s="68" t="str">
        <x:v>Xa Wnh Thanh</x:v>
      </x:c>
      <x:c r="I869" s="68" t="str">
        <x:v>THCS Hung Phd</x:v>
      </x:c>
      <x:c r="J869" s="68" t="str">
        <x:v>Xa Wnh Thanh</x:v>
      </x:c>
      <x:c r="K869" s="68" t="str">
        <x:v>24.8</x:v>
      </x:c>
      <x:c r="L869" s="68" t="str">
        <x:v>28</x:v>
      </x:c>
      <x:c r="M869" s="68" t="str"/>
      <x:c r="N869" s="68" t="str"/>
      <x:c r="O869" s="68" t="str">
        <x:v>52.8</x:v>
      </x:c>
      <x:c r="P869" s="68" t="str"/>
    </x:row>
    <x:row r="870">
      <x:c r="A870" s="106" t="n">
        <x:v>26</x:v>
      </x:c>
      <x:c r="B870" s="106" t="str">
        <x:v>869</x:v>
      </x:c>
      <x:c r="C870" s="167" t="str">
        <x:f>"095211004069"</x:f>
        <x:v>095211004069</x:v>
      </x:c>
      <x:c r="D870" s="68" t="str">
        <x:v>NGUY£N GLA vV</x:v>
      </x:c>
      <x:c r="E870" s="68" t="str"/>
      <x:c r="F870" s="68" t="str">
        <x:v>09/12/201 1</x:v>
      </x:c>
      <x:c r="G870" s="68" t="str">
        <x:v>Kinh</x:v>
      </x:c>
      <x:c r="H870" s="68" t="str">
        <x:v>Xa Phua Long</x:v>
      </x:c>
      <x:c r="I870" s="68" t="str">
        <x:v>THCS Phudc Long</x:v>
      </x:c>
      <x:c r="J870" s="68" t="str">
        <x:v>Xa Phudc Long</x:v>
      </x:c>
      <x:c r="K870" s="68" t="str">
        <x:v>24.7</x:v>
      </x:c>
      <x:c r="L870" s="68" t="str">
        <x:v>28</x:v>
      </x:c>
      <x:c r="M870" s="68" t="str"/>
      <x:c r="N870" s="68" t="str"/>
      <x:c r="O870" s="68" t="str">
        <x:v>52.7</x:v>
      </x:c>
      <x:c r="P870" s="68" t="str"/>
    </x:row>
    <x:row r="871">
      <x:c r="A871" s="106" t="n">
        <x:v>26</x:v>
      </x:c>
      <x:c r="B871" s="106" t="str">
        <x:v>870</x:v>
      </x:c>
      <x:c r="C871" s="167" t="str">
        <x:f>"0953 1 1008108"</x:f>
        <x:v>0953 1 1008108</x:v>
      </x:c>
      <x:c r="D871" s="68" t="str">
        <x:v>NGUYEN NHU V</x:v>
      </x:c>
      <x:c r="E871" s="68" t="str">
        <x:v>X</x:v>
      </x:c>
      <x:c r="F871" s="68" t="str">
        <x:v>30/10/201 1</x:v>
      </x:c>
      <x:c r="G871" s="68" t="str">
        <x:v>Kinh</x:v>
      </x:c>
      <x:c r="H871" s="68" t="str">
        <x:v>Xa Vinh Phu6c</x:v>
      </x:c>
      <x:c r="I871" s="68" t="str">
        <x:v>THCS Phu6c Long</x:v>
      </x:c>
      <x:c r="J871" s="68" t="str">
        <x:v>Xa Phu6c Long</x:v>
      </x:c>
      <x:c r="K871" s="68" t="str">
        <x:v>24.6</x:v>
      </x:c>
      <x:c r="L871" s="68" t="str">
        <x:v>28</x:v>
      </x:c>
      <x:c r="M871" s="68" t="str"/>
      <x:c r="N871" s="68" t="str"/>
      <x:c r="O871" s="68" t="str">
        <x:v>52.6</x:v>
      </x:c>
      <x:c r="P871" s="68" t="str"/>
    </x:row>
    <x:row r="872">
      <x:c r="A872" s="106" t="n">
        <x:v>26</x:v>
      </x:c>
      <x:c r="B872" s="106" t="str">
        <x:v>871</x:v>
      </x:c>
      <x:c r="C872" s="167" t="str">
        <x:f>"095211006114"</x:f>
        <x:v>095211006114</x:v>
      </x:c>
      <x:c r="D872" s="68" t="str">
        <x:v>v6 PHU6C THINH</x:v>
      </x:c>
      <x:c r="E872" s="68" t="str"/>
      <x:c r="F872" s="68" t="str">
        <x:v>17/08/201 1</x:v>
      </x:c>
      <x:c r="G872" s="68" t="str">
        <x:v>Kinh</x:v>
      </x:c>
      <x:c r="H872" s="68" t="str">
        <x:v>Xa PhMc Long</x:v>
      </x:c>
      <x:c r="I872" s="68" t="str">
        <x:v>THCS Phu a Long</x:v>
      </x:c>
      <x:c r="J872" s="68" t="str">
        <x:v>Xa Phudc Long</x:v>
      </x:c>
      <x:c r="K872" s="68" t="str">
        <x:v>24.5</x:v>
      </x:c>
      <x:c r="L872" s="68" t="str">
        <x:v>28</x:v>
      </x:c>
      <x:c r="M872" s="68" t="str"/>
      <x:c r="N872" s="68" t="str"/>
      <x:c r="O872" s="68" t="str">
        <x:v>52.5</x:v>
      </x:c>
      <x:c r="P872" s="68" t="str"/>
    </x:row>
    <x:row r="873">
      <x:c r="A873" s="106" t="n">
        <x:v>26</x:v>
      </x:c>
      <x:c r="B873" s="106" t="str">
        <x:v>872</x:v>
      </x:c>
      <x:c r="C873" s="167" t="str">
        <x:f>"079310012169"</x:f>
        <x:v>079310012169</x:v>
      </x:c>
      <x:c r="D873" s="68" t="str">
        <x:v>TRAN NGQC H6NG AN</x:v>
      </x:c>
      <x:c r="E873" s="68" t="str">
        <x:v>X</x:v>
      </x:c>
      <x:c r="F873" s="68" t="str">
        <x:v>28/05/2010</x:v>
      </x:c>
      <x:c r="G873" s="68" t="str">
        <x:v>Kinh</x:v>
      </x:c>
      <x:c r="H873" s="68" t="str">
        <x:v>Xa VTnh Thanh</x:v>
      </x:c>
      <x:c r="I873" s="68" t="str">
        <x:v>THCS Hung Phd</x:v>
      </x:c>
      <x:c r="J873" s="68" t="str">
        <x:v>Xa Wnh Thanh</x:v>
      </x:c>
      <x:c r="K873" s="68" t="str">
        <x:v>24.5</x:v>
      </x:c>
      <x:c r="L873" s="68" t="str">
        <x:v>28</x:v>
      </x:c>
      <x:c r="M873" s="68" t="str"/>
      <x:c r="N873" s="68" t="str"/>
      <x:c r="O873" s="68" t="str">
        <x:v>52.5</x:v>
      </x:c>
      <x:c r="P873" s="68" t="str"/>
    </x:row>
    <x:row r="874">
      <x:c r="A874" s="106" t="n">
        <x:v>26</x:v>
      </x:c>
      <x:c r="B874" s="106" t="str">
        <x:v>873</x:v>
      </x:c>
      <x:c r="C874" s="167" t="str">
        <x:f>"095211009679"</x:f>
        <x:v>095211009679</x:v>
      </x:c>
      <x:c r="D874" s="68" t="str">
        <x:v>PRAM THANH VINH</x:v>
      </x:c>
      <x:c r="E874" s="68" t="str"/>
      <x:c r="F874" s="68" t="str">
        <x:v>22/04/201 1</x:v>
      </x:c>
      <x:c r="G874" s="68" t="str">
        <x:v>Kinh</x:v>
      </x:c>
      <x:c r="H874" s="68" t="str">
        <x:v>Xa Phudc Long</x:v>
      </x:c>
      <x:c r="I874" s="68" t="str">
        <x:v>THCS Phudc Long</x:v>
      </x:c>
      <x:c r="J874" s="68" t="str">
        <x:v>Xa Phudc Long</x:v>
      </x:c>
      <x:c r="K874" s="68" t="str">
        <x:v>25.4</x:v>
      </x:c>
      <x:c r="L874" s="68" t="str">
        <x:v>27</x:v>
      </x:c>
      <x:c r="M874" s="68" t="str"/>
      <x:c r="N874" s="68" t="str"/>
      <x:c r="O874" s="68" t="str">
        <x:v>52.4</x:v>
      </x:c>
      <x:c r="P874" s="68" t="str"/>
    </x:row>
    <x:row r="875">
      <x:c r="A875" s="106" t="n">
        <x:v>26</x:v>
      </x:c>
      <x:c r="B875" s="106" t="str">
        <x:v>874</x:v>
      </x:c>
      <x:c r="C875" s="167" t="str">
        <x:f>"095211009672"</x:f>
        <x:v>095211009672</x:v>
      </x:c>
      <x:c r="D875" s="68" t="str">
        <x:v>TRAN GLA BAO</x:v>
      </x:c>
      <x:c r="E875" s="68" t="str"/>
      <x:c r="F875" s="68" t="str">
        <x:v>12/12/201 1</x:v>
      </x:c>
      <x:c r="G875" s="68" t="str">
        <x:v>Kinh</x:v>
      </x:c>
      <x:c r="H875" s="68" t="str">
        <x:v>Xa VTnh Thanh</x:v>
      </x:c>
      <x:c r="I875" s="68" t="str">
        <x:v>THCS Hung Phd</x:v>
      </x:c>
      <x:c r="J875" s="68" t="str">
        <x:v>Xa VTnh Thanh</x:v>
      </x:c>
      <x:c r="K875" s="68" t="str">
        <x:v>24.4</x:v>
      </x:c>
      <x:c r="L875" s="68" t="str">
        <x:v>28</x:v>
      </x:c>
      <x:c r="M875" s="68" t="str"/>
      <x:c r="N875" s="68" t="str"/>
      <x:c r="O875" s="68" t="str">
        <x:v>52.4</x:v>
      </x:c>
      <x:c r="P875" s="68" t="str"/>
    </x:row>
    <x:row r="876">
      <x:c r="A876" s="106" t="n">
        <x:v>26</x:v>
      </x:c>
      <x:c r="B876" s="106" t="str">
        <x:v>875</x:v>
      </x:c>
      <x:c r="C876" s="167" t="str">
        <x:f>"095211002590"</x:f>
        <x:v>095211002590</x:v>
      </x:c>
      <x:c r="D876" s="68" t="str">
        <x:v>TRAN MINH TOAN</x:v>
      </x:c>
      <x:c r="E876" s="68" t="str"/>
      <x:c r="F876" s="68" t="str">
        <x:v>15/1 1/2011</x:v>
      </x:c>
      <x:c r="G876" s="68" t="str">
        <x:v>Kinh</x:v>
      </x:c>
      <x:c r="H876" s="68" t="str">
        <x:v>Xa Phudc Long</x:v>
      </x:c>
      <x:c r="I876" s="68" t="str">
        <x:v>THCS Phu6c Long</x:v>
      </x:c>
      <x:c r="J876" s="68" t="str">
        <x:v>Xa Phu(ic Long</x:v>
      </x:c>
      <x:c r="K876" s="68" t="str">
        <x:v>24.3</x:v>
      </x:c>
      <x:c r="L876" s="68" t="str">
        <x:v>28</x:v>
      </x:c>
      <x:c r="M876" s="68" t="str"/>
      <x:c r="N876" s="68" t="str"/>
      <x:c r="O876" s="68" t="str">
        <x:v>52.3</x:v>
      </x:c>
      <x:c r="P876" s="68" t="str"/>
    </x:row>
    <x:row r="877">
      <x:c r="A877" s="106" t="n">
        <x:v>26</x:v>
      </x:c>
      <x:c r="B877" s="106" t="str">
        <x:v>876</x:v>
      </x:c>
      <x:c r="C877" s="167" t="str">
        <x:f>"0963 1 1008230"</x:f>
        <x:v>0963 1 1008230</x:v>
      </x:c>
      <x:c r="D877" s="68" t="str">
        <x:v>PRAM Mt TEEN</x:v>
      </x:c>
      <x:c r="E877" s="68" t="str">
        <x:v>X</x:v>
      </x:c>
      <x:c r="F877" s="68" t="str">
        <x:v>11/07/2011</x:v>
      </x:c>
      <x:c r="G877" s="68" t="str">
        <x:v>Kinh</x:v>
      </x:c>
      <x:c r="H877" s="68" t="str">
        <x:v>Xa Phu6c Long</x:v>
      </x:c>
      <x:c r="I877" s="68" t="str">
        <x:v>THCS Phua Long</x:v>
      </x:c>
      <x:c r="J877" s="68" t="str">
        <x:v>Xa Phu6c Long</x:v>
      </x:c>
      <x:c r="K877" s="68" t="str">
        <x:v>25.2</x:v>
      </x:c>
      <x:c r="L877" s="68" t="str">
        <x:v>27</x:v>
      </x:c>
      <x:c r="M877" s="68" t="str"/>
      <x:c r="N877" s="68" t="str"/>
      <x:c r="O877" s="68" t="str">
        <x:v>52.2</x:v>
      </x:c>
      <x:c r="P877" s="68" t="str"/>
    </x:row>
    <x:row r="878">
      <x:c r="A878" s="106" t="n">
        <x:v>26</x:v>
      </x:c>
      <x:c r="B878" s="106" t="str">
        <x:v>877</x:v>
      </x:c>
      <x:c r="C878" s="167" t="str">
        <x:f>"09521 1007014"</x:f>
        <x:v>09521 1007014</x:v>
      </x:c>
      <x:c r="D878" s="68" t="str">
        <x:v>NGUYEN HUtNH KHANG</x:v>
      </x:c>
      <x:c r="E878" s="68" t="str"/>
      <x:c r="F878" s="68" t="str">
        <x:v>02/1 1/2011</x:v>
      </x:c>
      <x:c r="G878" s="68" t="str">
        <x:v>Kinh</x:v>
      </x:c>
      <x:c r="H878" s="68" t="str">
        <x:v>Phudng Lang Tran</x:v>
      </x:c>
      <x:c r="I878" s="68" t="str">
        <x:v>THCS Phong ThBnh D6ng</x:v>
      </x:c>
      <x:c r="J878" s="68" t="str">
        <x:v>Phudng Lang Tran</x:v>
      </x:c>
      <x:c r="K878" s="68" t="str">
        <x:v>25.2</x:v>
      </x:c>
      <x:c r="L878" s="68" t="str">
        <x:v>27</x:v>
      </x:c>
      <x:c r="M878" s="68" t="str"/>
      <x:c r="N878" s="68" t="str"/>
      <x:c r="O878" s="68" t="str">
        <x:v>52.2</x:v>
      </x:c>
      <x:c r="P878" s="68" t="str"/>
    </x:row>
    <x:row r="879">
      <x:c r="A879" s="106" t="n">
        <x:v>26</x:v>
      </x:c>
      <x:c r="B879" s="106" t="str">
        <x:v>878</x:v>
      </x:c>
      <x:c r="C879" s="167" t="str">
        <x:f>"09521 1005623"</x:f>
        <x:v>09521 1005623</x:v>
      </x:c>
      <x:c r="D879" s="68" t="str">
        <x:v>NGUY£N QU6C TRUNG</x:v>
      </x:c>
      <x:c r="E879" s="68" t="str"/>
      <x:c r="F879" s="68" t="str">
        <x:v>26/0 1/2011</x:v>
      </x:c>
      <x:c r="G879" s="68" t="str">
        <x:v>Kinh</x:v>
      </x:c>
      <x:c r="H879" s="68" t="str">
        <x:v>Xa Phu6c Long</x:v>
      </x:c>
      <x:c r="I879" s="68" t="str">
        <x:v>THCS Phudc Long</x:v>
      </x:c>
      <x:c r="J879" s="68" t="str">
        <x:v>Xa Phu6c Long</x:v>
      </x:c>
      <x:c r="K879" s="68" t="str">
        <x:v>25.1</x:v>
      </x:c>
      <x:c r="L879" s="68" t="str">
        <x:v>27</x:v>
      </x:c>
      <x:c r="M879" s="68" t="str"/>
      <x:c r="N879" s="68" t="str"/>
      <x:c r="O879" s="68" t="str">
        <x:v>52. 1</x:v>
      </x:c>
      <x:c r="P879" s="68" t="str"/>
    </x:row>
    <x:row r="880">
      <x:c r="A880" s="106" t="n">
        <x:v>27</x:v>
      </x:c>
      <x:c r="B880" s="106" t="str">
        <x:v>879</x:v>
      </x:c>
      <x:c r="C880" s="167" t="str">
        <x:f>"09521 1000607"</x:f>
        <x:v>09521 1000607</x:v>
      </x:c>
      <x:c r="D880" s="68" t="str">
        <x:v>Li H(;U PnAT</x:v>
      </x:c>
      <x:c r="E880" s="68" t="str"/>
      <x:c r="F880" s="68" t="str">
        <x:v>3 1/08/2011</x:v>
      </x:c>
      <x:c r="G880" s="68" t="str">
        <x:v>Kinh</x:v>
      </x:c>
      <x:c r="H880" s="68" t="str">
        <x:v>Xa Vinh Thanh</x:v>
      </x:c>
      <x:c r="I880" s="68" t="str">
        <x:v>THCS Hung Phd</x:v>
      </x:c>
      <x:c r="J880" s="68" t="str">
        <x:v>Xa VTnh Thanh</x:v>
      </x:c>
      <x:c r="K880" s="68" t="str">
        <x:v>25.1</x:v>
      </x:c>
      <x:c r="L880" s="68" t="str">
        <x:v>27</x:v>
      </x:c>
      <x:c r="M880" s="68" t="str"/>
      <x:c r="N880" s="68" t="str"/>
      <x:c r="O880" s="68" t="str">
        <x:v>52. 1</x:v>
      </x:c>
      <x:c r="P880" s="68" t="str"/>
    </x:row>
    <x:row r="881">
      <x:c r="A881" s="106" t="n">
        <x:v>27</x:v>
      </x:c>
      <x:c r="B881" s="106" t="str">
        <x:v>880</x:v>
      </x:c>
      <x:c r="C881" s="167" t="str">
        <x:f>"09521 1009268"</x:f>
        <x:v>09521 1009268</x:v>
      </x:c>
      <x:c r="D881" s="68" t="str">
        <x:v>TRAN HOANG DUY KHOA</x:v>
      </x:c>
      <x:c r="E881" s="68" t="str"/>
      <x:c r="F881" s="68" t="str">
        <x:v>12/06/201 1</x:v>
      </x:c>
      <x:c r="G881" s="68" t="str">
        <x:v>Kinh</x:v>
      </x:c>
      <x:c r="H881" s="68" t="str">
        <x:v>Xa Phu6c Long</x:v>
      </x:c>
      <x:c r="I881" s="68" t="str">
        <x:v>THCS Vuang Hall Nhan</x:v>
      </x:c>
      <x:c r="J881" s="68" t="str">
        <x:v>Xa Phu6c Long</x:v>
      </x:c>
      <x:c r="K881" s="68" t="str">
        <x:v>24. 1</x:v>
      </x:c>
      <x:c r="L881" s="68" t="str">
        <x:v>28</x:v>
      </x:c>
      <x:c r="M881" s="68" t="str"/>
      <x:c r="N881" s="68" t="str"/>
      <x:c r="O881" s="68" t="str">
        <x:v>52. 1</x:v>
      </x:c>
      <x:c r="P881" s="68" t="str"/>
    </x:row>
    <x:row r="882">
      <x:c r="A882" s="106" t="n">
        <x:v>27</x:v>
      </x:c>
      <x:c r="B882" s="106" t="str">
        <x:v>881</x:v>
      </x:c>
      <x:c r="C882" s="167" t="str">
        <x:f>"09521 1000502"</x:f>
        <x:v>09521 1000502</x:v>
      </x:c>
      <x:c r="D882" s="68" t="str">
        <x:v>PHAN GIA nAO</x:v>
      </x:c>
      <x:c r="E882" s="68" t="str"/>
      <x:c r="F882" s="68" t="str">
        <x:v>06/09/2011</x:v>
      </x:c>
      <x:c r="G882" s="68" t="str">
        <x:v>Kinh</x:v>
      </x:c>
      <x:c r="H882" s="68" t="str">
        <x:v>Xa VTnh phudc</x:v>
      </x:c>
      <x:c r="I882" s="68" t="str">
        <x:v>THCS Wnh Pha Tay</x:v>
      </x:c>
      <x:c r="J882" s="68" t="str">
        <x:v>Xa VTnh Phu6c</x:v>
      </x:c>
      <x:c r="K882" s="68" t="str">
        <x:v>24. 1</x:v>
      </x:c>
      <x:c r="L882" s="68" t="str">
        <x:v>28</x:v>
      </x:c>
      <x:c r="M882" s="68" t="str"/>
      <x:c r="N882" s="68" t="str"/>
      <x:c r="O882" s="68" t="str">
        <x:v>52. 1</x:v>
      </x:c>
      <x:c r="P882" s="68" t="str"/>
    </x:row>
    <x:row r="883">
      <x:c r="A883" s="106" t="n">
        <x:v>27</x:v>
      </x:c>
      <x:c r="B883" s="106" t="str">
        <x:v>882</x:v>
      </x:c>
      <x:c r="C883" s="167" t="str">
        <x:f>"0953 1 1004709"</x:f>
        <x:v>0953 1 1004709</x:v>
      </x:c>
      <x:c r="D883" s="68" t="str">
        <x:v>cO THI NHU' F{UtNH</x:v>
      </x:c>
      <x:c r="E883" s="68" t="str">
        <x:v>X</x:v>
      </x:c>
      <x:c r="F883" s="68" t="str">
        <x:v>04/08/2011</x:v>
      </x:c>
      <x:c r="G883" s="68" t="str">
        <x:v>Kinh</x:v>
      </x:c>
      <x:c r="H883" s="68" t="str">
        <x:v>Xa Phu6c Long</x:v>
      </x:c>
      <x:c r="I883" s="68" t="str">
        <x:v>THCS Phudc Long</x:v>
      </x:c>
      <x:c r="J883" s="68" t="str">
        <x:v>Xa Phu6c Long</x:v>
      </x:c>
      <x:c r="K883" s="68" t="str">
        <x:v>24.0</x:v>
      </x:c>
      <x:c r="L883" s="68" t="str">
        <x:v>28</x:v>
      </x:c>
      <x:c r="M883" s="68" t="str"/>
      <x:c r="N883" s="68" t="str"/>
      <x:c r="O883" s="68" t="str">
        <x:v>52.0</x:v>
      </x:c>
      <x:c r="P883" s="68" t="str"/>
    </x:row>
    <x:row r="884">
      <x:c r="A884" s="106" t="n">
        <x:v>27</x:v>
      </x:c>
      <x:c r="B884" s="106" t="str">
        <x:v>883</x:v>
      </x:c>
      <x:c r="C884" s="167" t="str">
        <x:f>"0953 1 1007973"</x:f>
        <x:v>0953 1 1007973</x:v>
      </x:c>
      <x:c r="D884" s="68" t="str">
        <x:v>I-lUtNl-I NHU- t</x:v>
      </x:c>
      <x:c r="E884" s="68" t="str">
        <x:v>X</x:v>
      </x:c>
      <x:c r="F884" s="68" t="str">
        <x:v>21/10/2011</x:v>
      </x:c>
      <x:c r="G884" s="68" t="str">
        <x:v>Kinh</x:v>
      </x:c>
      <x:c r="H884" s="68" t="str">
        <x:v>Xa Phudc Long</x:v>
      </x:c>
      <x:c r="I884" s="68" t="str">
        <x:v>THCS Phu a Long</x:v>
      </x:c>
      <x:c r="J884" s="68" t="str">
        <x:v>Xa Phu6c Long</x:v>
      </x:c>
      <x:c r="K884" s="68" t="str">
        <x:v>25.0</x:v>
      </x:c>
      <x:c r="L884" s="68" t="str">
        <x:v>27</x:v>
      </x:c>
      <x:c r="M884" s="68" t="str"/>
      <x:c r="N884" s="68" t="str"/>
      <x:c r="O884" s="68" t="str">
        <x:v>52.0</x:v>
      </x:c>
      <x:c r="P884" s="68" t="str"/>
    </x:row>
    <x:row r="885">
      <x:c r="A885" s="106" t="n">
        <x:v>27</x:v>
      </x:c>
      <x:c r="B885" s="106" t="str">
        <x:v>884</x:v>
      </x:c>
      <x:c r="C885" s="167" t="str">
        <x:f>"095211010247"</x:f>
        <x:v>095211010247</x:v>
      </x:c>
      <x:c r="D885" s="68" t="str">
        <x:v>NGUYEN GLA KHEEM</x:v>
      </x:c>
      <x:c r="E885" s="68" t="str"/>
      <x:c r="F885" s="68" t="str">
        <x:v>21/08/2011</x:v>
      </x:c>
      <x:c r="G885" s="68" t="str">
        <x:v>Kinh</x:v>
      </x:c>
      <x:c r="H885" s="68" t="str">
        <x:v>Xa Hang Dan</x:v>
      </x:c>
      <x:c r="I885" s="68" t="str">
        <x:v>THCS Trtrang mh KV</x:v>
      </x:c>
      <x:c r="J885" s="68" t="str">
        <x:v>Xg H6ng Dan</x:v>
      </x:c>
      <x:c r="K885" s="68" t="str">
        <x:v>25.0</x:v>
      </x:c>
      <x:c r="L885" s="68" t="str">
        <x:v>27</x:v>
      </x:c>
      <x:c r="M885" s="68" t="str"/>
      <x:c r="N885" s="68" t="str"/>
      <x:c r="O885" s="68" t="str">
        <x:v>52.0</x:v>
      </x:c>
      <x:c r="P885" s="68" t="str"/>
    </x:row>
    <x:row r="886">
      <x:c r="A886" s="106" t="n">
        <x:v>27</x:v>
      </x:c>
      <x:c r="B886" s="106" t="str">
        <x:v>885</x:v>
      </x:c>
      <x:c r="C886" s="167" t="str">
        <x:f>"09521 1003601"</x:f>
        <x:v>09521 1003601</x:v>
      </x:c>
      <x:c r="D886" s="68" t="str">
        <x:v>FIUtNH QU6C ANFI</x:v>
      </x:c>
      <x:c r="E886" s="68" t="str"/>
      <x:c r="F886" s="68" t="str">
        <x:v>11/12/2011</x:v>
      </x:c>
      <x:c r="G886" s="68" t="str">
        <x:v>Kinh</x:v>
      </x:c>
      <x:c r="H886" s="68" t="str">
        <x:v>Xa Wnh Thanh</x:v>
      </x:c>
      <x:c r="I886" s="68" t="str">
        <x:v>THCS Hung Phd</x:v>
      </x:c>
      <x:c r="J886" s="68" t="str">
        <x:v>Xa Vlnh Thanh</x:v>
      </x:c>
      <x:c r="K886" s="68" t="str">
        <x:v>23.9</x:v>
      </x:c>
      <x:c r="L886" s="68" t="str">
        <x:v>28</x:v>
      </x:c>
      <x:c r="M886" s="68" t="str"/>
      <x:c r="N886" s="68" t="str"/>
      <x:c r="O886" s="68" t="str">
        <x:v>51.9</x:v>
      </x:c>
      <x:c r="P886" s="68" t="str"/>
    </x:row>
    <x:row r="887">
      <x:c r="A887" s="106" t="n">
        <x:v>27</x:v>
      </x:c>
      <x:c r="B887" s="106" t="str">
        <x:v>886</x:v>
      </x:c>
      <x:c r="C887" s="167" t="str">
        <x:f>"0952 1 1006 1 78"</x:f>
        <x:v>0952 1 1006 1 78</x:v>
      </x:c>
      <x:c r="D887" s="68" t="str">
        <x:v>NGUYEN PHOC TOAN</x:v>
      </x:c>
      <x:c r="E887" s="68" t="str"/>
      <x:c r="F887" s="68" t="str">
        <x:v>21/07/201 1</x:v>
      </x:c>
      <x:c r="G887" s="68" t="str">
        <x:v>Kinh</x:v>
      </x:c>
      <x:c r="H887" s="68" t="str">
        <x:v>Xa Phudc Long</x:v>
      </x:c>
      <x:c r="I887" s="68" t="str">
        <x:v>THCS Vuang Hnu Nhan</x:v>
      </x:c>
      <x:c r="J887" s="68" t="str">
        <x:v>Xg Phu6c Long</x:v>
      </x:c>
      <x:c r="K887" s="68" t="str">
        <x:v>23.9</x:v>
      </x:c>
      <x:c r="L887" s="68" t="str">
        <x:v>28</x:v>
      </x:c>
      <x:c r="M887" s="68" t="str"/>
      <x:c r="N887" s="68" t="str"/>
      <x:c r="O887" s="68" t="str">
        <x:v>51.9</x:v>
      </x:c>
      <x:c r="P887" s="68" t="str"/>
    </x:row>
    <x:row r="888">
      <x:c r="A888" s="106" t="n">
        <x:v>27</x:v>
      </x:c>
      <x:c r="B888" s="106" t="str">
        <x:v>887</x:v>
      </x:c>
      <x:c r="C888" s="167" t="str">
        <x:f>"095211002180"</x:f>
        <x:v>095211002180</x:v>
      </x:c>
      <x:c r="D888" s="68" t="str">
        <x:v>DOAN CHi HONG</x:v>
      </x:c>
      <x:c r="E888" s="68" t="str"/>
      <x:c r="F888" s="68" t="str">
        <x:v>16/06/2011</x:v>
      </x:c>
      <x:c r="G888" s="68" t="str">
        <x:v>Kinh</x:v>
      </x:c>
      <x:c r="H888" s="68" t="str">
        <x:v>Xa Phu6c Long</x:v>
      </x:c>
      <x:c r="I888" s="68" t="str">
        <x:v>THCS VTnh Thanh</x:v>
      </x:c>
      <x:c r="J888" s="68" t="str">
        <x:v>Xa Vinh Thanh</x:v>
      </x:c>
      <x:c r="K888" s="68" t="str">
        <x:v>24.7</x:v>
      </x:c>
      <x:c r="L888" s="68" t="str">
        <x:v>27</x:v>
      </x:c>
      <x:c r="M888" s="68" t="str"/>
      <x:c r="N888" s="68" t="str"/>
      <x:c r="O888" s="68" t="str">
        <x:v>51.7</x:v>
      </x:c>
      <x:c r="P888" s="68" t="str"/>
    </x:row>
    <x:row r="889">
      <x:c r="A889" s="106" t="n">
        <x:v>27</x:v>
      </x:c>
      <x:c r="B889" s="106" t="str">
        <x:v>888</x:v>
      </x:c>
      <x:c r="C889" s="167" t="str">
        <x:f>"095210008783"</x:f>
        <x:v>095210008783</x:v>
      </x:c>
      <x:c r="D889" s="68" t="str">
        <x:v>LE SUM MIN</x:v>
      </x:c>
      <x:c r="E889" s="68" t="str"/>
      <x:c r="F889" s="68" t="str">
        <x:v>24/03/2010</x:v>
      </x:c>
      <x:c r="G889" s="68" t="str">
        <x:v>Kinh</x:v>
      </x:c>
      <x:c r="H889" s="68" t="str">
        <x:v>Xa Vrnh Thanh</x:v>
      </x:c>
      <x:c r="I889" s="68" t="str">
        <x:v>THCS Hung Phi</x:v>
      </x:c>
      <x:c r="J889" s="68" t="str">
        <x:v>Xa Wlnh Thanh</x:v>
      </x:c>
      <x:c r="K889" s="68" t="str">
        <x:v>23.7</x:v>
      </x:c>
      <x:c r="L889" s="68" t="str">
        <x:v>28</x:v>
      </x:c>
      <x:c r="M889" s="68" t="str"/>
      <x:c r="N889" s="68" t="str"/>
      <x:c r="O889" s="68" t="str">
        <x:v>51.7</x:v>
      </x:c>
      <x:c r="P889" s="68" t="str"/>
    </x:row>
    <x:row r="890">
      <x:c r="A890" s="106" t="n">
        <x:v>27</x:v>
      </x:c>
      <x:c r="B890" s="106" t="str">
        <x:v>889</x:v>
      </x:c>
      <x:c r="C890" s="167" t="str">
        <x:f>"09521 1002837"</x:f>
        <x:v>09521 1002837</x:v>
      </x:c>
      <x:c r="D890" s="68" t="str">
        <x:v>NGUYEN vi KHANG</x:v>
      </x:c>
      <x:c r="E890" s="68" t="str"/>
      <x:c r="F890" s="68" t="str">
        <x:v>01/06/2011</x:v>
      </x:c>
      <x:c r="G890" s="68" t="str">
        <x:v>Kinh</x:v>
      </x:c>
      <x:c r="H890" s="68" t="str">
        <x:v>Xa PhMc Long</x:v>
      </x:c>
      <x:c r="I890" s="68" t="str">
        <x:v>THCS Phu6c Long</x:v>
      </x:c>
      <x:c r="J890" s="68" t="str">
        <x:v>Xa Phudc Long</x:v>
      </x:c>
      <x:c r="K890" s="68" t="str">
        <x:v>24.6</x:v>
      </x:c>
      <x:c r="L890" s="68" t="str">
        <x:v>27</x:v>
      </x:c>
      <x:c r="M890" s="68" t="str"/>
      <x:c r="N890" s="68" t="str"/>
      <x:c r="O890" s="68" t="str">
        <x:v>51.6</x:v>
      </x:c>
      <x:c r="P890" s="68" t="str"/>
    </x:row>
    <x:row r="891">
      <x:c r="A891" s="106" t="n">
        <x:v>27</x:v>
      </x:c>
      <x:c r="B891" s="106" t="str">
        <x:v>890</x:v>
      </x:c>
      <x:c r="C891" s="167" t="str">
        <x:f>"0953 1 1004673"</x:f>
        <x:v>0953 1 1004673</x:v>
      </x:c>
      <x:c r="D891" s="68" t="str">
        <x:v>v6 TUdNG vl</x:v>
      </x:c>
      <x:c r="E891" s="68" t="str">
        <x:v>X</x:v>
      </x:c>
      <x:c r="F891" s="68" t="str">
        <x:v>21/12/2011</x:v>
      </x:c>
      <x:c r="G891" s="68" t="str">
        <x:v>Kinh</x:v>
      </x:c>
      <x:c r="H891" s="68" t="str">
        <x:v>Xa Phu6c Long</x:v>
      </x:c>
      <x:c r="I891" s="68" t="str">
        <x:v>THCS Vuang Hnu Nhan</x:v>
      </x:c>
      <x:c r="J891" s="68" t="str">
        <x:v>Xa Phu&amp; Long</x:v>
      </x:c>
      <x:c r="K891" s="68" t="str">
        <x:v>24.6</x:v>
      </x:c>
      <x:c r="L891" s="68" t="str">
        <x:v>27</x:v>
      </x:c>
      <x:c r="M891" s="68" t="str"/>
      <x:c r="N891" s="68" t="str"/>
      <x:c r="O891" s="68" t="str">
        <x:v>51.6</x:v>
      </x:c>
      <x:c r="P891" s="68" t="str"/>
    </x:row>
    <x:row r="892">
      <x:c r="A892" s="106" t="n">
        <x:v>27</x:v>
      </x:c>
      <x:c r="B892" s="106" t="str">
        <x:v>891</x:v>
      </x:c>
      <x:c r="C892" s="167" t="str">
        <x:f>"095210006987"</x:f>
        <x:v>095210006987</x:v>
      </x:c>
      <x:c r="D892" s="68" t="str">
        <x:v>DAO NHAT PHO</x:v>
      </x:c>
      <x:c r="E892" s="68" t="str"/>
      <x:c r="F892" s="68" t="str">
        <x:v>14/03/2010</x:v>
      </x:c>
      <x:c r="G892" s="68" t="str">
        <x:v>Kinh</x:v>
      </x:c>
      <x:c r="H892" s="68" t="str">
        <x:v>Xa Phu6c Long</x:v>
      </x:c>
      <x:c r="I892" s="68" t="str">
        <x:v>THCS Phudc Long</x:v>
      </x:c>
      <x:c r="J892" s="68" t="str">
        <x:v>Xa Phu6c Long</x:v>
      </x:c>
      <x:c r="K892" s="68" t="str">
        <x:v>24.5</x:v>
      </x:c>
      <x:c r="L892" s="68" t="str">
        <x:v>27</x:v>
      </x:c>
      <x:c r="M892" s="68" t="str"/>
      <x:c r="N892" s="68" t="str"/>
      <x:c r="O892" s="68" t="str">
        <x:v>51.5</x:v>
      </x:c>
      <x:c r="P892" s="68" t="str"/>
    </x:row>
    <x:row r="893">
      <x:c r="A893" s="106" t="n">
        <x:v>27</x:v>
      </x:c>
      <x:c r="B893" s="106" t="str">
        <x:v>892</x:v>
      </x:c>
      <x:c r="C893" s="167" t="str">
        <x:f>"095211001573"</x:f>
        <x:v>095211001573</x:v>
      </x:c>
      <x:c r="D893" s="68" t="str">
        <x:v>HUtNH PHCJC VINH</x:v>
      </x:c>
      <x:c r="E893" s="68" t="str"/>
      <x:c r="F893" s="68" t="str">
        <x:v>28/12/201 1</x:v>
      </x:c>
      <x:c r="G893" s="68" t="str">
        <x:v>Kinh</x:v>
      </x:c>
      <x:c r="H893" s="68" t="str">
        <x:v>Xa Phu6c Long</x:v>
      </x:c>
      <x:c r="I893" s="68" t="str">
        <x:v>THCS Phu6c Long</x:v>
      </x:c>
      <x:c r="J893" s="68" t="str">
        <x:v>Xa Phu6c Long</x:v>
      </x:c>
      <x:c r="K893" s="68" t="str">
        <x:v>23.5</x:v>
      </x:c>
      <x:c r="L893" s="68" t="str">
        <x:v>28</x:v>
      </x:c>
      <x:c r="M893" s="68" t="str"/>
      <x:c r="N893" s="68" t="str"/>
      <x:c r="O893" s="68" t="str">
        <x:v>51.5</x:v>
      </x:c>
      <x:c r="P893" s="68" t="str"/>
    </x:row>
    <x:row r="894">
      <x:c r="A894" s="106" t="n">
        <x:v>27</x:v>
      </x:c>
      <x:c r="B894" s="106" t="str">
        <x:v>893</x:v>
      </x:c>
      <x:c r="C894" s="167" t="str">
        <x:f>"09521 1003877"</x:f>
        <x:v>09521 1003877</x:v>
      </x:c>
      <x:c r="D894" s="68" t="str">
        <x:v>TRAN THANH LAM</x:v>
      </x:c>
      <x:c r="E894" s="68" t="str"/>
      <x:c r="F894" s="68" t="str">
        <x:v>16/08/2011</x:v>
      </x:c>
      <x:c r="G894" s="68" t="str">
        <x:v>Kinh</x:v>
      </x:c>
      <x:c r="H894" s="68" t="str">
        <x:v>Xa Vinh Phudc</x:v>
      </x:c>
      <x:c r="I894" s="68" t="str">
        <x:v>THCS Wnh Pha Tay</x:v>
      </x:c>
      <x:c r="J894" s="68" t="str">
        <x:v>Xa VTnh Phu6c</x:v>
      </x:c>
      <x:c r="K894" s="68" t="str">
        <x:v>23.5</x:v>
      </x:c>
      <x:c r="L894" s="68" t="str">
        <x:v>28</x:v>
      </x:c>
      <x:c r="M894" s="68" t="str"/>
      <x:c r="N894" s="68" t="str"/>
      <x:c r="O894" s="68" t="str">
        <x:v>51.5</x:v>
      </x:c>
      <x:c r="P894" s="68" t="str"/>
    </x:row>
    <x:row r="895">
      <x:c r="A895" s="106" t="n">
        <x:v>27</x:v>
      </x:c>
      <x:c r="B895" s="106" t="str">
        <x:v>894</x:v>
      </x:c>
      <x:c r="C895" s="167" t="str">
        <x:f>"09521 100976 1"</x:f>
        <x:v>09521 100976 1</x:v>
      </x:c>
      <x:c r="D895" s="68" t="str">
        <x:v>NGUYeN GIA LAC</x:v>
      </x:c>
      <x:c r="E895" s="68" t="str"/>
      <x:c r="F895" s="68" t="str">
        <x:v>15/03/201 1</x:v>
      </x:c>
      <x:c r="G895" s="68" t="str">
        <x:v>Kinh</x:v>
      </x:c>
      <x:c r="H895" s="68" t="str">
        <x:v>Xa Phu6Q Long</x:v>
      </x:c>
      <x:c r="I895" s="68" t="str">
        <x:v>THCS Vinh Thanh</x:v>
      </x:c>
      <x:c r="J895" s="68" t="str">
        <x:v>Xa Vinh Thanh</x:v>
      </x:c>
      <x:c r="K895" s="68" t="str">
        <x:v>24.5</x:v>
      </x:c>
      <x:c r="L895" s="68" t="str">
        <x:v>27</x:v>
      </x:c>
      <x:c r="M895" s="68" t="str"/>
      <x:c r="N895" s="68" t="str"/>
      <x:c r="O895" s="68" t="str">
        <x:v>51.5</x:v>
      </x:c>
      <x:c r="P895" s="68" t="str"/>
    </x:row>
    <x:row r="896">
      <x:c r="A896" s="106" t="n">
        <x:v>27</x:v>
      </x:c>
      <x:c r="B896" s="106" t="str">
        <x:v>895</x:v>
      </x:c>
      <x:c r="C896" s="167" t="str">
        <x:f>"09521 1001948"</x:f>
        <x:v>09521 1001948</x:v>
      </x:c>
      <x:c r="D896" s="68" t="str">
        <x:v>DANG KHANH DUY</x:v>
      </x:c>
      <x:c r="E896" s="68" t="str"/>
      <x:c r="F896" s="68" t="str">
        <x:v>17/05/2011</x:v>
      </x:c>
      <x:c r="G896" s="68" t="str">
        <x:v>Kinh</x:v>
      </x:c>
      <x:c r="H896" s="68" t="str">
        <x:v>Xa Phu6c Long</x:v>
      </x:c>
      <x:c r="I896" s="68" t="str">
        <x:v>THCS Phu6c Long</x:v>
      </x:c>
      <x:c r="J896" s="68" t="str">
        <x:v>Xa Phu6c Long</x:v>
      </x:c>
      <x:c r="K896" s="68" t="str">
        <x:v>24.4</x:v>
      </x:c>
      <x:c r="L896" s="68" t="str">
        <x:v>27</x:v>
      </x:c>
      <x:c r="M896" s="68" t="str"/>
      <x:c r="N896" s="68" t="str"/>
      <x:c r="O896" s="68" t="str">
        <x:v>5 1 .4</x:v>
      </x:c>
      <x:c r="P896" s="68" t="str"/>
    </x:row>
    <x:row r="897">
      <x:c r="A897" s="106" t="n">
        <x:v>27</x:v>
      </x:c>
      <x:c r="B897" s="106" t="str">
        <x:v>896</x:v>
      </x:c>
      <x:c r="C897" s="167" t="str">
        <x:f>"095211008280"</x:f>
        <x:v>095211008280</x:v>
      </x:c>
      <x:c r="D897" s="68" t="str">
        <x:v>NGUYEN vAN HIA</x:v>
      </x:c>
      <x:c r="E897" s="68" t="str"/>
      <x:c r="F897" s="68" t="str">
        <x:v>11/05/2011</x:v>
      </x:c>
      <x:c r="G897" s="68" t="str">
        <x:v>Kinh</x:v>
      </x:c>
      <x:c r="H897" s="68" t="str">
        <x:v>Xa Phudc Long</x:v>
      </x:c>
      <x:c r="I897" s="68" t="str">
        <x:v>THCS Phudc Long</x:v>
      </x:c>
      <x:c r="J897" s="68" t="str">
        <x:v>Xa Phudc Long</x:v>
      </x:c>
      <x:c r="K897" s="68" t="str">
        <x:v>24.3</x:v>
      </x:c>
      <x:c r="L897" s="68" t="str">
        <x:v>27</x:v>
      </x:c>
      <x:c r="M897" s="68" t="str"/>
      <x:c r="N897" s="68" t="str"/>
      <x:c r="O897" s="68" t="str">
        <x:v>5 1 .3</x:v>
      </x:c>
      <x:c r="P897" s="68" t="str"/>
    </x:row>
    <x:row r="898">
      <x:c r="A898" s="106" t="n">
        <x:v>27</x:v>
      </x:c>
      <x:c r="B898" s="106" t="str">
        <x:v>897</x:v>
      </x:c>
      <x:c r="C898" s="167" t="str">
        <x:f>"0953 1 1002886"</x:f>
        <x:v>0953 1 1002886</x:v>
      </x:c>
      <x:c r="D898" s="68" t="str">
        <x:v>NG6 BAO TRAN</x:v>
      </x:c>
      <x:c r="E898" s="68" t="str">
        <x:v>X</x:v>
      </x:c>
      <x:c r="F898" s="68" t="str">
        <x:v>29/08/201 1</x:v>
      </x:c>
      <x:c r="G898" s="68" t="str">
        <x:v>Kinh</x:v>
      </x:c>
      <x:c r="H898" s="68" t="str">
        <x:v>xa H6ng Dan</x:v>
      </x:c>
      <x:c r="I898" s="68" t="str">
        <x:v>THCS Phua Long</x:v>
      </x:c>
      <x:c r="J898" s="68" t="str">
        <x:v>Xa Phu6c Long</x:v>
      </x:c>
      <x:c r="K898" s="68" t="str">
        <x:v>23.3</x:v>
      </x:c>
      <x:c r="L898" s="68" t="str">
        <x:v>28</x:v>
      </x:c>
      <x:c r="M898" s="68" t="str"/>
      <x:c r="N898" s="68" t="str"/>
      <x:c r="O898" s="68" t="str">
        <x:v>51.3</x:v>
      </x:c>
      <x:c r="P898" s="68" t="str"/>
    </x:row>
    <x:row r="899">
      <x:c r="A899" s="106" t="n">
        <x:v>27</x:v>
      </x:c>
      <x:c r="B899" s="106" t="str">
        <x:v>898</x:v>
      </x:c>
      <x:c r="C899" s="167" t="str">
        <x:f>"09521 10065 16"</x:f>
        <x:v>09521 10065 16</x:v>
      </x:c>
      <x:c r="D899" s="68" t="str">
        <x:v>L£ HOANG GLA BAO</x:v>
      </x:c>
      <x:c r="E899" s="68" t="str"/>
      <x:c r="F899" s="68" t="str">
        <x:v>25/1 1/2011</x:v>
      </x:c>
      <x:c r="G899" s="68" t="str">
        <x:v>Kinh</x:v>
      </x:c>
      <x:c r="H899" s="68" t="str">
        <x:v>Xa Wnh phudc</x:v>
      </x:c>
      <x:c r="I899" s="68" t="str">
        <x:v>THCS Vinh Pha Tay</x:v>
      </x:c>
      <x:c r="J899" s="68" t="str">
        <x:v>Xa Wnh Phudc</x:v>
      </x:c>
      <x:c r="K899" s="68" t="str">
        <x:v>23.3</x:v>
      </x:c>
      <x:c r="L899" s="68" t="str">
        <x:v>28</x:v>
      </x:c>
      <x:c r="M899" s="68" t="str"/>
      <x:c r="N899" s="68" t="str"/>
      <x:c r="O899" s="68" t="str">
        <x:v>51.3</x:v>
      </x:c>
      <x:c r="P899" s="68" t="str"/>
    </x:row>
    <x:row r="900">
      <x:c r="A900" s="106" t="n">
        <x:v>27</x:v>
      </x:c>
      <x:c r="B900" s="106" t="str">
        <x:v>899</x:v>
      </x:c>
      <x:c r="C900" s="167" t="str">
        <x:f>"095311008806"</x:f>
        <x:v>095311008806</x:v>
      </x:c>
      <x:c r="D900" s="68" t="str">
        <x:v>MAI cAM TO</x:v>
      </x:c>
      <x:c r="E900" s="68" t="str">
        <x:v>X</x:v>
      </x:c>
      <x:c r="F900" s="68" t="str">
        <x:v>30/03/2011</x:v>
      </x:c>
      <x:c r="G900" s="68" t="str">
        <x:v>Kinh</x:v>
      </x:c>
      <x:c r="H900" s="68" t="str">
        <x:v>Xa Phu6c Long</x:v>
      </x:c>
      <x:c r="I900" s="68" t="str">
        <x:v>THCS Phudc Long</x:v>
      </x:c>
      <x:c r="J900" s="68" t="str">
        <x:v>Xa Phudc Long</x:v>
      </x:c>
      <x:c r="K900" s="68" t="str">
        <x:v>24.2</x:v>
      </x:c>
      <x:c r="L900" s="68" t="str">
        <x:v>27</x:v>
      </x:c>
      <x:c r="M900" s="68" t="str"/>
      <x:c r="N900" s="68" t="str"/>
      <x:c r="O900" s="68" t="str">
        <x:v>51.2</x:v>
      </x:c>
      <x:c r="P900" s="68" t="str"/>
    </x:row>
    <x:row r="901">
      <x:c r="A901" s="106" t="n">
        <x:v>27</x:v>
      </x:c>
      <x:c r="B901" s="106" t="str">
        <x:v>900</x:v>
      </x:c>
      <x:c r="C901" s="167" t="str">
        <x:f>"095211006361"</x:f>
        <x:v>095211006361</x:v>
      </x:c>
      <x:c r="D901" s="68" t="str">
        <x:v>Lt DU'aNG HUY</x:v>
      </x:c>
      <x:c r="E901" s="68" t="str"/>
      <x:c r="F901" s="68" t="str">
        <x:v>09/10/2011</x:v>
      </x:c>
      <x:c r="G901" s="68" t="str">
        <x:v>Kinh</x:v>
      </x:c>
      <x:c r="H901" s="68" t="str">
        <x:v>Xa Vinh Thanh</x:v>
      </x:c>
      <x:c r="I901" s="68" t="str">
        <x:v>THCS Hung Phd</x:v>
      </x:c>
      <x:c r="J901" s="68" t="str">
        <x:v>Xa Vinh Thailh</x:v>
      </x:c>
      <x:c r="K901" s="68" t="str">
        <x:v>23.2</x:v>
      </x:c>
      <x:c r="L901" s="68" t="str">
        <x:v>28</x:v>
      </x:c>
      <x:c r="M901" s="68" t="str"/>
      <x:c r="N901" s="68" t="str"/>
      <x:c r="O901" s="68" t="str">
        <x:v>51.2</x:v>
      </x:c>
      <x:c r="P901" s="68" t="str"/>
    </x:row>
    <x:row r="902">
      <x:c r="A902" s="106" t="n">
        <x:v>27</x:v>
      </x:c>
      <x:c r="B902" s="106" t="str">
        <x:v>901</x:v>
      </x:c>
      <x:c r="C902" s="167" t="str">
        <x:f>"09521 1003008"</x:f>
        <x:v>09521 1003008</x:v>
      </x:c>
      <x:c r="D902" s="68" t="str">
        <x:v>TRAN Qu6C ANH</x:v>
      </x:c>
      <x:c r="E902" s="68" t="str"/>
      <x:c r="F902" s="68" t="str">
        <x:v>24/03/201 1</x:v>
      </x:c>
      <x:c r="G902" s="68" t="str">
        <x:v>Kinh</x:v>
      </x:c>
      <x:c r="H902" s="68" t="str">
        <x:v>Xa Phudc Long</x:v>
      </x:c>
      <x:c r="I902" s="68" t="str">
        <x:v>THCS Phua Long</x:v>
      </x:c>
      <x:c r="J902" s="68" t="str">
        <x:v>Xa Phu6c Long</x:v>
      </x:c>
      <x:c r="K902" s="68" t="str">
        <x:v>24.6</x:v>
      </x:c>
      <x:c r="L902" s="68" t="str">
        <x:v>26</x:v>
      </x:c>
      <x:c r="M902" s="68" t="str"/>
      <x:c r="N902" s="68" t="str">
        <x:v>0.5</x:v>
      </x:c>
      <x:c r="O902" s="68" t="str">
        <x:v>51.1</x:v>
      </x:c>
      <x:c r="P902" s="68" t="str"/>
    </x:row>
    <x:row r="903">
      <x:c r="A903" s="106" t="n">
        <x:v>27</x:v>
      </x:c>
      <x:c r="B903" s="106" t="str">
        <x:v>902</x:v>
      </x:c>
      <x:c r="C903" s="167" t="str">
        <x:f>"095211004309"</x:f>
        <x:v>095211004309</x:v>
      </x:c>
      <x:c r="D903" s="68" t="str">
        <x:v>TRAN TRONG ANH</x:v>
      </x:c>
      <x:c r="E903" s="68" t="str"/>
      <x:c r="F903" s="68" t="str">
        <x:v>29/05/2011</x:v>
      </x:c>
      <x:c r="G903" s="68" t="str">
        <x:v>Kinh</x:v>
      </x:c>
      <x:c r="H903" s="68" t="str">
        <x:v>Xa Phu6c Long</x:v>
      </x:c>
      <x:c r="I903" s="68" t="str">
        <x:v>THCS Phudc Long</x:v>
      </x:c>
      <x:c r="J903" s="68" t="str">
        <x:v>Xa Phu6c Long</x:v>
      </x:c>
      <x:c r="K903" s="68" t="str">
        <x:v>24.1</x:v>
      </x:c>
      <x:c r="L903" s="68" t="str">
        <x:v>27</x:v>
      </x:c>
      <x:c r="M903" s="68" t="str"/>
      <x:c r="N903" s="68" t="str"/>
      <x:c r="O903" s="68" t="str">
        <x:v>51.1</x:v>
      </x:c>
      <x:c r="P903" s="68" t="str"/>
    </x:row>
    <x:row r="904">
      <x:c r="A904" s="106" t="n">
        <x:v>27</x:v>
      </x:c>
      <x:c r="B904" s="106" t="str">
        <x:v>903</x:v>
      </x:c>
      <x:c r="C904" s="167" t="str">
        <x:f>"095211010469"</x:f>
        <x:v>095211010469</x:v>
      </x:c>
      <x:c r="D904" s="68" t="str">
        <x:v>PHAN NAM KY</x:v>
      </x:c>
      <x:c r="E904" s="68" t="str"/>
      <x:c r="F904" s="68" t="str">
        <x:v>14/10/2011</x:v>
      </x:c>
      <x:c r="G904" s="68" t="str">
        <x:v>Kinh</x:v>
      </x:c>
      <x:c r="H904" s="68" t="str">
        <x:v>Xa Vinh phudc</x:v>
      </x:c>
      <x:c r="I904" s="68" t="str">
        <x:v>THCS PhMc Long</x:v>
      </x:c>
      <x:c r="J904" s="68" t="str">
        <x:v>Xa Phudc Long</x:v>
      </x:c>
      <x:c r="K904" s="68" t="str">
        <x:v>25.0</x:v>
      </x:c>
      <x:c r="L904" s="68" t="str">
        <x:v>26</x:v>
      </x:c>
      <x:c r="M904" s="68" t="str"/>
      <x:c r="N904" s="68" t="str"/>
      <x:c r="O904" s="68" t="str">
        <x:v>51.0</x:v>
      </x:c>
      <x:c r="P904" s="68" t="str"/>
    </x:row>
    <x:row r="905">
      <x:c r="A905" s="106" t="n">
        <x:v>27</x:v>
      </x:c>
      <x:c r="B905" s="106" t="str">
        <x:v>904</x:v>
      </x:c>
      <x:c r="C905" s="167" t="str">
        <x:f>"0952 1 1003493"</x:f>
        <x:v>0952 1 1003493</x:v>
      </x:c>
      <x:c r="D905" s="68" t="str">
        <x:v>DANH NGUYEN HOANG FrLIY</x:v>
      </x:c>
      <x:c r="E905" s="68" t="str"/>
      <x:c r="F905" s="68" t="str">
        <x:v>15/10/201 1</x:v>
      </x:c>
      <x:c r="G905" s="68" t="str">
        <x:v>Khmerl</x:v>
      </x:c>
      <x:c r="H905" s="68" t="str">
        <x:v>Xa Wnh Phudc</x:v>
      </x:c>
      <x:c r="I905" s="68" t="str">
        <x:v>THCS Wnh Pha Tay</x:v>
      </x:c>
      <x:c r="J905" s="68" t="str">
        <x:v>Xa Vinh Phudc</x:v>
      </x:c>
      <x:c r="K905" s="68" t="str">
        <x:v>22.9</x:v>
      </x:c>
      <x:c r="L905" s="68" t="str">
        <x:v>27</x:v>
      </x:c>
      <x:c r="M905" s="68" t="str">
        <x:v>1.0</x:v>
      </x:c>
      <x:c r="N905" s="68" t="str"/>
      <x:c r="O905" s="68" t="str">
        <x:v>50.9</x:v>
      </x:c>
      <x:c r="P905" s="68" t="str"/>
    </x:row>
    <x:row r="906">
      <x:c r="A906" s="106" t="n">
        <x:v>27</x:v>
      </x:c>
      <x:c r="B906" s="106" t="str">
        <x:v>905</x:v>
      </x:c>
      <x:c r="C906" s="167" t="str">
        <x:f>"0953 1 1006392"</x:f>
        <x:v>0953 1 1006392</x:v>
      </x:c>
      <x:c r="D906" s="68" t="str">
        <x:v>NGUYEN NGHI HAN</x:v>
      </x:c>
      <x:c r="E906" s="68" t="str">
        <x:v>X</x:v>
      </x:c>
      <x:c r="F906" s="68" t="str">
        <x:v>28/1 1/2011</x:v>
      </x:c>
      <x:c r="G906" s="68" t="str">
        <x:v>Kinh</x:v>
      </x:c>
      <x:c r="H906" s="68" t="str">
        <x:v>Xa Phu6c Long</x:v>
      </x:c>
      <x:c r="I906" s="68" t="str">
        <x:v>THCS Phudc Long</x:v>
      </x:c>
      <x:c r="J906" s="68" t="str">
        <x:v>Xa Phu6c Long</x:v>
      </x:c>
      <x:c r="K906" s="68" t="str">
        <x:v>23.8</x:v>
      </x:c>
      <x:c r="L906" s="68" t="str">
        <x:v>27</x:v>
      </x:c>
      <x:c r="M906" s="68" t="str"/>
      <x:c r="N906" s="68" t="str"/>
      <x:c r="O906" s="68" t="str">
        <x:v>50.8</x:v>
      </x:c>
      <x:c r="P906" s="68" t="str"/>
    </x:row>
    <x:row r="907">
      <x:c r="A907" s="106" t="n">
        <x:v>27</x:v>
      </x:c>
      <x:c r="B907" s="106" t="str">
        <x:v>906</x:v>
      </x:c>
      <x:c r="C907" s="167" t="str">
        <x:f>"095211008 178"</x:f>
        <x:v>095211008 178</x:v>
      </x:c>
      <x:c r="D907" s="68" t="str">
        <x:v>Li THANH NGUYEN</x:v>
      </x:c>
      <x:c r="E907" s="68" t="str"/>
      <x:c r="F907" s="68" t="str">
        <x:v>15/02/201 1</x:v>
      </x:c>
      <x:c r="G907" s="68" t="str">
        <x:v>Kinh</x:v>
      </x:c>
      <x:c r="H907" s="68" t="str">
        <x:v>Xa Phu6c Long</x:v>
      </x:c>
      <x:c r="I907" s="68" t="str">
        <x:v>THCS Phudc Long</x:v>
      </x:c>
      <x:c r="J907" s="68" t="str">
        <x:v>Xa Phua Long</x:v>
      </x:c>
      <x:c r="K907" s="68" t="str">
        <x:v>25.8</x:v>
      </x:c>
      <x:c r="L907" s="68" t="str">
        <x:v>25</x:v>
      </x:c>
      <x:c r="M907" s="68" t="str"/>
      <x:c r="N907" s="68" t="str"/>
      <x:c r="O907" s="68" t="str">
        <x:v>50.8</x:v>
      </x:c>
      <x:c r="P907" s="68" t="str"/>
    </x:row>
    <x:row r="908">
      <x:c r="A908" s="106" t="n">
        <x:v>27</x:v>
      </x:c>
      <x:c r="B908" s="106" t="str">
        <x:v>907</x:v>
      </x:c>
      <x:c r="C908" s="167" t="str">
        <x:f>"09521000253 1"</x:f>
        <x:v>09521000253 1</x:v>
      </x:c>
      <x:c r="D908" s="68" t="str">
        <x:v>TRUONG MnNH TUAN</x:v>
      </x:c>
      <x:c r="E908" s="68" t="str"/>
      <x:c r="F908" s="68" t="str">
        <x:v>15/11/2010</x:v>
      </x:c>
      <x:c r="G908" s="68" t="str">
        <x:v>Kinh</x:v>
      </x:c>
      <x:c r="H908" s="68" t="str">
        <x:v>Xa Phudc Long</x:v>
      </x:c>
      <x:c r="I908" s="68" t="str">
        <x:v>THCS Phu6Q Long</x:v>
      </x:c>
      <x:c r="J908" s="68" t="str">
        <x:v>Xa Phu6c Long</x:v>
      </x:c>
      <x:c r="K908" s="68" t="str">
        <x:v>23.7</x:v>
      </x:c>
      <x:c r="L908" s="68" t="str">
        <x:v>27</x:v>
      </x:c>
      <x:c r="M908" s="68" t="str"/>
      <x:c r="N908" s="68" t="str"/>
      <x:c r="O908" s="68" t="str">
        <x:v>50.7</x:v>
      </x:c>
      <x:c r="P908" s="68" t="str"/>
    </x:row>
    <x:row r="909">
      <x:c r="A909" s="106" t="n">
        <x:v>27</x:v>
      </x:c>
      <x:c r="B909" s="106" t="str">
        <x:v>908</x:v>
      </x:c>
      <x:c r="C909" s="167" t="str">
        <x:f>"09521 1001727"</x:f>
        <x:v>09521 1001727</x:v>
      </x:c>
      <x:c r="D909" s="68" t="str">
        <x:v>NGUYEN MINH NHUT</x:v>
      </x:c>
      <x:c r="E909" s="68" t="str"/>
      <x:c r="F909" s="68" t="str">
        <x:v>30/10/201 1</x:v>
      </x:c>
      <x:c r="G909" s="68" t="str">
        <x:v>Kinh</x:v>
      </x:c>
      <x:c r="H909" s="68" t="str">
        <x:v>Xa Phu6c Long</x:v>
      </x:c>
      <x:c r="I909" s="68" t="str">
        <x:v>THCS Phu6c Long</x:v>
      </x:c>
      <x:c r="J909" s="68" t="str">
        <x:v>Xa Phu6c Long</x:v>
      </x:c>
      <x:c r="K909" s="68" t="str">
        <x:v>25.7</x:v>
      </x:c>
      <x:c r="L909" s="68" t="str">
        <x:v>25</x:v>
      </x:c>
      <x:c r="M909" s="68" t="str"/>
      <x:c r="N909" s="68" t="str"/>
      <x:c r="O909" s="68" t="str">
        <x:v>50.7</x:v>
      </x:c>
      <x:c r="P909" s="68" t="str"/>
    </x:row>
    <x:row r="910">
      <x:c r="A910" s="106" t="n">
        <x:v>27</x:v>
      </x:c>
      <x:c r="B910" s="106" t="str">
        <x:v>909</x:v>
      </x:c>
      <x:c r="C910" s="167" t="str">
        <x:f>"09521 1009444"</x:f>
        <x:v>09521 1009444</x:v>
      </x:c>
      <x:c r="D910" s="68" t="str">
        <x:v>T6 ANH KH61</x:v>
      </x:c>
      <x:c r="E910" s="68" t="str"/>
      <x:c r="F910" s="68" t="str">
        <x:v>13/06/201 1</x:v>
      </x:c>
      <x:c r="G910" s="68" t="str">
        <x:v>Kinh</x:v>
      </x:c>
      <x:c r="H910" s="68" t="str">
        <x:v>Xa Phudc Long</x:v>
      </x:c>
      <x:c r="I910" s="68" t="str">
        <x:v>THCS Vuang Hnu Nhan</x:v>
      </x:c>
      <x:c r="J910" s="68" t="str">
        <x:v>Xa Phu6c Long</x:v>
      </x:c>
      <x:c r="K910" s="68" t="str">
        <x:v>22.7</x:v>
      </x:c>
      <x:c r="L910" s="68" t="str">
        <x:v>28</x:v>
      </x:c>
      <x:c r="M910" s="68" t="str"/>
      <x:c r="N910" s="68" t="str"/>
      <x:c r="O910" s="68" t="str">
        <x:v>50.7</x:v>
      </x:c>
      <x:c r="P910" s="68" t="str"/>
    </x:row>
    <x:row r="911">
      <x:c r="A911" s="106" t="n">
        <x:v>27</x:v>
      </x:c>
      <x:c r="B911" s="106" t="str">
        <x:v>910</x:v>
      </x:c>
      <x:c r="C911" s="167" t="str">
        <x:f>"095211009815"</x:f>
        <x:v>095211009815</x:v>
      </x:c>
      <x:c r="D911" s="68" t="str">
        <x:v>LAM THaN BAO</x:v>
      </x:c>
      <x:c r="E911" s="68" t="str"/>
      <x:c r="F911" s="68" t="str">
        <x:v>14/08/2011</x:v>
      </x:c>
      <x:c r="G911" s="68" t="str">
        <x:v>Kinh</x:v>
      </x:c>
      <x:c r="H911" s="68" t="str">
        <x:v>Xa Phu6c Long</x:v>
      </x:c>
      <x:c r="I911" s="68" t="str">
        <x:v>THCS Vuong Hfru Nhan</x:v>
      </x:c>
      <x:c r="J911" s="68" t="str">
        <x:v>Xa Phu6c Long</x:v>
      </x:c>
      <x:c r="K911" s="68" t="str">
        <x:v>22.6</x:v>
      </x:c>
      <x:c r="L911" s="68" t="str">
        <x:v>28</x:v>
      </x:c>
      <x:c r="M911" s="68" t="str"/>
      <x:c r="N911" s="68" t="str"/>
      <x:c r="O911" s="68" t="str">
        <x:v>50.6</x:v>
      </x:c>
      <x:c r="P911" s="68" t="str"/>
    </x:row>
    <x:row r="912">
      <x:c r="A912" s="106" t="n">
        <x:v>27</x:v>
      </x:c>
      <x:c r="B912" s="106" t="str">
        <x:v>911</x:v>
      </x:c>
      <x:c r="C912" s="167" t="str">
        <x:f>"095211007476"</x:f>
        <x:v>095211007476</x:v>
      </x:c>
      <x:c r="D912" s="68" t="str">
        <x:v>TRAN CHi T6N</x:v>
      </x:c>
      <x:c r="E912" s="68" t="str"/>
      <x:c r="F912" s="68" t="str">
        <x:v>30/08/201 1</x:v>
      </x:c>
      <x:c r="G912" s="68" t="str">
        <x:v>Kinh</x:v>
      </x:c>
      <x:c r="H912" s="68" t="str">
        <x:v>Xa Vmh Tbanh</x:v>
      </x:c>
      <x:c r="I912" s="68" t="str">
        <x:v>THCS Hung Pha</x:v>
      </x:c>
      <x:c r="J912" s="68" t="str">
        <x:v>Xa Wnh Thanh</x:v>
      </x:c>
      <x:c r="K912" s="68" t="str">
        <x:v>23.6</x:v>
      </x:c>
      <x:c r="L912" s="68" t="str">
        <x:v>27</x:v>
      </x:c>
      <x:c r="M912" s="68" t="str"/>
      <x:c r="N912" s="68" t="str"/>
      <x:c r="O912" s="68" t="str">
        <x:v>50.6</x:v>
      </x:c>
      <x:c r="P912" s="68" t="str"/>
    </x:row>
    <x:row r="913">
      <x:c r="A913" s="106" t="n">
        <x:v>27</x:v>
      </x:c>
      <x:c r="B913" s="106" t="str">
        <x:v>912</x:v>
      </x:c>
      <x:c r="C913" s="167" t="str">
        <x:f>"09521 1002067"</x:f>
        <x:v>09521 1002067</x:v>
      </x:c>
      <x:c r="D913" s="68" t="str">
        <x:v>Li DUY KHANH</x:v>
      </x:c>
      <x:c r="E913" s="68" t="str"/>
      <x:c r="F913" s="68" t="str">
        <x:v>30/09/201 1</x:v>
      </x:c>
      <x:c r="G913" s="68" t="str">
        <x:v>Kinh</x:v>
      </x:c>
      <x:c r="H913" s="68" t="str">
        <x:v>Xa Vinh Phu6c</x:v>
      </x:c>
      <x:c r="I913" s="68" t="str">
        <x:v>THCS Phu6c Long</x:v>
      </x:c>
      <x:c r="J913" s="68" t="str">
        <x:v>Xa Phudc Long</x:v>
      </x:c>
      <x:c r="K913" s="68" t="str">
        <x:v>23.5</x:v>
      </x:c>
      <x:c r="L913" s="68" t="str">
        <x:v>26</x:v>
      </x:c>
      <x:c r="M913" s="68" t="str">
        <x:v>1.0</x:v>
      </x:c>
      <x:c r="N913" s="68" t="str"/>
      <x:c r="O913" s="68" t="str">
        <x:v>50.5</x:v>
      </x:c>
      <x:c r="P913" s="68" t="str"/>
    </x:row>
    <x:row r="914">
      <x:c r="A914" s="106" t="n">
        <x:v>28</x:v>
      </x:c>
      <x:c r="B914" s="106" t="str">
        <x:v>913</x:v>
      </x:c>
      <x:c r="C914" s="167" t="str">
        <x:f>"09521 1009754"</x:f>
        <x:v>09521 1009754</x:v>
      </x:c>
      <x:c r="D914" s="68" t="str">
        <x:v>DANH TUAN KHANG</x:v>
      </x:c>
      <x:c r="E914" s="68" t="str"/>
      <x:c r="F914" s="68" t="str">
        <x:v>05/09/2011</x:v>
      </x:c>
      <x:c r="G914" s="68" t="str">
        <x:v>Khmer I</x:v>
      </x:c>
      <x:c r="H914" s="68" t="str">
        <x:v>Xa Phu a Long</x:v>
      </x:c>
      <x:c r="I914" s="68" t="str">
        <x:v>THCS Phudc Long</x:v>
      </x:c>
      <x:c r="J914" s="68" t="str">
        <x:v>Xa Phudc Long</x:v>
      </x:c>
      <x:c r="K914" s="68" t="str">
        <x:v>22,4</x:v>
      </x:c>
      <x:c r="L914" s="68" t="str">
        <x:v>27</x:v>
      </x:c>
      <x:c r="M914" s="68" t="str">
        <x:v>1.0</x:v>
      </x:c>
      <x:c r="N914" s="68" t="str"/>
      <x:c r="O914" s="68" t="str">
        <x:v>50.4</x:v>
      </x:c>
      <x:c r="P914" s="68" t="str"/>
    </x:row>
    <x:row r="915">
      <x:c r="A915" s="106" t="n">
        <x:v>28</x:v>
      </x:c>
      <x:c r="B915" s="106" t="str">
        <x:v>914</x:v>
      </x:c>
      <x:c r="C915" s="167" t="str">
        <x:f>"0952 1 1004880"</x:f>
        <x:v>0952 1 1004880</x:v>
      </x:c>
      <x:c r="D915" s="68" t="str">
        <x:v>LE HAI DANG</x:v>
      </x:c>
      <x:c r="E915" s="68" t="str"/>
      <x:c r="F915" s="68" t="str">
        <x:v>03/01/201 1</x:v>
      </x:c>
      <x:c r="G915" s="68" t="str">
        <x:v>Kinh</x:v>
      </x:c>
      <x:c r="H915" s="68" t="str">
        <x:v>Xa Wnh phu6c</x:v>
      </x:c>
      <x:c r="I915" s="68" t="str">
        <x:v>THCS VTnh Pha Tay</x:v>
      </x:c>
      <x:c r="J915" s="68" t="str">
        <x:v>Xa VTnh Phu6c</x:v>
      </x:c>
      <x:c r="K915" s="68" t="str">
        <x:v>23.2</x:v>
      </x:c>
      <x:c r="L915" s="68" t="str">
        <x:v>27</x:v>
      </x:c>
      <x:c r="M915" s="68" t="str"/>
      <x:c r="N915" s="68" t="str"/>
      <x:c r="O915" s="68" t="str">
        <x:v>50.2</x:v>
      </x:c>
      <x:c r="P915" s="68" t="str"/>
    </x:row>
    <x:row r="916">
      <x:c r="A916" s="106" t="n">
        <x:v>28</x:v>
      </x:c>
      <x:c r="B916" s="106" t="str">
        <x:v>915</x:v>
      </x:c>
      <x:c r="C916" s="167" t="str">
        <x:f>"095210008082"</x:f>
        <x:v>095210008082</x:v>
      </x:c>
      <x:c r="D916" s="68" t="str">
        <x:v>NGUY£N CHAN PHONG</x:v>
      </x:c>
      <x:c r="E916" s="68" t="str"/>
      <x:c r="F916" s="68" t="str">
        <x:v>22/11/2010</x:v>
      </x:c>
      <x:c r="G916" s="68" t="str">
        <x:v>Kinh</x:v>
      </x:c>
      <x:c r="H916" s="68" t="str">
        <x:v>Xa Phu6c Long</x:v>
      </x:c>
      <x:c r="I916" s="68" t="str">
        <x:v>THCS Phu6c Long</x:v>
      </x:c>
      <x:c r="J916" s="68" t="str">
        <x:v>Xa Phu6c Long</x:v>
      </x:c>
      <x:c r="K916" s="68" t="str">
        <x:v>24, 1</x:v>
      </x:c>
      <x:c r="L916" s="68" t="str">
        <x:v>26</x:v>
      </x:c>
      <x:c r="M916" s="68" t="str"/>
      <x:c r="N916" s="68" t="str"/>
      <x:c r="O916" s="68" t="str">
        <x:v>50. 1</x:v>
      </x:c>
      <x:c r="P916" s="68" t="str"/>
    </x:row>
    <x:row r="917">
      <x:c r="A917" s="106" t="n">
        <x:v>28</x:v>
      </x:c>
      <x:c r="B917" s="106" t="str">
        <x:v>916</x:v>
      </x:c>
      <x:c r="C917" s="167" t="str">
        <x:f>"09521 1004844"</x:f>
        <x:v>09521 1004844</x:v>
      </x:c>
      <x:c r="D917" s="68" t="str">
        <x:v>NG6 N©NH KH61</x:v>
      </x:c>
      <x:c r="E917" s="68" t="str"/>
      <x:c r="F917" s="68" t="str">
        <x:v>27/09/2011</x:v>
      </x:c>
      <x:c r="G917" s="68" t="str">
        <x:v>Kinh</x:v>
      </x:c>
      <x:c r="H917" s="68" t="str">
        <x:v>Xa Phu6c Long</x:v>
      </x:c>
      <x:c r="I917" s="68" t="str">
        <x:v>THCS Phu6c Long</x:v>
      </x:c>
      <x:c r="J917" s="68" t="str">
        <x:v>Xa Phu6c Long</x:v>
      </x:c>
      <x:c r="K917" s="68" t="str">
        <x:v>22. 1</x:v>
      </x:c>
      <x:c r="L917" s="68" t="str">
        <x:v>28</x:v>
      </x:c>
      <x:c r="M917" s="68" t="str"/>
      <x:c r="N917" s="68" t="str"/>
      <x:c r="O917" s="68" t="str">
        <x:v>50.1</x:v>
      </x:c>
      <x:c r="P917" s="68" t="str"/>
    </x:row>
    <x:row r="918">
      <x:c r="A918" s="106" t="n">
        <x:v>28</x:v>
      </x:c>
      <x:c r="B918" s="106" t="str">
        <x:v>917</x:v>
      </x:c>
      <x:c r="C918" s="167" t="str">
        <x:f>"0953 1 1007017"</x:f>
        <x:v>0953 1 1007017</x:v>
      </x:c>
      <x:c r="D918" s="68" t="str">
        <x:v>UUtNH THI NHa t</x:v>
      </x:c>
      <x:c r="E918" s="68" t="str">
        <x:v>X</x:v>
      </x:c>
      <x:c r="F918" s="68" t="str">
        <x:v>20/04/2011</x:v>
      </x:c>
      <x:c r="G918" s="68" t="str">
        <x:v>Kinh</x:v>
      </x:c>
      <x:c r="H918" s="68" t="str">
        <x:v>Xa Phu6c Long</x:v>
      </x:c>
      <x:c r="I918" s="68" t="str">
        <x:v>THCS Phudc Long</x:v>
      </x:c>
      <x:c r="J918" s="68" t="str">
        <x:v>Xa Phu6c Long</x:v>
      </x:c>
      <x:c r="K918" s="68" t="str">
        <x:v>23.1</x:v>
      </x:c>
      <x:c r="L918" s="68" t="str">
        <x:v>27</x:v>
      </x:c>
      <x:c r="M918" s="68" t="str"/>
      <x:c r="N918" s="68" t="str"/>
      <x:c r="O918" s="68" t="str">
        <x:v>50. 1</x:v>
      </x:c>
      <x:c r="P918" s="68" t="str"/>
    </x:row>
    <x:row r="919">
      <x:c r="A919" s="106" t="n">
        <x:v>28</x:v>
      </x:c>
      <x:c r="B919" s="106" t="str">
        <x:v>918</x:v>
      </x:c>
      <x:c r="C919" s="167" t="str">
        <x:f>"09531 1001354"</x:f>
        <x:v>09531 1001354</x:v>
      </x:c>
      <x:c r="D919" s="68" t="str">
        <x:v>DUONG hrt xuAN</x:v>
      </x:c>
      <x:c r="E919" s="68" t="str">
        <x:v>X</x:v>
      </x:c>
      <x:c r="F919" s="68" t="str">
        <x:v>14/1 1/2011</x:v>
      </x:c>
      <x:c r="G919" s="68" t="str">
        <x:v>Kinh</x:v>
      </x:c>
      <x:c r="H919" s="68" t="str">
        <x:v>Xa Phu6c Long</x:v>
      </x:c>
      <x:c r="I919" s="68" t="str">
        <x:v>THCS Phu6c Long</x:v>
      </x:c>
      <x:c r="J919" s="68" t="str">
        <x:v>Xa Phudc Long</x:v>
      </x:c>
      <x:c r="K919" s="68" t="str">
        <x:v>23.0</x:v>
      </x:c>
      <x:c r="L919" s="68" t="str">
        <x:v>27</x:v>
      </x:c>
      <x:c r="M919" s="68" t="str"/>
      <x:c r="N919" s="68" t="str"/>
      <x:c r="O919" s="68" t="str">
        <x:v>50.0</x:v>
      </x:c>
      <x:c r="P919" s="68" t="str"/>
    </x:row>
    <x:row r="920">
      <x:c r="A920" s="106" t="n">
        <x:v>28</x:v>
      </x:c>
      <x:c r="B920" s="106" t="str">
        <x:v>919</x:v>
      </x:c>
      <x:c r="C920" s="167" t="str">
        <x:f>"095211008488"</x:f>
        <x:v>095211008488</x:v>
      </x:c>
      <x:c r="D920" s="68" t="str">
        <x:v>NG6 THEEN BAO</x:v>
      </x:c>
      <x:c r="E920" s="68" t="str"/>
      <x:c r="F920" s="68" t="str">
        <x:v>09/1 1/2011</x:v>
      </x:c>
      <x:c r="G920" s="68" t="str">
        <x:v>Kinh</x:v>
      </x:c>
      <x:c r="H920" s="68" t="str">
        <x:v>Xa Phu6c Long</x:v>
      </x:c>
      <x:c r="I920" s="68" t="str">
        <x:v>THCS Phudc Long</x:v>
      </x:c>
      <x:c r="J920" s="68" t="str">
        <x:v>Xa Phu6c Long</x:v>
      </x:c>
      <x:c r="K920" s="68" t="str">
        <x:v>24.0</x:v>
      </x:c>
      <x:c r="L920" s="68" t="str">
        <x:v>26</x:v>
      </x:c>
      <x:c r="M920" s="68" t="str"/>
      <x:c r="N920" s="68" t="str"/>
      <x:c r="O920" s="68" t="str">
        <x:v>50.0</x:v>
      </x:c>
      <x:c r="P920" s="68" t="str"/>
    </x:row>
    <x:row r="921">
      <x:c r="A921" s="106" t="n">
        <x:v>28</x:v>
      </x:c>
      <x:c r="B921" s="106" t="str">
        <x:v>920</x:v>
      </x:c>
      <x:c r="C921" s="167" t="str">
        <x:f>"095211009134"</x:f>
        <x:v>095211009134</x:v>
      </x:c>
      <x:c r="D921" s="68" t="str">
        <x:v>TRAN TRQNG NGUY£N</x:v>
      </x:c>
      <x:c r="E921" s="68" t="str"/>
      <x:c r="F921" s="68" t="str">
        <x:v>14/12/2011</x:v>
      </x:c>
      <x:c r="G921" s="68" t="str">
        <x:v>Kinh</x:v>
      </x:c>
      <x:c r="H921" s="68" t="str">
        <x:v>Xa Phu a Long</x:v>
      </x:c>
      <x:c r="I921" s="68" t="str">
        <x:v>THCS Phudc Long</x:v>
      </x:c>
      <x:c r="J921" s="68" t="str">
        <x:v>Xa Phu6c Long</x:v>
      </x:c>
      <x:c r="K921" s="68" t="str">
        <x:v>22.4</x:v>
      </x:c>
      <x:c r="L921" s="68" t="str">
        <x:v>27</x:v>
      </x:c>
      <x:c r="M921" s="68" t="str"/>
      <x:c r="N921" s="68" t="str"/>
      <x:c r="O921" s="68" t="str">
        <x:v>49.4</x:v>
      </x:c>
      <x:c r="P921" s="68" t="str"/>
    </x:row>
    <x:row r="922">
      <x:c r="A922" s="106" t="n">
        <x:v>28</x:v>
      </x:c>
      <x:c r="B922" s="106" t="str">
        <x:v>921</x:v>
      </x:c>
      <x:c r="C922" s="167" t="str">
        <x:f>"095310002634"</x:f>
        <x:v>095310002634</x:v>
      </x:c>
      <x:c r="D922" s="68" t="str">
        <x:v>NGUY£N KIM DOAN</x:v>
      </x:c>
      <x:c r="E922" s="68" t="str">
        <x:v>X</x:v>
      </x:c>
      <x:c r="F922" s="68" t="str">
        <x:v>28/10/2010</x:v>
      </x:c>
      <x:c r="G922" s="68" t="str">
        <x:v>Kinh</x:v>
      </x:c>
      <x:c r="H922" s="68" t="str">
        <x:v>Xa Phudc Long</x:v>
      </x:c>
      <x:c r="I922" s="68" t="str">
        <x:v>THCS Phudc Long</x:v>
      </x:c>
      <x:c r="J922" s="68" t="str">
        <x:v>Xa Phudc Long</x:v>
      </x:c>
      <x:c r="K922" s="68" t="str">
        <x:v>25.1</x:v>
      </x:c>
      <x:c r="L922" s="68" t="str">
        <x:v>24</x:v>
      </x:c>
      <x:c r="M922" s="68" t="str"/>
      <x:c r="N922" s="68" t="str"/>
      <x:c r="O922" s="68" t="str">
        <x:v>49.1</x:v>
      </x:c>
      <x:c r="P922" s="68" t="str"/>
    </x:row>
    <x:row r="923">
      <x:c r="A923" s="106" t="n">
        <x:v>28</x:v>
      </x:c>
      <x:c r="B923" s="106" t="str">
        <x:v>922</x:v>
      </x:c>
      <x:c r="C923" s="167" t="str">
        <x:f>"095210004829"</x:f>
        <x:v>095210004829</x:v>
      </x:c>
      <x:c r="D923" s="68" t="str">
        <x:v>DU'aNG TtNH AN</x:v>
      </x:c>
      <x:c r="E923" s="68" t="str"/>
      <x:c r="F923" s="68" t="str">
        <x:v>24/1 1/2010</x:v>
      </x:c>
      <x:c r="G923" s="68" t="str">
        <x:v>Kinh</x:v>
      </x:c>
      <x:c r="H923" s="68" t="str">
        <x:v>Xa Phu6c Long</x:v>
      </x:c>
      <x:c r="I923" s="68" t="str">
        <x:v>THCS Phudc Long .</x:v>
      </x:c>
      <x:c r="J923" s="68" t="str">
        <x:v>Xa Phu6c Long</x:v>
      </x:c>
      <x:c r="K923" s="68" t="str">
        <x:v>23.0</x:v>
      </x:c>
      <x:c r="L923" s="68" t="str">
        <x:v>26</x:v>
      </x:c>
      <x:c r="M923" s="68" t="str"/>
      <x:c r="N923" s="68" t="str"/>
      <x:c r="O923" s="68" t="str">
        <x:v>49.0</x:v>
      </x:c>
      <x:c r="P923" s="68" t="str"/>
    </x:row>
    <x:row r="924">
      <x:c r="A924" s="106" t="n">
        <x:v>28</x:v>
      </x:c>
      <x:c r="B924" s="106" t="str">
        <x:v>923</x:v>
      </x:c>
      <x:c r="C924" s="167" t="str">
        <x:f>"09521 1 007791"</x:f>
        <x:v>09521 1 007791</x:v>
      </x:c>
      <x:c r="D924" s="68" t="str">
        <x:v>NGUY£N HUNG THrNH</x:v>
      </x:c>
      <x:c r="E924" s="68" t="str"/>
      <x:c r="F924" s="68" t="str">
        <x:v>04/02/201 1</x:v>
      </x:c>
      <x:c r="G924" s="68" t="str">
        <x:v>Kinh</x:v>
      </x:c>
      <x:c r="H924" s="68" t="str">
        <x:v>Xa Phu6c Long</x:v>
      </x:c>
      <x:c r="I924" s="68" t="str">
        <x:v>THCS Phu6c Long</x:v>
      </x:c>
      <x:c r="J924" s="68" t="str">
        <x:v>Xa Phudc Long</x:v>
      </x:c>
      <x:c r="K924" s="68" t="str">
        <x:v>22.0</x:v>
      </x:c>
      <x:c r="L924" s="68" t="str">
        <x:v>27</x:v>
      </x:c>
      <x:c r="M924" s="68" t="str"/>
      <x:c r="N924" s="68" t="str"/>
      <x:c r="O924" s="68" t="str">
        <x:v>49.0</x:v>
      </x:c>
      <x:c r="P924" s="68" t="str"/>
    </x:row>
    <x:row r="925">
      <x:c r="A925" s="106" t="n">
        <x:v>28</x:v>
      </x:c>
      <x:c r="B925" s="106" t="str">
        <x:v>924</x:v>
      </x:c>
      <x:c r="C925" s="167" t="str">
        <x:f>"09521 1007792"</x:f>
        <x:v>09521 1007792</x:v>
      </x:c>
      <x:c r="D925" s="68" t="str">
        <x:v>DANH GLA HUY</x:v>
      </x:c>
      <x:c r="E925" s="68" t="str"/>
      <x:c r="F925" s="68" t="str">
        <x:v>10/12/2011</x:v>
      </x:c>
      <x:c r="G925" s="68" t="str">
        <x:v>Khmer I</x:v>
      </x:c>
      <x:c r="H925" s="68" t="str">
        <x:v>Xa Phu6c Long</x:v>
      </x:c>
      <x:c r="I925" s="68" t="str">
        <x:v>THCS Vuang Htru Nhan</x:v>
      </x:c>
      <x:c r="J925" s="68" t="str">
        <x:v>Xa Phudc Long</x:v>
      </x:c>
      <x:c r="K925" s="68" t="str">
        <x:v>21.8</x:v>
      </x:c>
      <x:c r="L925" s="68" t="str">
        <x:v>26</x:v>
      </x:c>
      <x:c r="M925" s="68" t="str">
        <x:v>1.0</x:v>
      </x:c>
      <x:c r="N925" s="68" t="str"/>
      <x:c r="O925" s="68" t="str">
        <x:v>48.8</x:v>
      </x:c>
      <x:c r="P925" s="68" t="str"/>
    </x:row>
    <x:row r="926">
      <x:c r="A926" s="106" t="n">
        <x:v>28</x:v>
      </x:c>
      <x:c r="B926" s="106" t="str">
        <x:v>925</x:v>
      </x:c>
      <x:c r="C926" s="167" t="str">
        <x:f>"095211009074"</x:f>
        <x:v>095211009074</x:v>
      </x:c>
      <x:c r="D926" s="68" t="str">
        <x:v>TRUONG TRi NGUYEN</x:v>
      </x:c>
      <x:c r="E926" s="68" t="str"/>
      <x:c r="F926" s="68" t="str">
        <x:v>05/10/2011</x:v>
      </x:c>
      <x:c r="G926" s="68" t="str">
        <x:v>Kinh</x:v>
      </x:c>
      <x:c r="H926" s="68" t="str">
        <x:v>Xa Vmh Tllanh</x:v>
      </x:c>
      <x:c r="I926" s="68" t="str">
        <x:v>THCS Hung Phd</x:v>
      </x:c>
      <x:c r="J926" s="68" t="str">
        <x:v>Xa Vinh Thanh</x:v>
      </x:c>
      <x:c r="K926" s="68" t="str">
        <x:v>21.7</x:v>
      </x:c>
      <x:c r="L926" s="68" t="str">
        <x:v>27</x:v>
      </x:c>
      <x:c r="M926" s="68" t="str"/>
      <x:c r="N926" s="68" t="str"/>
      <x:c r="O926" s="68" t="str">
        <x:v>48.7</x:v>
      </x:c>
      <x:c r="P926" s="68" t="str"/>
    </x:row>
    <x:row r="927">
      <x:c r="A927" s="106" t="n">
        <x:v>28</x:v>
      </x:c>
      <x:c r="B927" s="106" t="str">
        <x:v>926</x:v>
      </x:c>
      <x:c r="C927" s="167" t="str">
        <x:f>"095211006269"</x:f>
        <x:v>095211006269</x:v>
      </x:c>
      <x:c r="D927" s="68" t="str">
        <x:v>L£ NHU'T LINH</x:v>
      </x:c>
      <x:c r="E927" s="68" t="str"/>
      <x:c r="F927" s="68" t="str">
        <x:v>23/03/201 1</x:v>
      </x:c>
      <x:c r="G927" s="68" t="str">
        <x:v>Kinh</x:v>
      </x:c>
      <x:c r="H927" s="68" t="str">
        <x:v>Xa Vinh phu6c</x:v>
      </x:c>
      <x:c r="I927" s="68" t="str">
        <x:v>THCS Wnh Pha Tay</x:v>
      </x:c>
      <x:c r="J927" s="68" t="str">
        <x:v>Xa VTnh Phu6c</x:v>
      </x:c>
      <x:c r="K927" s="68" t="str">
        <x:v>21.3</x:v>
      </x:c>
      <x:c r="L927" s="68" t="str">
        <x:v>26</x:v>
      </x:c>
      <x:c r="M927" s="68" t="str">
        <x:v>1 1.0 1.0</x:v>
      </x:c>
      <x:c r="N927" s="68" t="str">
        <x:v>1</x:v>
      </x:c>
      <x:c r="O927" s="68" t="str">
        <x:v>1 48.3</x:v>
      </x:c>
      <x:c r="P927" s="68" t="str"/>
    </x:row>
    <x:row r="928">
      <x:c r="A928" s="106" t="n">
        <x:v>28</x:v>
      </x:c>
      <x:c r="B928" s="106" t="str">
        <x:v>927</x:v>
      </x:c>
      <x:c r="C928" s="167" t="str">
        <x:f>"09521 1003304"</x:f>
        <x:v>09521 1003304</x:v>
      </x:c>
      <x:c r="D928" s="68" t="str">
        <x:v>NGUYEN TRQNG NGUYEN</x:v>
      </x:c>
      <x:c r="E928" s="68" t="str"/>
      <x:c r="F928" s="68" t="str">
        <x:v>29/1 1/20 11</x:v>
      </x:c>
      <x:c r="G928" s="68" t="str">
        <x:v>Kinh</x:v>
      </x:c>
      <x:c r="H928" s="68" t="str">
        <x:v>Xa Phu6c Long</x:v>
      </x:c>
      <x:c r="I928" s="68" t="str">
        <x:v>THCS Vuang H&amp;u Nhan</x:v>
      </x:c>
      <x:c r="J928" s="68" t="str">
        <x:v>Xa Phudc Long</x:v>
      </x:c>
      <x:c r="K928" s="68" t="str">
        <x:v>23.3</x:v>
      </x:c>
      <x:c r="L928" s="68" t="str">
        <x:v>25</x:v>
      </x:c>
      <x:c r="M928" s="68" t="str"/>
      <x:c r="N928" s="68" t="str"/>
      <x:c r="O928" s="68" t="str">
        <x:v>48.3</x:v>
      </x:c>
      <x:c r="P928" s="68" t="str"/>
    </x:row>
    <x:row r="929">
      <x:c r="A929" s="106" t="n">
        <x:v>28</x:v>
      </x:c>
      <x:c r="B929" s="106" t="str">
        <x:v>928</x:v>
      </x:c>
      <x:c r="C929" s="167" t="str">
        <x:f>"09521 1001079"</x:f>
        <x:v>09521 1001079</x:v>
      </x:c>
      <x:c r="D929" s="68" t="str">
        <x:v>NGUYeN HOANG KHANH</x:v>
      </x:c>
      <x:c r="E929" s="68" t="str"/>
      <x:c r="F929" s="68" t="str">
        <x:v>30/03/201 1</x:v>
      </x:c>
      <x:c r="G929" s="68" t="str">
        <x:v>Kinh</x:v>
      </x:c>
      <x:c r="H929" s="68" t="str">
        <x:v>Xa Phudc Long</x:v>
      </x:c>
      <x:c r="I929" s="68" t="str">
        <x:v>THCS Phu6c Long</x:v>
      </x:c>
      <x:c r="J929" s="68" t="str">
        <x:v>Xa Phudc Long</x:v>
      </x:c>
      <x:c r="K929" s="68" t="str">
        <x:v>23.0</x:v>
      </x:c>
      <x:c r="L929" s="68" t="str">
        <x:v>25</x:v>
      </x:c>
      <x:c r="M929" s="68" t="str"/>
      <x:c r="N929" s="68" t="str"/>
      <x:c r="O929" s="68" t="str">
        <x:v>48.0</x:v>
      </x:c>
      <x:c r="P929" s="68" t="str"/>
    </x:row>
    <x:row r="930">
      <x:c r="A930" s="106" t="n">
        <x:v>28</x:v>
      </x:c>
      <x:c r="B930" s="106" t="str">
        <x:v>929</x:v>
      </x:c>
      <x:c r="C930" s="167" t="str">
        <x:f>"095211002849"</x:f>
        <x:v>095211002849</x:v>
      </x:c>
      <x:c r="D930" s="68" t="str">
        <x:v>L£ TEEN DAT</x:v>
      </x:c>
      <x:c r="E930" s="68" t="str"/>
      <x:c r="F930" s="68" t="str">
        <x:v>06/08/2011</x:v>
      </x:c>
      <x:c r="G930" s="68" t="str">
        <x:v>Kinh</x:v>
      </x:c>
      <x:c r="H930" s="68" t="str">
        <x:v>Xa Vinh Phu6c</x:v>
      </x:c>
      <x:c r="I930" s="68" t="str">
        <x:v>THCS Vinh Pha Tay</x:v>
      </x:c>
      <x:c r="J930" s="68" t="str">
        <x:v>Xa VTnh phu6c</x:v>
      </x:c>
      <x:c r="K930" s="68" t="str">
        <x:v>21.0</x:v>
      </x:c>
      <x:c r="L930" s="68" t="str">
        <x:v>27</x:v>
      </x:c>
      <x:c r="M930" s="68" t="str"/>
      <x:c r="N930" s="68" t="str"/>
      <x:c r="O930" s="68" t="str">
        <x:v>48.0</x:v>
      </x:c>
      <x:c r="P930" s="68" t="str"/>
    </x:row>
    <x:row r="931">
      <x:c r="A931" s="151" t="n">
        <x:v>28</x:v>
      </x:c>
      <x:c r="B931" s="151" t="str">
        <x:v>930</x:v>
      </x:c>
      <x:c r="C931" s="168" t="str">
        <x:f>"09521 1 009427"</x:f>
        <x:v>09521 1 009427</x:v>
      </x:c>
      <x:c r="D931" s="147" t="str">
        <x:v>PHAN THANH TiNH</x:v>
      </x:c>
      <x:c r="E931" s="147" t="str"/>
      <x:c r="F931" s="147" t="str">
        <x:v>29/04/2011</x:v>
      </x:c>
      <x:c r="G931" s="147" t="str">
        <x:v>Kinh</x:v>
      </x:c>
      <x:c r="H931" s="147" t="str">
        <x:v>Xa Phudc Long</x:v>
      </x:c>
      <x:c r="I931" s="147" t="str">
        <x:v>THCS Phu6c Long</x:v>
      </x:c>
      <x:c r="J931" s="147" t="str">
        <x:v>Xa Phu6c Long</x:v>
      </x:c>
      <x:c r="K931" s="147" t="str">
        <x:v>21.8</x:v>
      </x:c>
      <x:c r="L931" s="147" t="str">
        <x:v>26</x:v>
      </x:c>
      <x:c r="M931" s="147" t="str"/>
      <x:c r="N931" s="147" t="str"/>
      <x:c r="O931" s="147" t="str">
        <x:v>47.8</x:v>
      </x:c>
      <x:c r="P931" s="147" t="str"/>
    </x:row>
  </x:sheetData>
  <x:pageMargins left="0.7" right="0.7" top="0.75" bottom="0.75" header="0.3" footer="0.3"/>
  <x:tableParts count="1">
    <x:tablePart xmlns:r="http://schemas.openxmlformats.org/officeDocument/2006/relationships" r:id="Rd06bec4746604293"/>
  </x:tableParts>
</x:worksheet>
</file>

<file path=xl/worksheets/sheet3.xml><?xml version="1.0" encoding="utf-8"?>
<x:worksheet xmlns:x="http://schemas.openxmlformats.org/spreadsheetml/2006/main">
  <x:sheetFormatPr defaultRowHeight="15"/>
  <x:cols>
    <x:col min="1" max="1" width="30" hidden="0" customWidth="1"/>
    <x:col min="2" max="2" width="85" hidden="0" customWidth="1"/>
  </x:cols>
  <x:sheetData>
    <x:row r="1" ht="30" customHeight="1">
      <x:c r="A1" s="155" t="str">
        <x:v>THÔNG TIN CHUYỂN ĐỔI</x:v>
      </x:c>
      <x:c r="B1" s="155"/>
      <x:c r="C1" s="155"/>
      <x:c r="D1" s="155"/>
    </x:row>
    <x:row r="3" ht="25" customHeight="1">
      <x:c r="A3" s="165" t="str">
        <x:v>Nội dung</x:v>
      </x:c>
      <x:c r="B3" s="165" t="str">
        <x:v>Giá trị</x:v>
      </x:c>
    </x:row>
    <x:row r="4" ht="25" customHeight="1">
      <x:c r="A4" s="68" t="str">
        <x:v>Tệp nguồn</x:v>
      </x:c>
      <x:c r="B4" s="68" t="str">
        <x:v>Võ Văn Kiệt_Danh sách trúng tuyển(1).pdf</x:v>
      </x:c>
    </x:row>
    <x:row r="5" ht="25" customHeight="1">
      <x:c r="A5" s="68" t="str">
        <x:v>Số trang PDF</x:v>
      </x:c>
      <x:c r="B5" s="68" t="n">
        <x:v>28</x:v>
      </x:c>
    </x:row>
    <x:row r="6" ht="25" customHeight="1">
      <x:c r="A6" s="68" t="str">
        <x:v>Số học sinh</x:v>
      </x:c>
      <x:c r="B6" s="68" t="n">
        <x:v>930</x:v>
      </x:c>
    </x:row>
    <x:row r="7" ht="25" customHeight="1">
      <x:c r="A7" s="68" t="str">
        <x:v>Sheet dữ liệu chuẩn hóa</x:v>
      </x:c>
      <x:c r="B7" s="68" t="str">
        <x:v>Danh sách trúng tuyển</x:v>
      </x:c>
    </x:row>
    <x:row r="8" ht="25" customHeight="1">
      <x:c r="A8" s="68" t="str">
        <x:v>Sheet dữ liệu trích xuất ban đầu</x:v>
      </x:c>
      <x:c r="B8" s="68" t="str">
        <x:v>Dữ liệu OCR gốc</x:v>
      </x:c>
    </x:row>
    <x:row r="9" ht="48" customHeight="1">
      <x:c r="A9" s="68" t="str">
        <x:v>Lưu ý</x:v>
      </x:c>
      <x:c r="B9" s="68" t="str">
        <x:v>PDF nguồn là bản quét; tên riêng và một số ký tự đã được OCR, chuẩn hóa và nên được đối chiếu lại khi dùng làm dữ liệu chính thức.</x:v>
      </x:c>
    </x:row>
    <x:row r="10" ht="25" customHeight="1">
      <x:c r="A10" s="68" t="str">
        <x:v>Trường hợp đặc biệt</x:v>
      </x:c>
      <x:c r="B10" s="68" t="str">
        <x:v>Mã định danh tại TT 829 hiển thị là “0” đúng theo bản PDF nguồn.</x:v>
      </x:c>
    </x:row>
    <x:row r="11" ht="28" customHeight="1">
      <x:c r="A11" s="201" t="str">
        <x:v>Lần rà soát bổ sung</x:v>
      </x:c>
      <x:c r="B11" s="197" t="str">
        <x:v>Đã đối chiếu trực tiếp từng trường hợp nghi ngờ với ảnh quét của 28 trang PDF nguồn.</x:v>
      </x:c>
    </x:row>
    <x:row r="12" ht="28" customHeight="1">
      <x:c r="A12" s="201" t="str">
        <x:v>Số ô đã sửa</x:v>
      </x:c>
      <x:c r="B12" s="197" t="n">
        <x:v>144</x:v>
      </x:c>
    </x:row>
    <x:row r="13" ht="28" customHeight="1">
      <x:c r="A13" s="201" t="str">
        <x:v>Số học sinh có điều chỉnh</x:v>
      </x:c>
      <x:c r="B13" s="197" t="n">
        <x:v>143</x:v>
      </x:c>
    </x:row>
    <x:row r="14" ht="28" customHeight="1">
      <x:c r="A14" s="202" t="str">
        <x:v>Nhật ký chi tiết</x:v>
      </x:c>
      <x:c r="B14" s="198" t="str">
        <x:v>Xem sheet “Nhật ký sửa OCR”.</x:v>
      </x:c>
    </x:row>
    <x:row r="16" ht="30" customHeight="1">
      <x:c r="A16" s="201" t="str">
        <x:v>Rà soát nhiều vòng</x:v>
      </x:c>
      <x:c r="B16" s="197" t="str">
        <x:v>Đã rà soát lại toàn bộ 930 dòng, các dòng từng sửa và các tên hiếm/khó đọc bằng ảnh quét nguồn.</x:v>
      </x:c>
    </x:row>
    <x:row r="17" ht="30" customHeight="1">
      <x:c r="A17" s="201" t="str">
        <x:v>Lỗi bổ sung đã sửa</x:v>
      </x:c>
      <x:c r="B17" s="197" t="n">
        <x:v>12</x:v>
      </x:c>
    </x:row>
    <x:row r="18" ht="30" customHeight="1">
      <x:c r="A18" s="201" t="str">
        <x:v>Tổng số ô đã sửa</x:v>
      </x:c>
      <x:c r="B18" s="197" t="n">
        <x:v>156</x:v>
      </x:c>
    </x:row>
    <x:row r="19" ht="30" customHeight="1">
      <x:c r="A19" s="201" t="str">
        <x:v>Tổng số học sinh có điều chỉnh</x:v>
      </x:c>
      <x:c r="B19" s="197" t="n">
        <x:v>154</x:v>
      </x:c>
    </x:row>
    <x:row r="20" ht="30" customHeight="1">
      <x:c r="A20" s="201" t="str">
        <x:v>Kiểm tra dữ liệu</x:v>
      </x:c>
      <x:c r="B20" s="197" t="str">
        <x:v>Không còn phát hiện mã trùng, ngày không hợp lệ, ký tự lạ, khoảng trắng bất thường hoặc sai lệch phép tính điểm.</x:v>
      </x:c>
    </x:row>
    <x:row r="21" ht="30" customHeight="1">
      <x:c r="A21" s="273" t="str">
        <x:v>Nhật ký bổ sung</x:v>
      </x:c>
      <x:c r="B21" s="263" t="str">
        <x:v>Xem sheet “Rà soát bổ sung”.</x:v>
      </x:c>
    </x:row>
    <x:row r="23" ht="32" customHeight="1">
      <x:c r="A23" s="201" t="str">
        <x:v>Rà soát lần cuối</x:v>
      </x:c>
      <x:c r="B23" s="197" t="str">
        <x:v>Đã đối chiếu lại từng dòng họ tên trên 28 trang PDF, đồng thời kiểm tra cấu trúc dữ liệu.</x:v>
      </x:c>
    </x:row>
    <x:row r="24" ht="32" customHeight="1">
      <x:c r="A24" s="201" t="str">
        <x:v>Lỗi bổ sung phát hiện</x:v>
      </x:c>
      <x:c r="B24" s="197" t="n">
        <x:v>6</x:v>
      </x:c>
    </x:row>
    <x:row r="25" ht="32" customHeight="1">
      <x:c r="A25" s="201" t="str">
        <x:v>Phạm vi sửa</x:v>
      </x:c>
      <x:c r="B25" s="197" t="str">
        <x:v>6 ô thuộc cột Họ và tên.</x:v>
      </x:c>
    </x:row>
    <x:row r="26" ht="32" customHeight="1">
      <x:c r="A26" s="201" t="str">
        <x:v>Kết quả kiểm tra cấu trúc</x:v>
      </x:c>
      <x:c r="B26" s="197" t="str">
        <x:v>Không phát hiện mã trùng, TT trùng/thiếu, ngày không hợp lệ, ký tự lạ hoặc sai lệch phép tính điểm.</x:v>
      </x:c>
    </x:row>
    <x:row r="27" ht="32" customHeight="1">
      <x:c r="A27" s="201" t="str">
        <x:v>Nguyên tắc dữ liệu</x:v>
      </x:c>
      <x:c r="B27" s="197" t="str">
        <x:v>Giữ đúng cách viết trong PDF nguồn, không tự ý chuẩn hóa tên riêng.</x:v>
      </x:c>
    </x:row>
    <x:row r="28" ht="32" customHeight="1">
      <x:c r="A28" s="328" t="str">
        <x:v>Nhật ký lần cuối</x:v>
      </x:c>
      <x:c r="B28" s="317" t="str">
        <x:v>Xem sheet “Rà soát lần cuối”.</x:v>
      </x:c>
    </x:row>
    <x:row r="30" ht="30" customHeight="1">
      <x:c r="A30" s="201" t="str">
        <x:v>Rà soát xác nhận</x:v>
      </x:c>
      <x:c r="B30" s="197" t="str">
        <x:v>Đã đối chiếu lại toàn bộ 930 dòng với 28 trang PDF nguồn.</x:v>
      </x:c>
    </x:row>
    <x:row r="31" ht="30" customHeight="1">
      <x:c r="A31" s="201" t="str">
        <x:v>Lỗi còn sót đã sửa</x:v>
      </x:c>
      <x:c r="B31" s="197" t="n">
        <x:v>2</x:v>
      </x:c>
    </x:row>
    <x:row r="32" ht="30" customHeight="1">
      <x:c r="A32" s="201" t="str">
        <x:v>TT 21</x:v>
      </x:c>
      <x:c r="B32" s="197" t="str">
        <x:v>ĐẶNG HỒNG LUYẾN → DƯƠNG HỒNG LUYẾN</x:v>
      </x:c>
    </x:row>
    <x:row r="33" ht="30" customHeight="1">
      <x:c r="A33" s="201" t="str">
        <x:v>TT 217</x:v>
      </x:c>
      <x:c r="B33" s="197" t="str">
        <x:v>NGUYỄN PHAN THÙY TRANG → NGUYỄN PHAN THỦY TRANG</x:v>
      </x:c>
    </x:row>
    <x:row r="34" ht="30" customHeight="1">
      <x:c r="A34" s="201" t="str">
        <x:v>Kết quả sau sửa</x:v>
      </x:c>
      <x:c r="B34" s="197" t="str">
        <x:v>Chưa phát hiện thêm lỗi chính tả, ký tự, dữ liệu cấu trúc hoặc phép tính điểm.</x:v>
      </x:c>
    </x:row>
    <x:row r="35" ht="30" customHeight="1">
      <x:c r="A35" s="371" t="str">
        <x:v>Nhật ký</x:v>
      </x:c>
      <x:c r="B35" s="361" t="str">
        <x:v>Xem sheet “Rà soát xác nhận”.</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1" hidden="0" customWidth="1"/>
    <x:col min="3" max="3" width="28" hidden="0" customWidth="1"/>
    <x:col min="4" max="4" width="34" hidden="0" customWidth="1"/>
    <x:col min="5" max="5" width="34" hidden="0" customWidth="1"/>
    <x:col min="6" max="6" width="48" hidden="0" customWidth="1"/>
  </x:cols>
  <x:sheetData>
    <x:row r="1" ht="30" customHeight="1">
      <x:c r="A1" s="183" t="str">
        <x:v>NHẬT KÝ KIỂM TRA VÀ SỬA LỖI OCR - ĐỐI CHIẾU TRỰC TIẾP PDF NGUỒN</x:v>
      </x:c>
      <x:c r="B1" s="183"/>
      <x:c r="C1" s="183"/>
      <x:c r="D1" s="183"/>
      <x:c r="E1" s="183"/>
      <x:c r="F1" s="183"/>
    </x:row>
    <x:row r="2" ht="22" customHeight="1">
      <x:c r="A2" s="187" t="str">
        <x:v>Đã kiểm tra 28 trang, 930 học sinh; sửa 144 ô thuộc 143 học sinh.</x:v>
      </x:c>
      <x:c r="B2" s="187"/>
      <x:c r="C2" s="187"/>
      <x:c r="D2" s="187"/>
      <x:c r="E2" s="187"/>
      <x:c r="F2" s="187"/>
    </x:row>
    <x:row r="4" ht="36" customHeight="1">
      <x:c r="A4" s="192" t="str">
        <x:v>TT</x:v>
      </x:c>
      <x:c r="B4" s="192" t="str">
        <x:v>Trang PDF</x:v>
      </x:c>
      <x:c r="C4" s="192" t="str">
        <x:v>Cột dữ liệu</x:v>
      </x:c>
      <x:c r="D4" s="192" t="str">
        <x:v>Giá trị trước</x:v>
      </x:c>
      <x:c r="E4" s="192" t="str">
        <x:v>Giá trị sau</x:v>
      </x:c>
      <x:c r="F4" s="192" t="str">
        <x:v>Căn cứ sửa</x:v>
      </x:c>
    </x:row>
    <x:row r="5" ht="22" customHeight="1">
      <x:c r="A5" s="199" t="n">
        <x:v>61</x:v>
      </x:c>
      <x:c r="B5" s="199" t="n">
        <x:v>2</x:v>
      </x:c>
      <x:c r="C5" s="197" t="str">
        <x:v>Họ và tên</x:v>
      </x:c>
      <x:c r="D5" s="197" t="str">
        <x:v>LÝ CÁT TƯỜNG</x:v>
      </x:c>
      <x:c r="E5" s="197" t="str">
        <x:v>LÊ CÁT TƯỜNG</x:v>
      </x:c>
      <x:c r="F5" s="197" t="str">
        <x:v>Đối chiếu trực tiếp ảnh quét trong PDF nguồn</x:v>
      </x:c>
    </x:row>
    <x:row r="6" ht="22" customHeight="1">
      <x:c r="A6" s="199" t="n">
        <x:v>70</x:v>
      </x:c>
      <x:c r="B6" s="199" t="n">
        <x:v>3</x:v>
      </x:c>
      <x:c r="C6" s="197" t="str">
        <x:v>Họ và tên</x:v>
      </x:c>
      <x:c r="D6" s="197" t="str">
        <x:v>LÝ VỸ TƯỜNG</x:v>
      </x:c>
      <x:c r="E6" s="197" t="str">
        <x:v>HUỲNH VỸ TƯỜNG</x:v>
      </x:c>
      <x:c r="F6" s="197" t="str">
        <x:v>Đối chiếu trực tiếp ảnh quét trong PDF nguồn</x:v>
      </x:c>
    </x:row>
    <x:row r="7" ht="22" customHeight="1">
      <x:c r="A7" s="199" t="n">
        <x:v>73</x:v>
      </x:c>
      <x:c r="B7" s="199" t="n">
        <x:v>3</x:v>
      </x:c>
      <x:c r="C7" s="197" t="str">
        <x:v>Họ và tên</x:v>
      </x:c>
      <x:c r="D7" s="197" t="str">
        <x:v>VÕ QUANG MINH</x:v>
      </x:c>
      <x:c r="E7" s="197" t="str">
        <x:v>VŨ QUANG MINH</x:v>
      </x:c>
      <x:c r="F7" s="197" t="str">
        <x:v>Đối chiếu trực tiếp ảnh quét trong PDF nguồn</x:v>
      </x:c>
    </x:row>
    <x:row r="8" ht="22" customHeight="1">
      <x:c r="A8" s="199" t="n">
        <x:v>95</x:v>
      </x:c>
      <x:c r="B8" s="199" t="n">
        <x:v>3</x:v>
      </x:c>
      <x:c r="C8" s="197" t="str">
        <x:v>Họ và tên</x:v>
      </x:c>
      <x:c r="D8" s="197" t="str">
        <x:v>THỊ NGỌC TRUYÊN</x:v>
      </x:c>
      <x:c r="E8" s="197" t="str">
        <x:v>THỊ NGỌC TRUYỀN</x:v>
      </x:c>
      <x:c r="F8" s="197" t="str">
        <x:v>Đối chiếu trực tiếp ảnh quét trong PDF nguồn</x:v>
      </x:c>
    </x:row>
    <x:row r="9" ht="22" customHeight="1">
      <x:c r="A9" s="199" t="n">
        <x:v>101</x:v>
      </x:c>
      <x:c r="B9" s="199" t="n">
        <x:v>4</x:v>
      </x:c>
      <x:c r="C9" s="197" t="str">
        <x:v>Họ và tên</x:v>
      </x:c>
      <x:c r="D9" s="197" t="str">
        <x:v>LÝ HOÀNG LƯỢNG</x:v>
      </x:c>
      <x:c r="E9" s="197" t="str">
        <x:v>LÊ HOÀNG LƯỢNG</x:v>
      </x:c>
      <x:c r="F9" s="197" t="str">
        <x:v>Đối chiếu trực tiếp ảnh quét trong PDF nguồn</x:v>
      </x:c>
    </x:row>
    <x:row r="10" ht="22" customHeight="1">
      <x:c r="A10" s="199" t="n">
        <x:v>105</x:v>
      </x:c>
      <x:c r="B10" s="199" t="n">
        <x:v>4</x:v>
      </x:c>
      <x:c r="C10" s="197" t="str">
        <x:v>Họ và tên</x:v>
      </x:c>
      <x:c r="D10" s="197" t="str">
        <x:v>NGÔ TÚ NGHI</x:v>
      </x:c>
      <x:c r="E10" s="197" t="str">
        <x:v>NGŨ TÚ NGHI</x:v>
      </x:c>
      <x:c r="F10" s="197" t="str">
        <x:v>Đối chiếu trực tiếp ảnh quét trong PDF nguồn</x:v>
      </x:c>
    </x:row>
    <x:row r="11" ht="22" customHeight="1">
      <x:c r="A11" s="199" t="n">
        <x:v>116</x:v>
      </x:c>
      <x:c r="B11" s="199" t="n">
        <x:v>4</x:v>
      </x:c>
      <x:c r="C11" s="197" t="str">
        <x:v>Họ và tên</x:v>
      </x:c>
      <x:c r="D11" s="197" t="str">
        <x:v>ÙI HOÀNG DIÊN</x:v>
      </x:c>
      <x:c r="E11" s="197" t="str">
        <x:v>BÙI HOÀNG DIỄN</x:v>
      </x:c>
      <x:c r="F11" s="197" t="str">
        <x:v>Đối chiếu trực tiếp ảnh quét trong PDF nguồn</x:v>
      </x:c>
    </x:row>
    <x:row r="12" ht="22" customHeight="1">
      <x:c r="A12" s="199" t="n">
        <x:v>125</x:v>
      </x:c>
      <x:c r="B12" s="199" t="n">
        <x:v>4</x:v>
      </x:c>
      <x:c r="C12" s="197" t="str">
        <x:v>Họ và tên</x:v>
      </x:c>
      <x:c r="D12" s="197" t="str">
        <x:v>LÊ THƯ</x:v>
      </x:c>
      <x:c r="E12" s="197" t="str">
        <x:v>LÊ MINH THƯ</x:v>
      </x:c>
      <x:c r="F12" s="197" t="str">
        <x:v>Đối chiếu trực tiếp ảnh quét trong PDF nguồn</x:v>
      </x:c>
    </x:row>
    <x:row r="13" ht="22" customHeight="1">
      <x:c r="A13" s="199" t="n">
        <x:v>138</x:v>
      </x:c>
      <x:c r="B13" s="199" t="n">
        <x:v>5</x:v>
      </x:c>
      <x:c r="C13" s="197" t="str">
        <x:v>Họ và tên</x:v>
      </x:c>
      <x:c r="D13" s="197" t="str">
        <x:v>TRẦN HUỲNH TRÚC THÚY</x:v>
      </x:c>
      <x:c r="E13" s="197" t="str">
        <x:v>TRẦN HUỲNH TRÚC THỤY</x:v>
      </x:c>
      <x:c r="F13" s="197" t="str">
        <x:v>Đối chiếu trực tiếp ảnh quét trong PDF nguồn</x:v>
      </x:c>
    </x:row>
    <x:row r="14" ht="22" customHeight="1">
      <x:c r="A14" s="199" t="n">
        <x:v>140</x:v>
      </x:c>
      <x:c r="B14" s="199" t="n">
        <x:v>5</x:v>
      </x:c>
      <x:c r="C14" s="197" t="str">
        <x:v>Họ và tên</x:v>
      </x:c>
      <x:c r="D14" s="197" t="str">
        <x:v>TRẦN HUỲNH NHƯ Ý</x:v>
      </x:c>
      <x:c r="E14" s="197" t="str">
        <x:v>TRANG HUỲNH NHƯ Ý</x:v>
      </x:c>
      <x:c r="F14" s="197" t="str">
        <x:v>Đối chiếu trực tiếp ảnh quét trong PDF nguồn</x:v>
      </x:c>
    </x:row>
    <x:row r="15" ht="22" customHeight="1">
      <x:c r="A15" s="199" t="n">
        <x:v>142</x:v>
      </x:c>
      <x:c r="B15" s="199" t="n">
        <x:v>5</x:v>
      </x:c>
      <x:c r="C15" s="197" t="str">
        <x:v>Họ và tên</x:v>
      </x:c>
      <x:c r="D15" s="197" t="str">
        <x:v>LÝ HẢI LONG</x:v>
      </x:c>
      <x:c r="E15" s="197" t="str">
        <x:v>LÊ HẢI LONG</x:v>
      </x:c>
      <x:c r="F15" s="197" t="str">
        <x:v>Đối chiếu trực tiếp ảnh quét trong PDF nguồn</x:v>
      </x:c>
    </x:row>
    <x:row r="16" ht="22" customHeight="1">
      <x:c r="A16" s="199" t="n">
        <x:v>143</x:v>
      </x:c>
      <x:c r="B16" s="199" t="n">
        <x:v>5</x:v>
      </x:c>
      <x:c r="C16" s="197" t="str">
        <x:v>Họ và tên</x:v>
      </x:c>
      <x:c r="D16" s="197" t="str">
        <x:v>HỒ PHƯƠNG THỊ</x:v>
      </x:c>
      <x:c r="E16" s="197" t="str">
        <x:v>HỒ PHƯƠNG THI</x:v>
      </x:c>
      <x:c r="F16" s="197" t="str">
        <x:v>Đối chiếu trực tiếp ảnh quét trong PDF nguồn</x:v>
      </x:c>
    </x:row>
    <x:row r="17" ht="22" customHeight="1">
      <x:c r="A17" s="199" t="n">
        <x:v>155</x:v>
      </x:c>
      <x:c r="B17" s="199" t="n">
        <x:v>5</x:v>
      </x:c>
      <x:c r="C17" s="197" t="str">
        <x:v>Họ và tên</x:v>
      </x:c>
      <x:c r="D17" s="197" t="str">
        <x:v>LÊ THANH TRƯỞNG</x:v>
      </x:c>
      <x:c r="E17" s="197" t="str">
        <x:v>LÊ THANH TRƯỜNG</x:v>
      </x:c>
      <x:c r="F17" s="197" t="str">
        <x:v>Đối chiếu trực tiếp ảnh quét trong PDF nguồn</x:v>
      </x:c>
    </x:row>
    <x:row r="18" ht="22" customHeight="1">
      <x:c r="A18" s="199" t="n">
        <x:v>161</x:v>
      </x:c>
      <x:c r="B18" s="199" t="n">
        <x:v>5</x:v>
      </x:c>
      <x:c r="C18" s="197" t="str">
        <x:v>Họ và tên</x:v>
      </x:c>
      <x:c r="D18" s="197" t="str">
        <x:v>TRIỆU TỪNG LÂM</x:v>
      </x:c>
      <x:c r="E18" s="197" t="str">
        <x:v>TRIỆU TÙNG LÂM</x:v>
      </x:c>
      <x:c r="F18" s="197" t="str">
        <x:v>Đối chiếu trực tiếp ảnh quét trong PDF nguồn</x:v>
      </x:c>
    </x:row>
    <x:row r="19" ht="22" customHeight="1">
      <x:c r="A19" s="199" t="n">
        <x:v>167</x:v>
      </x:c>
      <x:c r="B19" s="199" t="n">
        <x:v>6</x:v>
      </x:c>
      <x:c r="C19" s="197" t="str">
        <x:v>Họ và tên</x:v>
      </x:c>
      <x:c r="D19" s="197" t="str">
        <x:v>ƯƠNG VĂN CHÍ NGUYỄN</x:v>
      </x:c>
      <x:c r="E19" s="197" t="str">
        <x:v>DƯƠNG VĂN CHÍ NGUYÊN</x:v>
      </x:c>
      <x:c r="F19" s="197" t="str">
        <x:v>Đối chiếu trực tiếp ảnh quét trong PDF nguồn</x:v>
      </x:c>
    </x:row>
    <x:row r="20" ht="22" customHeight="1">
      <x:c r="A20" s="199" t="n">
        <x:v>176</x:v>
      </x:c>
      <x:c r="B20" s="199" t="n">
        <x:v>6</x:v>
      </x:c>
      <x:c r="C20" s="197" t="str">
        <x:v>Họ và tên</x:v>
      </x:c>
      <x:c r="D20" s="197" t="str">
        <x:v>TRẦN TRUNG HIÊU</x:v>
      </x:c>
      <x:c r="E20" s="197" t="str">
        <x:v>TRẦN TRUNG HIẾU</x:v>
      </x:c>
      <x:c r="F20" s="197" t="str">
        <x:v>Đối chiếu trực tiếp ảnh quét trong PDF nguồn</x:v>
      </x:c>
    </x:row>
    <x:row r="21" ht="22" customHeight="1">
      <x:c r="A21" s="199" t="n">
        <x:v>178</x:v>
      </x:c>
      <x:c r="B21" s="199" t="n">
        <x:v>6</x:v>
      </x:c>
      <x:c r="C21" s="197" t="str">
        <x:v>Họ và tên</x:v>
      </x:c>
      <x:c r="D21" s="197" t="str">
        <x:v>NGUYỄN HÀ BẢO HẦN</x:v>
      </x:c>
      <x:c r="E21" s="197" t="str">
        <x:v>NGUYỄN HÀ BẢO HÂN</x:v>
      </x:c>
      <x:c r="F21" s="197" t="str">
        <x:v>Đối chiếu trực tiếp ảnh quét trong PDF nguồn</x:v>
      </x:c>
    </x:row>
    <x:row r="22" ht="22" customHeight="1">
      <x:c r="A22" s="199" t="n">
        <x:v>185</x:v>
      </x:c>
      <x:c r="B22" s="199" t="n">
        <x:v>6</x:v>
      </x:c>
      <x:c r="C22" s="197" t="str">
        <x:v>Họ và tên</x:v>
      </x:c>
      <x:c r="D22" s="197" t="str">
        <x:v>NGUYỄN HOÀNG THẢNG</x:v>
      </x:c>
      <x:c r="E22" s="197" t="str">
        <x:v>NGUYỄN HOÀNG THẮNG</x:v>
      </x:c>
      <x:c r="F22" s="197" t="str">
        <x:v>Đối chiếu trực tiếp ảnh quét trong PDF nguồn</x:v>
      </x:c>
    </x:row>
    <x:row r="23" ht="22" customHeight="1">
      <x:c r="A23" s="199" t="n">
        <x:v>188</x:v>
      </x:c>
      <x:c r="B23" s="199" t="n">
        <x:v>6</x:v>
      </x:c>
      <x:c r="C23" s="197" t="str">
        <x:v>Họ và tên</x:v>
      </x:c>
      <x:c r="D23" s="197" t="str">
        <x:v>TRIỆU HỎ TRÚC ANH</x:v>
      </x:c>
      <x:c r="E23" s="197" t="str">
        <x:v>TRIỆU HỒ TRÚC ANH</x:v>
      </x:c>
      <x:c r="F23" s="197" t="str">
        <x:v>Đối chiếu trực tiếp ảnh quét trong PDF nguồn</x:v>
      </x:c>
    </x:row>
    <x:row r="24" ht="22" customHeight="1">
      <x:c r="A24" s="199" t="n">
        <x:v>199</x:v>
      </x:c>
      <x:c r="B24" s="199" t="n">
        <x:v>7</x:v>
      </x:c>
      <x:c r="C24" s="197" t="str">
        <x:v>Họ và tên</x:v>
      </x:c>
      <x:c r="D24" s="197" t="str">
        <x:v>NGUYỄN VĂN TIỆN</x:v>
      </x:c>
      <x:c r="E24" s="197" t="str">
        <x:v>NGUYỄN VĂN TIẾN</x:v>
      </x:c>
      <x:c r="F24" s="197" t="str">
        <x:v>Đối chiếu trực tiếp ảnh quét trong PDF nguồn</x:v>
      </x:c>
    </x:row>
    <x:row r="25" ht="22" customHeight="1">
      <x:c r="A25" s="199" t="n">
        <x:v>208</x:v>
      </x:c>
      <x:c r="B25" s="199" t="n">
        <x:v>7</x:v>
      </x:c>
      <x:c r="C25" s="197" t="str">
        <x:v>Họ và tên</x:v>
      </x:c>
      <x:c r="D25" s="197" t="str">
        <x:v>LÝ NGUYỄN HUỲNH NHƯ</x:v>
      </x:c>
      <x:c r="E25" s="197" t="str">
        <x:v>LỮ NGUYỄN HUỲNH NHƯ</x:v>
      </x:c>
      <x:c r="F25" s="197" t="str">
        <x:v>Đối chiếu trực tiếp ảnh quét trong PDF nguồn</x:v>
      </x:c>
    </x:row>
    <x:row r="26" ht="22" customHeight="1">
      <x:c r="A26" s="199" t="n">
        <x:v>212</x:v>
      </x:c>
      <x:c r="B26" s="199" t="n">
        <x:v>7</x:v>
      </x:c>
      <x:c r="C26" s="197" t="str">
        <x:v>Họ và tên</x:v>
      </x:c>
      <x:c r="D26" s="197" t="str">
        <x:v>THIÊU ÁNH DƯƠNG</x:v>
      </x:c>
      <x:c r="E26" s="197" t="str">
        <x:v>THIỀU ÁNH DƯƠNG</x:v>
      </x:c>
      <x:c r="F26" s="197" t="str">
        <x:v>Đối chiếu trực tiếp ảnh quét trong PDF nguồn</x:v>
      </x:c>
    </x:row>
    <x:row r="27" ht="22" customHeight="1">
      <x:c r="A27" s="199" t="n">
        <x:v>217</x:v>
      </x:c>
      <x:c r="B27" s="199" t="n">
        <x:v>7</x:v>
      </x:c>
      <x:c r="C27" s="197" t="str">
        <x:v>Họ và tên</x:v>
      </x:c>
      <x:c r="D27" s="197" t="str">
        <x:v>NGUYỄN PHAN THỦY TRANG</x:v>
      </x:c>
      <x:c r="E27" s="197" t="str">
        <x:v>NGUYỄN PHAN THÙY TRANG</x:v>
      </x:c>
      <x:c r="F27" s="197" t="str">
        <x:v>Đối chiếu trực tiếp ảnh quét trong PDF nguồn</x:v>
      </x:c>
    </x:row>
    <x:row r="28" ht="22" customHeight="1">
      <x:c r="A28" s="199" t="n">
        <x:v>222</x:v>
      </x:c>
      <x:c r="B28" s="199" t="n">
        <x:v>7</x:v>
      </x:c>
      <x:c r="C28" s="197" t="str">
        <x:v>Họ và tên</x:v>
      </x:c>
      <x:c r="D28" s="197" t="str">
        <x:v>DIỆP LÂM CHÍ VỶ</x:v>
      </x:c>
      <x:c r="E28" s="197" t="str">
        <x:v>DIỆP LÂM CHÍ VY</x:v>
      </x:c>
      <x:c r="F28" s="197" t="str">
        <x:v>Đối chiếu trực tiếp ảnh quét trong PDF nguồn</x:v>
      </x:c>
    </x:row>
    <x:row r="29" ht="22" customHeight="1">
      <x:c r="A29" s="199" t="n">
        <x:v>227</x:v>
      </x:c>
      <x:c r="B29" s="199" t="n">
        <x:v>7</x:v>
      </x:c>
      <x:c r="C29" s="197" t="str">
        <x:v>Họ và tên</x:v>
      </x:c>
      <x:c r="D29" s="197" t="str">
        <x:v>VÕ NHẬT TÂN</x:v>
      </x:c>
      <x:c r="E29" s="197" t="str">
        <x:v>VŨ NHẬT TÂN</x:v>
      </x:c>
      <x:c r="F29" s="197" t="str">
        <x:v>Đối chiếu trực tiếp ảnh quét trong PDF nguồn</x:v>
      </x:c>
    </x:row>
    <x:row r="30" ht="22" customHeight="1">
      <x:c r="A30" s="199" t="n">
        <x:v>229</x:v>
      </x:c>
      <x:c r="B30" s="199" t="n">
        <x:v>7</x:v>
      </x:c>
      <x:c r="C30" s="197" t="str">
        <x:v>Họ và tên</x:v>
      </x:c>
      <x:c r="D30" s="197" t="str">
        <x:v>DƯƠNG THỊ CAM THẢO</x:v>
      </x:c>
      <x:c r="E30" s="197" t="str">
        <x:v>DƯƠNG THỊ CẨM THẢO</x:v>
      </x:c>
      <x:c r="F30" s="197" t="str">
        <x:v>Đối chiếu trực tiếp ảnh quét trong PDF nguồn</x:v>
      </x:c>
    </x:row>
    <x:row r="31" ht="22" customHeight="1">
      <x:c r="A31" s="199" t="n">
        <x:v>247</x:v>
      </x:c>
      <x:c r="B31" s="199" t="n">
        <x:v>8</x:v>
      </x:c>
      <x:c r="C31" s="197" t="str">
        <x:v>Họ và tên</x:v>
      </x:c>
      <x:c r="D31" s="197" t="str">
        <x:v>LÝ THUÝ AN</x:v>
      </x:c>
      <x:c r="E31" s="197" t="str">
        <x:v>LÊ THÚY AN</x:v>
      </x:c>
      <x:c r="F31" s="197" t="str">
        <x:v>Đối chiếu trực tiếp ảnh quét trong PDF nguồn</x:v>
      </x:c>
    </x:row>
    <x:row r="32" ht="22" customHeight="1">
      <x:c r="A32" s="199" t="n">
        <x:v>249</x:v>
      </x:c>
      <x:c r="B32" s="199" t="n">
        <x:v>8</x:v>
      </x:c>
      <x:c r="C32" s="197" t="str">
        <x:v>Họ và tên</x:v>
      </x:c>
      <x:c r="D32" s="197" t="str">
        <x:v>NGUYỄN THỊ BẢO THÚY</x:v>
      </x:c>
      <x:c r="E32" s="197" t="str">
        <x:v>NGUYỄN THỊ BẢO THỤY</x:v>
      </x:c>
      <x:c r="F32" s="197" t="str">
        <x:v>Đối chiếu trực tiếp ảnh quét trong PDF nguồn</x:v>
      </x:c>
    </x:row>
    <x:row r="33" ht="22" customHeight="1">
      <x:c r="A33" s="199" t="n">
        <x:v>251</x:v>
      </x:c>
      <x:c r="B33" s="199" t="n">
        <x:v>8</x:v>
      </x:c>
      <x:c r="C33" s="197" t="str">
        <x:v>Họ và tên</x:v>
      </x:c>
      <x:c r="D33" s="197" t="str">
        <x:v>NGUYỄN CHÚC KIÊM</x:v>
      </x:c>
      <x:c r="E33" s="197" t="str">
        <x:v>NGUYỄN CHÚC KIẾM</x:v>
      </x:c>
      <x:c r="F33" s="197" t="str">
        <x:v>Đối chiếu trực tiếp ảnh quét trong PDF nguồn</x:v>
      </x:c>
    </x:row>
    <x:row r="34" ht="22" customHeight="1">
      <x:c r="A34" s="199" t="n">
        <x:v>257</x:v>
      </x:c>
      <x:c r="B34" s="199" t="n">
        <x:v>8</x:v>
      </x:c>
      <x:c r="C34" s="197" t="str">
        <x:v>Họ và tên</x:v>
      </x:c>
      <x:c r="D34" s="197" t="str">
        <x:v>LÝ NGỌC TUYÊN</x:v>
      </x:c>
      <x:c r="E34" s="197" t="str">
        <x:v>LÊ NGỌC TUYỀN</x:v>
      </x:c>
      <x:c r="F34" s="197" t="str">
        <x:v>Đối chiếu trực tiếp ảnh quét trong PDF nguồn</x:v>
      </x:c>
    </x:row>
    <x:row r="35" ht="22" customHeight="1">
      <x:c r="A35" s="199" t="n">
        <x:v>259</x:v>
      </x:c>
      <x:c r="B35" s="199" t="n">
        <x:v>8</x:v>
      </x:c>
      <x:c r="C35" s="197" t="str">
        <x:v>Họ và tên</x:v>
      </x:c>
      <x:c r="D35" s="197" t="str">
        <x:v>PHẠM MỸ HIÊN</x:v>
      </x:c>
      <x:c r="E35" s="197" t="str">
        <x:v>PHẠM MỸ HIỀN</x:v>
      </x:c>
      <x:c r="F35" s="197" t="str">
        <x:v>Đối chiếu trực tiếp ảnh quét trong PDF nguồn</x:v>
      </x:c>
    </x:row>
    <x:row r="36" ht="22" customHeight="1">
      <x:c r="A36" s="199" t="n">
        <x:v>260</x:v>
      </x:c>
      <x:c r="B36" s="199" t="n">
        <x:v>8</x:v>
      </x:c>
      <x:c r="C36" s="197" t="str">
        <x:v>Họ và tên</x:v>
      </x:c>
      <x:c r="D36" s="197" t="str">
        <x:v>NGUYỄN THỊ KIÊU QUYÊN</x:v>
      </x:c>
      <x:c r="E36" s="197" t="str">
        <x:v>NGUYỄN THỊ KIỀU QUYÊN</x:v>
      </x:c>
      <x:c r="F36" s="197" t="str">
        <x:v>Đối chiếu trực tiếp ảnh quét trong PDF nguồn</x:v>
      </x:c>
    </x:row>
    <x:row r="37" ht="22" customHeight="1">
      <x:c r="A37" s="199" t="n">
        <x:v>273</x:v>
      </x:c>
      <x:c r="B37" s="199" t="n">
        <x:v>9</x:v>
      </x:c>
      <x:c r="C37" s="197" t="str">
        <x:v>Họ và tên</x:v>
      </x:c>
      <x:c r="D37" s="197" t="str">
        <x:v>NGUYỄN TRIÊU NAM</x:v>
      </x:c>
      <x:c r="E37" s="197" t="str">
        <x:v>NGUYỄN TRIỀU NAM</x:v>
      </x:c>
      <x:c r="F37" s="197" t="str">
        <x:v>Đối chiếu trực tiếp ảnh quét trong PDF nguồn</x:v>
      </x:c>
    </x:row>
    <x:row r="38" ht="22" customHeight="1">
      <x:c r="A38" s="199" t="n">
        <x:v>277</x:v>
      </x:c>
      <x:c r="B38" s="199" t="n">
        <x:v>9</x:v>
      </x:c>
      <x:c r="C38" s="197" t="str">
        <x:v>Dân tộc</x:v>
      </x:c>
      <x:c r="D38" s="197" t="str">
        <x:v>Kinh</x:v>
      </x:c>
      <x:c r="E38" s="197" t="str">
        <x:v>Sán Dìu</x:v>
      </x:c>
      <x:c r="F38" s="197" t="str">
        <x:v>Đối chiếu trực tiếp ảnh quét trong PDF nguồn</x:v>
      </x:c>
    </x:row>
    <x:row r="39" ht="22" customHeight="1">
      <x:c r="A39" s="199" t="n">
        <x:v>291</x:v>
      </x:c>
      <x:c r="B39" s="199" t="n">
        <x:v>9</x:v>
      </x:c>
      <x:c r="C39" s="197" t="str">
        <x:v>Họ và tên</x:v>
      </x:c>
      <x:c r="D39" s="197" t="str">
        <x:v>LÝ MINH THƯ</x:v>
      </x:c>
      <x:c r="E39" s="197" t="str">
        <x:v>LÊ MINH THƯ</x:v>
      </x:c>
      <x:c r="F39" s="197" t="str">
        <x:v>Đối chiếu trực tiếp ảnh quét trong PDF nguồn</x:v>
      </x:c>
    </x:row>
    <x:row r="40" ht="22" customHeight="1">
      <x:c r="A40" s="199" t="n">
        <x:v>293</x:v>
      </x:c>
      <x:c r="B40" s="199" t="n">
        <x:v>9</x:v>
      </x:c>
      <x:c r="C40" s="197" t="str">
        <x:v>Họ và tên</x:v>
      </x:c>
      <x:c r="D40" s="197" t="str">
        <x:v>NGUYỄN TRỌNG HIỀU</x:v>
      </x:c>
      <x:c r="E40" s="197" t="str">
        <x:v>NGUYỄN TRỌNG HIẾU</x:v>
      </x:c>
      <x:c r="F40" s="197" t="str">
        <x:v>Đối chiếu trực tiếp ảnh quét trong PDF nguồn</x:v>
      </x:c>
    </x:row>
    <x:row r="41" ht="22" customHeight="1">
      <x:c r="A41" s="199" t="n">
        <x:v>308</x:v>
      </x:c>
      <x:c r="B41" s="199" t="n">
        <x:v>10</x:v>
      </x:c>
      <x:c r="C41" s="197" t="str">
        <x:v>Họ và tên</x:v>
      </x:c>
      <x:c r="D41" s="197" t="str">
        <x:v>SỬ THÀNH THÓNG</x:v>
      </x:c>
      <x:c r="E41" s="197" t="str">
        <x:v>SỬ THÀNH THỐNG</x:v>
      </x:c>
      <x:c r="F41" s="197" t="str">
        <x:v>Đối chiếu trực tiếp ảnh quét trong PDF nguồn</x:v>
      </x:c>
    </x:row>
    <x:row r="42" ht="22" customHeight="1">
      <x:c r="A42" s="199" t="n">
        <x:v>310</x:v>
      </x:c>
      <x:c r="B42" s="199" t="n">
        <x:v>10</x:v>
      </x:c>
      <x:c r="C42" s="197" t="str">
        <x:v>Họ và tên</x:v>
      </x:c>
      <x:c r="D42" s="197" t="str">
        <x:v>LÊ THÚY MỊN</x:v>
      </x:c>
      <x:c r="E42" s="197" t="str">
        <x:v>LÊ THÚY MIN</x:v>
      </x:c>
      <x:c r="F42" s="197" t="str">
        <x:v>Đối chiếu trực tiếp ảnh quét trong PDF nguồn</x:v>
      </x:c>
    </x:row>
    <x:row r="43" ht="22" customHeight="1">
      <x:c r="A43" s="199" t="n">
        <x:v>313</x:v>
      </x:c>
      <x:c r="B43" s="199" t="n">
        <x:v>10</x:v>
      </x:c>
      <x:c r="C43" s="197" t="str">
        <x:v>Họ và tên</x:v>
      </x:c>
      <x:c r="D43" s="197" t="str">
        <x:v>NGUYỄN THỊ XUÂN THÙY</x:v>
      </x:c>
      <x:c r="E43" s="197" t="str">
        <x:v>NGUYỄN THỊ XUÂN THỦY</x:v>
      </x:c>
      <x:c r="F43" s="197" t="str">
        <x:v>Đối chiếu trực tiếp ảnh quét trong PDF nguồn</x:v>
      </x:c>
    </x:row>
    <x:row r="44" ht="22" customHeight="1">
      <x:c r="A44" s="199" t="n">
        <x:v>314</x:v>
      </x:c>
      <x:c r="B44" s="199" t="n">
        <x:v>10</x:v>
      </x:c>
      <x:c r="C44" s="197" t="str">
        <x:v>Họ và tên</x:v>
      </x:c>
      <x:c r="D44" s="197" t="str">
        <x:v>HUỲNH CẢM DUYÊN</x:v>
      </x:c>
      <x:c r="E44" s="197" t="str">
        <x:v>HUỲNH CẨM DUYÊN</x:v>
      </x:c>
      <x:c r="F44" s="197" t="str">
        <x:v>Đối chiếu trực tiếp ảnh quét trong PDF nguồn</x:v>
      </x:c>
    </x:row>
    <x:row r="45" ht="22" customHeight="1">
      <x:c r="A45" s="199" t="n">
        <x:v>318</x:v>
      </x:c>
      <x:c r="B45" s="199" t="n">
        <x:v>10</x:v>
      </x:c>
      <x:c r="C45" s="197" t="str">
        <x:v>Họ và tên</x:v>
      </x:c>
      <x:c r="D45" s="197" t="str">
        <x:v>LÝ PHÚ SĨ</x:v>
      </x:c>
      <x:c r="E45" s="197" t="str">
        <x:v>LÊ PHÚ SĨ</x:v>
      </x:c>
      <x:c r="F45" s="197" t="str">
        <x:v>Đối chiếu trực tiếp ảnh quét trong PDF nguồn</x:v>
      </x:c>
    </x:row>
    <x:row r="46" ht="22" customHeight="1">
      <x:c r="A46" s="199" t="n">
        <x:v>319</x:v>
      </x:c>
      <x:c r="B46" s="199" t="n">
        <x:v>10</x:v>
      </x:c>
      <x:c r="C46" s="197" t="str">
        <x:v>Họ và tên</x:v>
      </x:c>
      <x:c r="D46" s="197" t="str">
        <x:v>NGUYỄN TRÍ NGUYỆN</x:v>
      </x:c>
      <x:c r="E46" s="197" t="str">
        <x:v>NGUYỄN TRÍ NGUYÊN</x:v>
      </x:c>
      <x:c r="F46" s="197" t="str">
        <x:v>Đối chiếu trực tiếp ảnh quét trong PDF nguồn</x:v>
      </x:c>
    </x:row>
    <x:row r="47" ht="22" customHeight="1">
      <x:c r="A47" s="199" t="n">
        <x:v>347</x:v>
      </x:c>
      <x:c r="B47" s="199" t="n">
        <x:v>11</x:v>
      </x:c>
      <x:c r="C47" s="197" t="str">
        <x:v>Họ và tên</x:v>
      </x:c>
      <x:c r="D47" s="197" t="str">
        <x:v>LÊ VĂN ĐÁNG</x:v>
      </x:c>
      <x:c r="E47" s="197" t="str">
        <x:v>LÊ VĂN ĐĂNG</x:v>
      </x:c>
      <x:c r="F47" s="197" t="str">
        <x:v>Đối chiếu trực tiếp ảnh quét trong PDF nguồn</x:v>
      </x:c>
    </x:row>
    <x:row r="48" ht="22" customHeight="1">
      <x:c r="A48" s="199" t="n">
        <x:v>351</x:v>
      </x:c>
      <x:c r="B48" s="199" t="n">
        <x:v>11</x:v>
      </x:c>
      <x:c r="C48" s="197" t="str">
        <x:v>Họ và tên</x:v>
      </x:c>
      <x:c r="D48" s="197" t="str">
        <x:v>TÔ TÚ ANH</x:v>
      </x:c>
      <x:c r="E48" s="197" t="str">
        <x:v>LÝ TÚ ANH</x:v>
      </x:c>
      <x:c r="F48" s="197" t="str">
        <x:v>Đối chiếu trực tiếp ảnh quét trong PDF nguồn</x:v>
      </x:c>
    </x:row>
    <x:row r="49" ht="22" customHeight="1">
      <x:c r="A49" s="199" t="n">
        <x:v>352</x:v>
      </x:c>
      <x:c r="B49" s="199" t="n">
        <x:v>11</x:v>
      </x:c>
      <x:c r="C49" s="197" t="str">
        <x:v>Họ và tên</x:v>
      </x:c>
      <x:c r="D49" s="197" t="str">
        <x:v>NGUYỄN TIỀN ĐẠT</x:v>
      </x:c>
      <x:c r="E49" s="197" t="str">
        <x:v>NGUYỄN TIẾN ĐẠT</x:v>
      </x:c>
      <x:c r="F49" s="197" t="str">
        <x:v>Đối chiếu trực tiếp ảnh quét trong PDF nguồn</x:v>
      </x:c>
    </x:row>
    <x:row r="50" ht="22" customHeight="1">
      <x:c r="A50" s="199" t="n">
        <x:v>364</x:v>
      </x:c>
      <x:c r="B50" s="199" t="n">
        <x:v>11</x:v>
      </x:c>
      <x:c r="C50" s="197" t="str">
        <x:v>Họ và tên</x:v>
      </x:c>
      <x:c r="D50" s="197" t="str">
        <x:v>VĂN NGUYỄN TRƯỜNG GIANG</x:v>
      </x:c>
      <x:c r="E50" s="197" t="str">
        <x:v>VÕ NGUYỄN TRƯỜNG GIANG</x:v>
      </x:c>
      <x:c r="F50" s="197" t="str">
        <x:v>Đối chiếu trực tiếp ảnh quét trong PDF nguồn</x:v>
      </x:c>
    </x:row>
    <x:row r="51" ht="22" customHeight="1">
      <x:c r="A51" s="199" t="n">
        <x:v>370</x:v>
      </x:c>
      <x:c r="B51" s="199" t="n">
        <x:v>12</x:v>
      </x:c>
      <x:c r="C51" s="197" t="str">
        <x:v>Họ và tên</x:v>
      </x:c>
      <x:c r="D51" s="197" t="str">
        <x:v>IỆP HOÀNG VỌNG</x:v>
      </x:c>
      <x:c r="E51" s="197" t="str">
        <x:v>DIỆP HOÀNG VỌNG</x:v>
      </x:c>
      <x:c r="F51" s="197" t="str">
        <x:v>Đối chiếu trực tiếp ảnh quét trong PDF nguồn</x:v>
      </x:c>
    </x:row>
    <x:row r="52" ht="22" customHeight="1">
      <x:c r="A52" s="199" t="n">
        <x:v>374</x:v>
      </x:c>
      <x:c r="B52" s="199" t="n">
        <x:v>12</x:v>
      </x:c>
      <x:c r="C52" s="197" t="str">
        <x:v>Họ và tên</x:v>
      </x:c>
      <x:c r="D52" s="197" t="str">
        <x:v>THÁI TỎ LINH</x:v>
      </x:c>
      <x:c r="E52" s="197" t="str">
        <x:v>THÁI TÔ LINH</x:v>
      </x:c>
      <x:c r="F52" s="197" t="str">
        <x:v>Đối chiếu trực tiếp ảnh quét trong PDF nguồn</x:v>
      </x:c>
    </x:row>
    <x:row r="53" ht="22" customHeight="1">
      <x:c r="A53" s="199" t="n">
        <x:v>389</x:v>
      </x:c>
      <x:c r="B53" s="199" t="n">
        <x:v>12</x:v>
      </x:c>
      <x:c r="C53" s="197" t="str">
        <x:v>Họ và tên</x:v>
      </x:c>
      <x:c r="D53" s="197" t="str">
        <x:v>IGÔ TRÚC KHÁNG</x:v>
      </x:c>
      <x:c r="E53" s="197" t="str">
        <x:v>NGÔ TRÚC KHÁNG</x:v>
      </x:c>
      <x:c r="F53" s="197" t="str">
        <x:v>Đối chiếu trực tiếp ảnh quét trong PDF nguồn</x:v>
      </x:c>
    </x:row>
    <x:row r="54" ht="22" customHeight="1">
      <x:c r="A54" s="199" t="n">
        <x:v>390</x:v>
      </x:c>
      <x:c r="B54" s="199" t="n">
        <x:v>12</x:v>
      </x:c>
      <x:c r="C54" s="197" t="str">
        <x:v>Họ và tên</x:v>
      </x:c>
      <x:c r="D54" s="197" t="str">
        <x:v>HỒ NGỌC TRÂN</x:v>
      </x:c>
      <x:c r="E54" s="197" t="str">
        <x:v>HOA NGỌC TRÂN</x:v>
      </x:c>
      <x:c r="F54" s="197" t="str">
        <x:v>Đối chiếu trực tiếp ảnh quét trong PDF nguồn</x:v>
      </x:c>
    </x:row>
    <x:row r="55" ht="22" customHeight="1">
      <x:c r="A55" s="199" t="n">
        <x:v>395</x:v>
      </x:c>
      <x:c r="B55" s="199" t="n">
        <x:v>12</x:v>
      </x:c>
      <x:c r="C55" s="197" t="str">
        <x:v>Họ và tên</x:v>
      </x:c>
      <x:c r="D55" s="197" t="str">
        <x:v>HẠM MINH DUY</x:v>
      </x:c>
      <x:c r="E55" s="197" t="str">
        <x:v>PHẠM MINH DUY</x:v>
      </x:c>
      <x:c r="F55" s="197" t="str">
        <x:v>Đối chiếu trực tiếp ảnh quét trong PDF nguồn</x:v>
      </x:c>
    </x:row>
    <x:row r="56" ht="22" customHeight="1">
      <x:c r="A56" s="199" t="n">
        <x:v>399</x:v>
      </x:c>
      <x:c r="B56" s="199" t="n">
        <x:v>12</x:v>
      </x:c>
      <x:c r="C56" s="197" t="str">
        <x:v>Họ và tên</x:v>
      </x:c>
      <x:c r="D56" s="197" t="str">
        <x:v>LÝ GIA HẠO</x:v>
      </x:c>
      <x:c r="E56" s="197" t="str">
        <x:v>LÊ GIA HẠO</x:v>
      </x:c>
      <x:c r="F56" s="197" t="str">
        <x:v>Đối chiếu trực tiếp ảnh quét trong PDF nguồn</x:v>
      </x:c>
    </x:row>
    <x:row r="57" ht="22" customHeight="1">
      <x:c r="A57" s="199" t="n">
        <x:v>400</x:v>
      </x:c>
      <x:c r="B57" s="199" t="n">
        <x:v>12</x:v>
      </x:c>
      <x:c r="C57" s="197" t="str">
        <x:v>Họ và tên</x:v>
      </x:c>
      <x:c r="D57" s="197" t="str">
        <x:v>HỒ LƯƠNG CÂM THY</x:v>
      </x:c>
      <x:c r="E57" s="197" t="str">
        <x:v>HỒ LƯƠNG CẨM THY</x:v>
      </x:c>
      <x:c r="F57" s="197" t="str">
        <x:v>Đối chiếu trực tiếp ảnh quét trong PDF nguồn</x:v>
      </x:c>
    </x:row>
    <x:row r="58" ht="22" customHeight="1">
      <x:c r="A58" s="199" t="n">
        <x:v>402</x:v>
      </x:c>
      <x:c r="B58" s="199" t="n">
        <x:v>12</x:v>
      </x:c>
      <x:c r="C58" s="197" t="str">
        <x:v>Họ và tên</x:v>
      </x:c>
      <x:c r="D58" s="197" t="str">
        <x:v>ĐỖ NGUYỄN THANH TRÚC</x:v>
      </x:c>
      <x:c r="E58" s="197" t="str">
        <x:v>ĐỒNG NGUYỄN THANH TRÚC</x:v>
      </x:c>
      <x:c r="F58" s="197" t="str">
        <x:v>Đối chiếu trực tiếp ảnh quét trong PDF nguồn</x:v>
      </x:c>
    </x:row>
    <x:row r="59" ht="22" customHeight="1">
      <x:c r="A59" s="199" t="n">
        <x:v>405</x:v>
      </x:c>
      <x:c r="B59" s="199" t="n">
        <x:v>13</x:v>
      </x:c>
      <x:c r="C59" s="197" t="str">
        <x:v>Họ và tên</x:v>
      </x:c>
      <x:c r="D59" s="197" t="str">
        <x:v>NGUYỄN ĐÌNH NGOẠN</x:v>
      </x:c>
      <x:c r="E59" s="197" t="str">
        <x:v>NGUYỄN ĐÌNH NGOAN</x:v>
      </x:c>
      <x:c r="F59" s="197" t="str">
        <x:v>Đối chiếu trực tiếp ảnh quét trong PDF nguồn</x:v>
      </x:c>
    </x:row>
    <x:row r="60" ht="22" customHeight="1">
      <x:c r="A60" s="199" t="n">
        <x:v>413</x:v>
      </x:c>
      <x:c r="B60" s="199" t="n">
        <x:v>13</x:v>
      </x:c>
      <x:c r="C60" s="197" t="str">
        <x:v>Họ và tên</x:v>
      </x:c>
      <x:c r="D60" s="197" t="str">
        <x:v>LÝ DIỄM TRINH</x:v>
      </x:c>
      <x:c r="E60" s="197" t="str">
        <x:v>LÊ DIỄM TRINH</x:v>
      </x:c>
      <x:c r="F60" s="197" t="str">
        <x:v>Đối chiếu trực tiếp ảnh quét trong PDF nguồn</x:v>
      </x:c>
    </x:row>
    <x:row r="61" ht="22" customHeight="1">
      <x:c r="A61" s="199" t="n">
        <x:v>416</x:v>
      </x:c>
      <x:c r="B61" s="199" t="n">
        <x:v>13</x:v>
      </x:c>
      <x:c r="C61" s="197" t="str">
        <x:v>Họ và tên</x:v>
      </x:c>
      <x:c r="D61" s="197" t="str">
        <x:v>TRẦN HỒNG ANH THƯ</x:v>
      </x:c>
      <x:c r="E61" s="197" t="str">
        <x:v>TRANG HỒNG ANH THƯ</x:v>
      </x:c>
      <x:c r="F61" s="197" t="str">
        <x:v>Đối chiếu trực tiếp ảnh quét trong PDF nguồn</x:v>
      </x:c>
    </x:row>
    <x:row r="62" ht="22" customHeight="1">
      <x:c r="A62" s="199" t="n">
        <x:v>418</x:v>
      </x:c>
      <x:c r="B62" s="199" t="n">
        <x:v>13</x:v>
      </x:c>
      <x:c r="C62" s="197" t="str">
        <x:v>Nữ</x:v>
      </x:c>
      <x:c r="D62" s="197" t="str"/>
      <x:c r="E62" s="197" t="str">
        <x:v>X</x:v>
      </x:c>
      <x:c r="F62" s="197" t="str">
        <x:v>Đối chiếu trực tiếp ảnh quét trong PDF nguồn</x:v>
      </x:c>
    </x:row>
    <x:row r="63" ht="22" customHeight="1">
      <x:c r="A63" s="199" t="n">
        <x:v>421</x:v>
      </x:c>
      <x:c r="B63" s="199" t="n">
        <x:v>13</x:v>
      </x:c>
      <x:c r="C63" s="197" t="str">
        <x:v>Họ và tên</x:v>
      </x:c>
      <x:c r="D63" s="197" t="str">
        <x:v>LÝ HOÀNG PHÚC</x:v>
      </x:c>
      <x:c r="E63" s="197" t="str">
        <x:v>LÊ HOÀNG PHÚC</x:v>
      </x:c>
      <x:c r="F63" s="197" t="str">
        <x:v>Đối chiếu trực tiếp ảnh quét trong PDF nguồn</x:v>
      </x:c>
    </x:row>
    <x:row r="64" ht="22" customHeight="1">
      <x:c r="A64" s="199" t="n">
        <x:v>422</x:v>
      </x:c>
      <x:c r="B64" s="199" t="n">
        <x:v>13</x:v>
      </x:c>
      <x:c r="C64" s="197" t="str">
        <x:v>Họ và tên</x:v>
      </x:c>
      <x:c r="D64" s="197" t="str">
        <x:v>LÝ THỊ THÚY NHI</x:v>
      </x:c>
      <x:c r="E64" s="197" t="str">
        <x:v>LÊ THỊ THÚY NHI</x:v>
      </x:c>
      <x:c r="F64" s="197" t="str">
        <x:v>Đối chiếu trực tiếp ảnh quét trong PDF nguồn</x:v>
      </x:c>
    </x:row>
    <x:row r="65" ht="22" customHeight="1">
      <x:c r="A65" s="199" t="n">
        <x:v>425</x:v>
      </x:c>
      <x:c r="B65" s="199" t="n">
        <x:v>13</x:v>
      </x:c>
      <x:c r="C65" s="197" t="str">
        <x:v>Họ và tên</x:v>
      </x:c>
      <x:c r="D65" s="197" t="str">
        <x:v>LÂM HÀNG</x:v>
      </x:c>
      <x:c r="E65" s="197" t="str">
        <x:v>LÂM MINH HẰNG</x:v>
      </x:c>
      <x:c r="F65" s="197" t="str">
        <x:v>Đối chiếu trực tiếp ảnh quét trong PDF nguồn</x:v>
      </x:c>
    </x:row>
    <x:row r="66" ht="22" customHeight="1">
      <x:c r="A66" s="199" t="n">
        <x:v>426</x:v>
      </x:c>
      <x:c r="B66" s="199" t="n">
        <x:v>13</x:v>
      </x:c>
      <x:c r="C66" s="197" t="str">
        <x:v>Họ và tên</x:v>
      </x:c>
      <x:c r="D66" s="197" t="str">
        <x:v>LÝ CHÍ TÂM</x:v>
      </x:c>
      <x:c r="E66" s="197" t="str">
        <x:v>LÊ CHÍ TÂM</x:v>
      </x:c>
      <x:c r="F66" s="197" t="str">
        <x:v>Đối chiếu trực tiếp ảnh quét trong PDF nguồn</x:v>
      </x:c>
    </x:row>
    <x:row r="67" ht="22" customHeight="1">
      <x:c r="A67" s="199" t="n">
        <x:v>428</x:v>
      </x:c>
      <x:c r="B67" s="199" t="n">
        <x:v>13</x:v>
      </x:c>
      <x:c r="C67" s="197" t="str">
        <x:v>Họ và tên</x:v>
      </x:c>
      <x:c r="D67" s="197" t="str">
        <x:v>ÙI YẾN MỤI</x:v>
      </x:c>
      <x:c r="E67" s="197" t="str">
        <x:v>BÙI YẾN MỤI</x:v>
      </x:c>
      <x:c r="F67" s="197" t="str">
        <x:v>Đối chiếu trực tiếp ảnh quét trong PDF nguồn</x:v>
      </x:c>
    </x:row>
    <x:row r="68" ht="22" customHeight="1">
      <x:c r="A68" s="199" t="n">
        <x:v>435</x:v>
      </x:c>
      <x:c r="B68" s="199" t="n">
        <x:v>13</x:v>
      </x:c>
      <x:c r="C68" s="197" t="str">
        <x:v>Họ và tên</x:v>
      </x:c>
      <x:c r="D68" s="197" t="str">
        <x:v>TA NGỌC ĐIÈÊM</x:v>
      </x:c>
      <x:c r="E68" s="197" t="str">
        <x:v>CA NGỌC DIỄM</x:v>
      </x:c>
      <x:c r="F68" s="197" t="str">
        <x:v>Đối chiếu trực tiếp ảnh quét trong PDF nguồn</x:v>
      </x:c>
    </x:row>
    <x:row r="69" ht="22" customHeight="1">
      <x:c r="A69" s="199" t="n">
        <x:v>439</x:v>
      </x:c>
      <x:c r="B69" s="199" t="n">
        <x:v>14</x:v>
      </x:c>
      <x:c r="C69" s="197" t="str">
        <x:v>Họ và tên</x:v>
      </x:c>
      <x:c r="D69" s="197" t="str">
        <x:v>NGUYỄN CẢM HIÊN</x:v>
      </x:c>
      <x:c r="E69" s="197" t="str">
        <x:v>NGUYỄN CẨM HIỀN</x:v>
      </x:c>
      <x:c r="F69" s="197" t="str">
        <x:v>Đối chiếu trực tiếp ảnh quét trong PDF nguồn</x:v>
      </x:c>
    </x:row>
    <x:row r="70" ht="22" customHeight="1">
      <x:c r="A70" s="199" t="n">
        <x:v>448</x:v>
      </x:c>
      <x:c r="B70" s="199" t="n">
        <x:v>14</x:v>
      </x:c>
      <x:c r="C70" s="197" t="str">
        <x:v>Họ và tên</x:v>
      </x:c>
      <x:c r="D70" s="197" t="str">
        <x:v>SỬ THÀNH MÃI</x:v>
      </x:c>
      <x:c r="E70" s="197" t="str">
        <x:v>SỬ THÀNH MAI</x:v>
      </x:c>
      <x:c r="F70" s="197" t="str">
        <x:v>Đối chiếu trực tiếp ảnh quét trong PDF nguồn</x:v>
      </x:c>
    </x:row>
    <x:row r="71" ht="22" customHeight="1">
      <x:c r="A71" s="199" t="n">
        <x:v>450</x:v>
      </x:c>
      <x:c r="B71" s="199" t="n">
        <x:v>14</x:v>
      </x:c>
      <x:c r="C71" s="197" t="str">
        <x:v>Họ và tên</x:v>
      </x:c>
      <x:c r="D71" s="197" t="str">
        <x:v>IUỲNH PHÚC MÃI</x:v>
      </x:c>
      <x:c r="E71" s="197" t="str">
        <x:v>HUỲNH PHÚC MÃI</x:v>
      </x:c>
      <x:c r="F71" s="197" t="str">
        <x:v>Đối chiếu trực tiếp ảnh quét trong PDF nguồn</x:v>
      </x:c>
    </x:row>
    <x:row r="72" ht="22" customHeight="1">
      <x:c r="A72" s="199" t="n">
        <x:v>461</x:v>
      </x:c>
      <x:c r="B72" s="199" t="n">
        <x:v>14</x:v>
      </x:c>
      <x:c r="C72" s="197" t="str">
        <x:v>Họ và tên</x:v>
      </x:c>
      <x:c r="D72" s="197" t="str">
        <x:v>NGUYỄN HUỲNH NHƯ</x:v>
      </x:c>
      <x:c r="E72" s="197" t="str">
        <x:v>NGUYỄN HUỲNH NHƯ Ý</x:v>
      </x:c>
      <x:c r="F72" s="197" t="str">
        <x:v>Đối chiếu trực tiếp ảnh quét trong PDF nguồn</x:v>
      </x:c>
    </x:row>
    <x:row r="73" ht="22" customHeight="1">
      <x:c r="A73" s="199" t="n">
        <x:v>469</x:v>
      </x:c>
      <x:c r="B73" s="199" t="n">
        <x:v>14</x:v>
      </x:c>
      <x:c r="C73" s="197" t="str">
        <x:v>Họ và tên</x:v>
      </x:c>
      <x:c r="D73" s="197" t="str">
        <x:v>LÝ QUỐC VINH</x:v>
      </x:c>
      <x:c r="E73" s="197" t="str">
        <x:v>LÊ QUỐC VINH</x:v>
      </x:c>
      <x:c r="F73" s="197" t="str">
        <x:v>Đối chiếu trực tiếp ảnh quét trong PDF nguồn</x:v>
      </x:c>
    </x:row>
    <x:row r="74" ht="22" customHeight="1">
      <x:c r="A74" s="199" t="n">
        <x:v>473</x:v>
      </x:c>
      <x:c r="B74" s="199" t="n">
        <x:v>15</x:v>
      </x:c>
      <x:c r="C74" s="197" t="str">
        <x:v>Họ và tên</x:v>
      </x:c>
      <x:c r="D74" s="197" t="str">
        <x:v>NGUYỄN VIỆT BẢC</x:v>
      </x:c>
      <x:c r="E74" s="197" t="str">
        <x:v>NGUYỄN VIỆT BẮC</x:v>
      </x:c>
      <x:c r="F74" s="197" t="str">
        <x:v>Đối chiếu trực tiếp ảnh quét trong PDF nguồn</x:v>
      </x:c>
    </x:row>
    <x:row r="75" ht="22" customHeight="1">
      <x:c r="A75" s="199" t="n">
        <x:v>476</x:v>
      </x:c>
      <x:c r="B75" s="199" t="n">
        <x:v>15</x:v>
      </x:c>
      <x:c r="C75" s="197" t="str">
        <x:v>Họ và tên</x:v>
      </x:c>
      <x:c r="D75" s="197" t="str">
        <x:v>NGÔ TIÊU LONG</x:v>
      </x:c>
      <x:c r="E75" s="197" t="str">
        <x:v>NGÔ TIỂU LONG</x:v>
      </x:c>
      <x:c r="F75" s="197" t="str">
        <x:v>Đối chiếu trực tiếp ảnh quét trong PDF nguồn</x:v>
      </x:c>
    </x:row>
    <x:row r="76" ht="22" customHeight="1">
      <x:c r="A76" s="199" t="n">
        <x:v>483</x:v>
      </x:c>
      <x:c r="B76" s="199" t="n">
        <x:v>15</x:v>
      </x:c>
      <x:c r="C76" s="197" t="str">
        <x:v>Họ và tên</x:v>
      </x:c>
      <x:c r="D76" s="197" t="str">
        <x:v>TRẦN KIM HUÔỒI</x:v>
      </x:c>
      <x:c r="E76" s="197" t="str">
        <x:v>TRANG KIM HUỒI</x:v>
      </x:c>
      <x:c r="F76" s="197" t="str">
        <x:v>Đối chiếu trực tiếp ảnh quét trong PDF nguồn</x:v>
      </x:c>
    </x:row>
    <x:row r="77" ht="22" customHeight="1">
      <x:c r="A77" s="199" t="n">
        <x:v>485</x:v>
      </x:c>
      <x:c r="B77" s="199" t="n">
        <x:v>15</x:v>
      </x:c>
      <x:c r="C77" s="197" t="str">
        <x:v>Nữ</x:v>
      </x:c>
      <x:c r="D77" s="197" t="str"/>
      <x:c r="E77" s="197" t="str">
        <x:v>X</x:v>
      </x:c>
      <x:c r="F77" s="197" t="str">
        <x:v>Đối chiếu trực tiếp ảnh quét trong PDF nguồn</x:v>
      </x:c>
    </x:row>
    <x:row r="78" ht="22" customHeight="1">
      <x:c r="A78" s="199" t="n">
        <x:v>494</x:v>
      </x:c>
      <x:c r="B78" s="199" t="n">
        <x:v>15</x:v>
      </x:c>
      <x:c r="C78" s="197" t="str">
        <x:v>Họ và tên</x:v>
      </x:c>
      <x:c r="D78" s="197" t="str">
        <x:v>QUÁCH KIÊU TRANG</x:v>
      </x:c>
      <x:c r="E78" s="197" t="str">
        <x:v>QUÁCH KIỀU TRANG</x:v>
      </x:c>
      <x:c r="F78" s="197" t="str">
        <x:v>Đối chiếu trực tiếp ảnh quét trong PDF nguồn</x:v>
      </x:c>
    </x:row>
    <x:row r="79" ht="22" customHeight="1">
      <x:c r="A79" s="199" t="n">
        <x:v>509</x:v>
      </x:c>
      <x:c r="B79" s="199" t="n">
        <x:v>16</x:v>
      </x:c>
      <x:c r="C79" s="197" t="str">
        <x:v>Nữ</x:v>
      </x:c>
      <x:c r="D79" s="197" t="str"/>
      <x:c r="E79" s="197" t="str">
        <x:v>X</x:v>
      </x:c>
      <x:c r="F79" s="197" t="str">
        <x:v>Đối chiếu trực tiếp ảnh quét trong PDF nguồn</x:v>
      </x:c>
    </x:row>
    <x:row r="80" ht="22" customHeight="1">
      <x:c r="A80" s="199" t="n">
        <x:v>510</x:v>
      </x:c>
      <x:c r="B80" s="199" t="n">
        <x:v>16</x:v>
      </x:c>
      <x:c r="C80" s="197" t="str">
        <x:v>Họ và tên</x:v>
      </x:c>
      <x:c r="D80" s="197" t="str">
        <x:v>LÊ ĐĂNG KHÔI ND</x:v>
      </x:c>
      <x:c r="E80" s="197" t="str">
        <x:v>LÊ ĐĂNG KHÔI</x:v>
      </x:c>
      <x:c r="F80" s="197" t="str">
        <x:v>Đối chiếu trực tiếp ảnh quét trong PDF nguồn</x:v>
      </x:c>
    </x:row>
    <x:row r="81" ht="22" customHeight="1">
      <x:c r="A81" s="199" t="n">
        <x:v>529</x:v>
      </x:c>
      <x:c r="B81" s="199" t="n">
        <x:v>16</x:v>
      </x:c>
      <x:c r="C81" s="197" t="str">
        <x:v>Họ và tên</x:v>
      </x:c>
      <x:c r="D81" s="197" t="str">
        <x:v>ƯƠNG THANH DỰ</x:v>
      </x:c>
      <x:c r="E81" s="197" t="str">
        <x:v>DƯƠNG THANH DỰ</x:v>
      </x:c>
      <x:c r="F81" s="197" t="str">
        <x:v>Đối chiếu trực tiếp ảnh quét trong PDF nguồn</x:v>
      </x:c>
    </x:row>
    <x:row r="82" ht="22" customHeight="1">
      <x:c r="A82" s="199" t="n">
        <x:v>534</x:v>
      </x:c>
      <x:c r="B82" s="199" t="n">
        <x:v>16</x:v>
      </x:c>
      <x:c r="C82" s="197" t="str">
        <x:v>Họ và tên</x:v>
      </x:c>
      <x:c r="D82" s="197" t="str">
        <x:v>LÝ THỊ ÁI NAM</x:v>
      </x:c>
      <x:c r="E82" s="197" t="str">
        <x:v>LÊ THỊ ÁI NAM</x:v>
      </x:c>
      <x:c r="F82" s="197" t="str">
        <x:v>Đối chiếu trực tiếp ảnh quét trong PDF nguồn</x:v>
      </x:c>
    </x:row>
    <x:row r="83" ht="22" customHeight="1">
      <x:c r="A83" s="199" t="n">
        <x:v>540</x:v>
      </x:c>
      <x:c r="B83" s="199" t="n">
        <x:v>17</x:v>
      </x:c>
      <x:c r="C83" s="197" t="str">
        <x:v>Họ và tên</x:v>
      </x:c>
      <x:c r="D83" s="197" t="str">
        <x:v>LÝ THANH TRÚC</x:v>
      </x:c>
      <x:c r="E83" s="197" t="str">
        <x:v>LÊ THANH TRÚC</x:v>
      </x:c>
      <x:c r="F83" s="197" t="str">
        <x:v>Đối chiếu trực tiếp ảnh quét trong PDF nguồn</x:v>
      </x:c>
    </x:row>
    <x:row r="84" ht="22" customHeight="1">
      <x:c r="A84" s="199" t="n">
        <x:v>542</x:v>
      </x:c>
      <x:c r="B84" s="199" t="n">
        <x:v>17</x:v>
      </x:c>
      <x:c r="C84" s="197" t="str">
        <x:v>Họ và tên</x:v>
      </x:c>
      <x:c r="D84" s="197" t="str">
        <x:v>ĐOÀN NGỌC HUYÈN</x:v>
      </x:c>
      <x:c r="E84" s="197" t="str">
        <x:v>ĐOÀN NGỌC HUYỀN</x:v>
      </x:c>
      <x:c r="F84" s="197" t="str">
        <x:v>Đối chiếu trực tiếp ảnh quét trong PDF nguồn</x:v>
      </x:c>
    </x:row>
    <x:row r="85" ht="22" customHeight="1">
      <x:c r="A85" s="199" t="n">
        <x:v>544</x:v>
      </x:c>
      <x:c r="B85" s="199" t="n">
        <x:v>17</x:v>
      </x:c>
      <x:c r="C85" s="197" t="str">
        <x:v>Họ và tên</x:v>
      </x:c>
      <x:c r="D85" s="197" t="str">
        <x:v>VÕ CAO ĐỈNH</x:v>
      </x:c>
      <x:c r="E85" s="197" t="str">
        <x:v>VÕ CAO ĐÌNH</x:v>
      </x:c>
      <x:c r="F85" s="197" t="str">
        <x:v>Đối chiếu trực tiếp ảnh quét trong PDF nguồn</x:v>
      </x:c>
    </x:row>
    <x:row r="86" ht="22" customHeight="1">
      <x:c r="A86" s="199" t="n">
        <x:v>544</x:v>
      </x:c>
      <x:c r="B86" s="199" t="n">
        <x:v>17</x:v>
      </x:c>
      <x:c r="C86" s="197" t="str">
        <x:v>Ngày tháng năm sinh</x:v>
      </x:c>
      <x:c r="D86" s="197" t="str">
        <x:v>27/07/5011</x:v>
      </x:c>
      <x:c r="E86" s="197" t="str">
        <x:v>27/07/2011</x:v>
      </x:c>
      <x:c r="F86" s="197" t="str">
        <x:v>Đối chiếu trực tiếp ảnh quét trong PDF nguồn</x:v>
      </x:c>
    </x:row>
    <x:row r="87" ht="22" customHeight="1">
      <x:c r="A87" s="199" t="n">
        <x:v>547</x:v>
      </x:c>
      <x:c r="B87" s="199" t="n">
        <x:v>17</x:v>
      </x:c>
      <x:c r="C87" s="197" t="str">
        <x:v>Họ và tên</x:v>
      </x:c>
      <x:c r="D87" s="197" t="str">
        <x:v>TRẦN HUỲNH HOÀNG LONG</x:v>
      </x:c>
      <x:c r="E87" s="197" t="str">
        <x:v>TRANG HUỲNH HOÀNG LONG</x:v>
      </x:c>
      <x:c r="F87" s="197" t="str">
        <x:v>Đối chiếu trực tiếp ảnh quét trong PDF nguồn</x:v>
      </x:c>
    </x:row>
    <x:row r="88" ht="22" customHeight="1">
      <x:c r="A88" s="199" t="n">
        <x:v>550</x:v>
      </x:c>
      <x:c r="B88" s="199" t="n">
        <x:v>17</x:v>
      </x:c>
      <x:c r="C88" s="197" t="str">
        <x:v>Họ và tên</x:v>
      </x:c>
      <x:c r="D88" s="197" t="str">
        <x:v>LÝ HẢI THIỆN</x:v>
      </x:c>
      <x:c r="E88" s="197" t="str">
        <x:v>LÊ HẢI THIỆN</x:v>
      </x:c>
      <x:c r="F88" s="197" t="str">
        <x:v>Đối chiếu trực tiếp ảnh quét trong PDF nguồn</x:v>
      </x:c>
    </x:row>
    <x:row r="89" ht="22" customHeight="1">
      <x:c r="A89" s="199" t="n">
        <x:v>557</x:v>
      </x:c>
      <x:c r="B89" s="199" t="n">
        <x:v>17</x:v>
      </x:c>
      <x:c r="C89" s="197" t="str">
        <x:v>Họ và tên</x:v>
      </x:c>
      <x:c r="D89" s="197" t="str">
        <x:v>NGUYỄN QUỐC TRẠNG</x:v>
      </x:c>
      <x:c r="E89" s="197" t="str">
        <x:v>NGUYỄN QUỐC TRANG</x:v>
      </x:c>
      <x:c r="F89" s="197" t="str">
        <x:v>Đối chiếu trực tiếp ảnh quét trong PDF nguồn</x:v>
      </x:c>
    </x:row>
    <x:row r="90" ht="22" customHeight="1">
      <x:c r="A90" s="199" t="n">
        <x:v>559</x:v>
      </x:c>
      <x:c r="B90" s="199" t="n">
        <x:v>17</x:v>
      </x:c>
      <x:c r="C90" s="197" t="str">
        <x:v>Họ và tên</x:v>
      </x:c>
      <x:c r="D90" s="197" t="str">
        <x:v>NGUYỄN CẢM LY</x:v>
      </x:c>
      <x:c r="E90" s="197" t="str">
        <x:v>NGUYỄN CẨM LY</x:v>
      </x:c>
      <x:c r="F90" s="197" t="str">
        <x:v>Đối chiếu trực tiếp ảnh quét trong PDF nguồn</x:v>
      </x:c>
    </x:row>
    <x:row r="91" ht="22" customHeight="1">
      <x:c r="A91" s="199" t="n">
        <x:v>570</x:v>
      </x:c>
      <x:c r="B91" s="199" t="n">
        <x:v>17</x:v>
      </x:c>
      <x:c r="C91" s="197" t="str">
        <x:v>Họ và tên</x:v>
      </x:c>
      <x:c r="D91" s="197" t="str">
        <x:v>IUỲNH DUY KHÁNH</x:v>
      </x:c>
      <x:c r="E91" s="197" t="str">
        <x:v>HUỲNH DUY KHÁNH</x:v>
      </x:c>
      <x:c r="F91" s="197" t="str">
        <x:v>Đối chiếu trực tiếp ảnh quét trong PDF nguồn</x:v>
      </x:c>
    </x:row>
    <x:row r="92" ht="22" customHeight="1">
      <x:c r="A92" s="199" t="n">
        <x:v>574</x:v>
      </x:c>
      <x:c r="B92" s="199" t="n">
        <x:v>18</x:v>
      </x:c>
      <x:c r="C92" s="197" t="str">
        <x:v>Họ và tên</x:v>
      </x:c>
      <x:c r="D92" s="197" t="str">
        <x:v>PHẠM DIỄM HÀNG</x:v>
      </x:c>
      <x:c r="E92" s="197" t="str">
        <x:v>PHẠM DIỄM HẰNG</x:v>
      </x:c>
      <x:c r="F92" s="197" t="str">
        <x:v>Đối chiếu trực tiếp ảnh quét trong PDF nguồn</x:v>
      </x:c>
    </x:row>
    <x:row r="93" ht="22" customHeight="1">
      <x:c r="A93" s="199" t="n">
        <x:v>581</x:v>
      </x:c>
      <x:c r="B93" s="199" t="n">
        <x:v>18</x:v>
      </x:c>
      <x:c r="C93" s="197" t="str">
        <x:v>Họ và tên</x:v>
      </x:c>
      <x:c r="D93" s="197" t="str">
        <x:v>LA TRỌNG KHANG</x:v>
      </x:c>
      <x:c r="E93" s="197" t="str">
        <x:v>LƯU TRỌNG KHANG</x:v>
      </x:c>
      <x:c r="F93" s="197" t="str">
        <x:v>Đối chiếu trực tiếp ảnh quét trong PDF nguồn</x:v>
      </x:c>
    </x:row>
    <x:row r="94" ht="22" customHeight="1">
      <x:c r="A94" s="199" t="n">
        <x:v>592</x:v>
      </x:c>
      <x:c r="B94" s="199" t="n">
        <x:v>18</x:v>
      </x:c>
      <x:c r="C94" s="197" t="str">
        <x:v>Họ và tên</x:v>
      </x:c>
      <x:c r="D94" s="197" t="str">
        <x:v>MAI VĂN NHÀ THY</x:v>
      </x:c>
      <x:c r="E94" s="197" t="str">
        <x:v>MAI VĂN NHÃ THY</x:v>
      </x:c>
      <x:c r="F94" s="197" t="str">
        <x:v>Đối chiếu trực tiếp ảnh quét trong PDF nguồn</x:v>
      </x:c>
    </x:row>
    <x:row r="95" ht="22" customHeight="1">
      <x:c r="A95" s="199" t="n">
        <x:v>597</x:v>
      </x:c>
      <x:c r="B95" s="199" t="n">
        <x:v>18</x:v>
      </x:c>
      <x:c r="C95" s="197" t="str">
        <x:v>Họ và tên</x:v>
      </x:c>
      <x:c r="D95" s="197" t="str">
        <x:v>NGUYỄN TIỀN ĐẠT</x:v>
      </x:c>
      <x:c r="E95" s="197" t="str">
        <x:v>NGUYỄN TIẾN ĐẠT</x:v>
      </x:c>
      <x:c r="F95" s="197" t="str">
        <x:v>Đối chiếu trực tiếp ảnh quét trong PDF nguồn</x:v>
      </x:c>
    </x:row>
    <x:row r="96" ht="22" customHeight="1">
      <x:c r="A96" s="199" t="n">
        <x:v>600</x:v>
      </x:c>
      <x:c r="B96" s="199" t="n">
        <x:v>18</x:v>
      </x:c>
      <x:c r="C96" s="197" t="str">
        <x:v>Trường THCS - Xã/Phường</x:v>
      </x:c>
      <x:c r="D96" s="197" t="str">
        <x:v>Phường Bình Trị Đông A</x:v>
      </x:c>
      <x:c r="E96" s="197" t="str">
        <x:v>Bình Trị Đông A</x:v>
      </x:c>
      <x:c r="F96" s="197" t="str">
        <x:v>Đối chiếu trực tiếp ảnh quét trong PDF nguồn</x:v>
      </x:c>
    </x:row>
    <x:row r="97" ht="22" customHeight="1">
      <x:c r="A97" s="199" t="n">
        <x:v>609</x:v>
      </x:c>
      <x:c r="B97" s="199" t="n">
        <x:v>19</x:v>
      </x:c>
      <x:c r="C97" s="197" t="str">
        <x:v>Họ và tên</x:v>
      </x:c>
      <x:c r="D97" s="197" t="str">
        <x:v>LÝ THỊ NGỌC TRÂM</x:v>
      </x:c>
      <x:c r="E97" s="197" t="str">
        <x:v>LÊ THỊ NGỌC TRÂM</x:v>
      </x:c>
      <x:c r="F97" s="197" t="str">
        <x:v>Đối chiếu trực tiếp ảnh quét trong PDF nguồn</x:v>
      </x:c>
    </x:row>
    <x:row r="98" ht="22" customHeight="1">
      <x:c r="A98" s="199" t="n">
        <x:v>610</x:v>
      </x:c>
      <x:c r="B98" s="199" t="n">
        <x:v>19</x:v>
      </x:c>
      <x:c r="C98" s="197" t="str">
        <x:v>Họ và tên</x:v>
      </x:c>
      <x:c r="D98" s="197" t="str">
        <x:v>VÕ ĐIỀN NHƯ NGUYỄN</x:v>
      </x:c>
      <x:c r="E98" s="197" t="str">
        <x:v>VÕ DIỄN NHƯ NGUYÊN</x:v>
      </x:c>
      <x:c r="F98" s="197" t="str">
        <x:v>Đối chiếu trực tiếp ảnh quét trong PDF nguồn</x:v>
      </x:c>
    </x:row>
    <x:row r="99" ht="22" customHeight="1">
      <x:c r="A99" s="199" t="n">
        <x:v>613</x:v>
      </x:c>
      <x:c r="B99" s="199" t="n">
        <x:v>19</x:v>
      </x:c>
      <x:c r="C99" s="197" t="str">
        <x:v>Họ và tên</x:v>
      </x:c>
      <x:c r="D99" s="197" t="str">
        <x:v>TRẦN BÍCH HUYÊN</x:v>
      </x:c>
      <x:c r="E99" s="197" t="str">
        <x:v>TRẦN BÍCH HUYỀN</x:v>
      </x:c>
      <x:c r="F99" s="197" t="str">
        <x:v>Đối chiếu trực tiếp ảnh quét trong PDF nguồn</x:v>
      </x:c>
    </x:row>
    <x:row r="100" ht="22" customHeight="1">
      <x:c r="A100" s="199" t="n">
        <x:v>618</x:v>
      </x:c>
      <x:c r="B100" s="199" t="n">
        <x:v>19</x:v>
      </x:c>
      <x:c r="C100" s="197" t="str">
        <x:v>Họ và tên</x:v>
      </x:c>
      <x:c r="D100" s="197" t="str">
        <x:v>LÝ CHÍ HẢI</x:v>
      </x:c>
      <x:c r="E100" s="197" t="str">
        <x:v>LÊ CHÍ HẢI</x:v>
      </x:c>
      <x:c r="F100" s="197" t="str">
        <x:v>Đối chiếu trực tiếp ảnh quét trong PDF nguồn</x:v>
      </x:c>
    </x:row>
    <x:row r="101" ht="22" customHeight="1">
      <x:c r="A101" s="199" t="n">
        <x:v>637</x:v>
      </x:c>
      <x:c r="B101" s="199" t="n">
        <x:v>19</x:v>
      </x:c>
      <x:c r="C101" s="197" t="str">
        <x:v>Họ và tên</x:v>
      </x:c>
      <x:c r="D101" s="197" t="str">
        <x:v>HẠM GIA TƯỜNG</x:v>
      </x:c>
      <x:c r="E101" s="197" t="str">
        <x:v>PHẠM GIA TƯỜNG</x:v>
      </x:c>
      <x:c r="F101" s="197" t="str">
        <x:v>Đối chiếu trực tiếp ảnh quét trong PDF nguồn</x:v>
      </x:c>
    </x:row>
    <x:row r="102" ht="22" customHeight="1">
      <x:c r="A102" s="199" t="n">
        <x:v>642</x:v>
      </x:c>
      <x:c r="B102" s="199" t="n">
        <x:v>20</x:v>
      </x:c>
      <x:c r="C102" s="197" t="str">
        <x:v>Họ và tên</x:v>
      </x:c>
      <x:c r="D102" s="197" t="str">
        <x:v>LÝ NGỌC TRÂN</x:v>
      </x:c>
      <x:c r="E102" s="197" t="str">
        <x:v>LÊ NGỌC TRÂN</x:v>
      </x:c>
      <x:c r="F102" s="197" t="str">
        <x:v>Đối chiếu trực tiếp ảnh quét trong PDF nguồn</x:v>
      </x:c>
    </x:row>
    <x:row r="103" ht="22" customHeight="1">
      <x:c r="A103" s="199" t="n">
        <x:v>650</x:v>
      </x:c>
      <x:c r="B103" s="199" t="n">
        <x:v>20</x:v>
      </x:c>
      <x:c r="C103" s="197" t="str">
        <x:v>Họ và tên</x:v>
      </x:c>
      <x:c r="D103" s="197" t="str">
        <x:v>TĂNG HIÈN LƯƠNG</x:v>
      </x:c>
      <x:c r="E103" s="197" t="str">
        <x:v>TĂNG HIỀN LƯƠNG</x:v>
      </x:c>
      <x:c r="F103" s="197" t="str">
        <x:v>Đối chiếu trực tiếp ảnh quét trong PDF nguồn</x:v>
      </x:c>
    </x:row>
    <x:row r="104" ht="22" customHeight="1">
      <x:c r="A104" s="199" t="n">
        <x:v>657</x:v>
      </x:c>
      <x:c r="B104" s="199" t="n">
        <x:v>20</x:v>
      </x:c>
      <x:c r="C104" s="197" t="str">
        <x:v>Họ và tên</x:v>
      </x:c>
      <x:c r="D104" s="197" t="str">
        <x:v>SỮ NGUYỄN GIA BẢO</x:v>
      </x:c>
      <x:c r="E104" s="197" t="str">
        <x:v>SỬ NGUYỄN GIA BẢO</x:v>
      </x:c>
      <x:c r="F104" s="197" t="str">
        <x:v>Đối chiếu trực tiếp ảnh quét trong PDF nguồn</x:v>
      </x:c>
    </x:row>
    <x:row r="105" ht="22" customHeight="1">
      <x:c r="A105" s="199" t="n">
        <x:v>658</x:v>
      </x:c>
      <x:c r="B105" s="199" t="n">
        <x:v>20</x:v>
      </x:c>
      <x:c r="C105" s="197" t="str">
        <x:v>Họ và tên</x:v>
      </x:c>
      <x:c r="D105" s="197" t="str">
        <x:v>TÔ THANH SANG</x:v>
      </x:c>
      <x:c r="E105" s="197" t="str">
        <x:v>TỐNG THANH SANG</x:v>
      </x:c>
      <x:c r="F105" s="197" t="str">
        <x:v>Đối chiếu trực tiếp ảnh quét trong PDF nguồn</x:v>
      </x:c>
    </x:row>
    <x:row r="106" ht="22" customHeight="1">
      <x:c r="A106" s="199" t="n">
        <x:v>660</x:v>
      </x:c>
      <x:c r="B106" s="199" t="n">
        <x:v>20</x:v>
      </x:c>
      <x:c r="C106" s="197" t="str">
        <x:v>Họ và tên</x:v>
      </x:c>
      <x:c r="D106" s="197" t="str">
        <x:v>NGUYỄN THỊ THỦY DUYÊN</x:v>
      </x:c>
      <x:c r="E106" s="197" t="str">
        <x:v>NGUYỄN THỊ THÙY DUYÊN</x:v>
      </x:c>
      <x:c r="F106" s="197" t="str">
        <x:v>Đối chiếu trực tiếp ảnh quét trong PDF nguồn</x:v>
      </x:c>
    </x:row>
    <x:row r="107" ht="22" customHeight="1">
      <x:c r="A107" s="199" t="n">
        <x:v>665</x:v>
      </x:c>
      <x:c r="B107" s="199" t="n">
        <x:v>20</x:v>
      </x:c>
      <x:c r="C107" s="197" t="str">
        <x:v>Họ và tên</x:v>
      </x:c>
      <x:c r="D107" s="197" t="str">
        <x:v>NGUYỄN HOÀNG GIẢNG</x:v>
      </x:c>
      <x:c r="E107" s="197" t="str">
        <x:v>NGUYỄN HOÀNG GIANG</x:v>
      </x:c>
      <x:c r="F107" s="197" t="str">
        <x:v>Đối chiếu trực tiếp ảnh quét trong PDF nguồn</x:v>
      </x:c>
    </x:row>
    <x:row r="108" ht="22" customHeight="1">
      <x:c r="A108" s="199" t="n">
        <x:v>667</x:v>
      </x:c>
      <x:c r="B108" s="199" t="n">
        <x:v>20</x:v>
      </x:c>
      <x:c r="C108" s="197" t="str">
        <x:v>Họ và tên</x:v>
      </x:c>
      <x:c r="D108" s="197" t="str">
        <x:v>LÝ KHẢ ÁI</x:v>
      </x:c>
      <x:c r="E108" s="197" t="str">
        <x:v>LƯU KHẢ ÁI</x:v>
      </x:c>
      <x:c r="F108" s="197" t="str">
        <x:v>Đối chiếu trực tiếp ảnh quét trong PDF nguồn</x:v>
      </x:c>
    </x:row>
    <x:row r="109" ht="22" customHeight="1">
      <x:c r="A109" s="199" t="n">
        <x:v>670</x:v>
      </x:c>
      <x:c r="B109" s="199" t="n">
        <x:v>20</x:v>
      </x:c>
      <x:c r="C109" s="197" t="str">
        <x:v>Họ và tên</x:v>
      </x:c>
      <x:c r="D109" s="197" t="str">
        <x:v>LÝ THỊ TƯỜNG VY</x:v>
      </x:c>
      <x:c r="E109" s="197" t="str">
        <x:v>LÊ THỊ TƯỜNG VY</x:v>
      </x:c>
      <x:c r="F109" s="197" t="str">
        <x:v>Đối chiếu trực tiếp ảnh quét trong PDF nguồn</x:v>
      </x:c>
    </x:row>
    <x:row r="110" ht="22" customHeight="1">
      <x:c r="A110" s="199" t="n">
        <x:v>674</x:v>
      </x:c>
      <x:c r="B110" s="199" t="n">
        <x:v>20</x:v>
      </x:c>
      <x:c r="C110" s="197" t="str">
        <x:v>Họ và tên</x:v>
      </x:c>
      <x:c r="D110" s="197" t="str">
        <x:v>VÕ NGUYẼN BÍCH HỢP</x:v>
      </x:c>
      <x:c r="E110" s="197" t="str">
        <x:v>VÕ NGUYỄN BÍCH HỢP</x:v>
      </x:c>
      <x:c r="F110" s="197" t="str">
        <x:v>Đối chiếu trực tiếp ảnh quét trong PDF nguồn</x:v>
      </x:c>
    </x:row>
    <x:row r="111" ht="22" customHeight="1">
      <x:c r="A111" s="199" t="n">
        <x:v>683</x:v>
      </x:c>
      <x:c r="B111" s="199" t="n">
        <x:v>21</x:v>
      </x:c>
      <x:c r="C111" s="197" t="str">
        <x:v>Họ và tên</x:v>
      </x:c>
      <x:c r="D111" s="197" t="str">
        <x:v>NGUYỄN KIÊU THƯ</x:v>
      </x:c>
      <x:c r="E111" s="197" t="str">
        <x:v>NGUYỄN KIỀU THƯ</x:v>
      </x:c>
      <x:c r="F111" s="197" t="str">
        <x:v>Đối chiếu trực tiếp ảnh quét trong PDF nguồn</x:v>
      </x:c>
    </x:row>
    <x:row r="112" ht="22" customHeight="1">
      <x:c r="A112" s="199" t="n">
        <x:v>684</x:v>
      </x:c>
      <x:c r="B112" s="199" t="n">
        <x:v>21</x:v>
      </x:c>
      <x:c r="C112" s="197" t="str">
        <x:v>Họ và tên</x:v>
      </x:c>
      <x:c r="D112" s="197" t="str">
        <x:v>TRẦN GIA LÂM</x:v>
      </x:c>
      <x:c r="E112" s="197" t="str">
        <x:v>TRANG GIA LÂM</x:v>
      </x:c>
      <x:c r="F112" s="197" t="str">
        <x:v>Đối chiếu trực tiếp ảnh quét trong PDF nguồn</x:v>
      </x:c>
    </x:row>
    <x:row r="113" ht="22" customHeight="1">
      <x:c r="A113" s="199" t="n">
        <x:v>685</x:v>
      </x:c>
      <x:c r="B113" s="199" t="n">
        <x:v>21</x:v>
      </x:c>
      <x:c r="C113" s="197" t="str">
        <x:v>Họ và tên</x:v>
      </x:c>
      <x:c r="D113" s="197" t="str">
        <x:v>HÀ ÁI NHI</x:v>
      </x:c>
      <x:c r="E113" s="197" t="str">
        <x:v>HỒNG ÁI NHI</x:v>
      </x:c>
      <x:c r="F113" s="197" t="str">
        <x:v>Đối chiếu trực tiếp ảnh quét trong PDF nguồn</x:v>
      </x:c>
    </x:row>
    <x:row r="114" ht="22" customHeight="1">
      <x:c r="A114" s="199" t="n">
        <x:v>709</x:v>
      </x:c>
      <x:c r="B114" s="199" t="n">
        <x:v>22</x:v>
      </x:c>
      <x:c r="C114" s="197" t="str">
        <x:v>Họ và tên</x:v>
      </x:c>
      <x:c r="D114" s="197" t="str">
        <x:v>LÊ THỊ VÀNG CHỊ</x:v>
      </x:c>
      <x:c r="E114" s="197" t="str">
        <x:v>LÊ THỊ VÀNG CHI</x:v>
      </x:c>
      <x:c r="F114" s="197" t="str">
        <x:v>Đối chiếu trực tiếp ảnh quét trong PDF nguồn</x:v>
      </x:c>
    </x:row>
    <x:row r="115" ht="22" customHeight="1">
      <x:c r="A115" s="199" t="n">
        <x:v>714</x:v>
      </x:c>
      <x:c r="B115" s="199" t="n">
        <x:v>22</x:v>
      </x:c>
      <x:c r="C115" s="197" t="str">
        <x:v>Họ và tên</x:v>
      </x:c>
      <x:c r="D115" s="197" t="str">
        <x:v>NGUYỄN TRUNG BIÉT</x:v>
      </x:c>
      <x:c r="E115" s="197" t="str">
        <x:v>NGUYỄN TRUNG BIẾT</x:v>
      </x:c>
      <x:c r="F115" s="197" t="str">
        <x:v>Đối chiếu trực tiếp ảnh quét trong PDF nguồn</x:v>
      </x:c>
    </x:row>
    <x:row r="116" ht="22" customHeight="1">
      <x:c r="A116" s="199" t="n">
        <x:v>717</x:v>
      </x:c>
      <x:c r="B116" s="199" t="n">
        <x:v>22</x:v>
      </x:c>
      <x:c r="C116" s="197" t="str">
        <x:v>Họ và tên</x:v>
      </x:c>
      <x:c r="D116" s="197" t="str">
        <x:v>TRẦN QUỐC TIỀN</x:v>
      </x:c>
      <x:c r="E116" s="197" t="str">
        <x:v>TRẦN QUỐC TIẾN</x:v>
      </x:c>
      <x:c r="F116" s="197" t="str">
        <x:v>Đối chiếu trực tiếp ảnh quét trong PDF nguồn</x:v>
      </x:c>
    </x:row>
    <x:row r="117" ht="22" customHeight="1">
      <x:c r="A117" s="199" t="n">
        <x:v>718</x:v>
      </x:c>
      <x:c r="B117" s="199" t="n">
        <x:v>22</x:v>
      </x:c>
      <x:c r="C117" s="197" t="str">
        <x:v>Họ và tên</x:v>
      </x:c>
      <x:c r="D117" s="197" t="str">
        <x:v>UÃNG ANH THƯ</x:v>
      </x:c>
      <x:c r="E117" s="197" t="str">
        <x:v>QUẢNG ANH THƯ</x:v>
      </x:c>
      <x:c r="F117" s="197" t="str">
        <x:v>Đối chiếu trực tiếp ảnh quét trong PDF nguồn</x:v>
      </x:c>
    </x:row>
    <x:row r="118" ht="22" customHeight="1">
      <x:c r="A118" s="199" t="n">
        <x:v>723</x:v>
      </x:c>
      <x:c r="B118" s="199" t="n">
        <x:v>22</x:v>
      </x:c>
      <x:c r="C118" s="197" t="str">
        <x:v>Họ và tên</x:v>
      </x:c>
      <x:c r="D118" s="197" t="str">
        <x:v>HƯƠNG TÙNG VỸ</x:v>
      </x:c>
      <x:c r="E118" s="197" t="str">
        <x:v>PHƯƠNG TÙNG VỸ</x:v>
      </x:c>
      <x:c r="F118" s="197" t="str">
        <x:v>Đối chiếu trực tiếp ảnh quét trong PDF nguồn</x:v>
      </x:c>
    </x:row>
    <x:row r="119" ht="22" customHeight="1">
      <x:c r="A119" s="199" t="n">
        <x:v>726</x:v>
      </x:c>
      <x:c r="B119" s="199" t="n">
        <x:v>22</x:v>
      </x:c>
      <x:c r="C119" s="197" t="str">
        <x:v>Họ và tên</x:v>
      </x:c>
      <x:c r="D119" s="197" t="str">
        <x:v>ĐỖ CHÍ HIÊN</x:v>
      </x:c>
      <x:c r="E119" s="197" t="str">
        <x:v>ĐỖ CHÍ HIỀN</x:v>
      </x:c>
      <x:c r="F119" s="197" t="str">
        <x:v>Đối chiếu trực tiếp ảnh quét trong PDF nguồn</x:v>
      </x:c>
    </x:row>
    <x:row r="120" ht="22" customHeight="1">
      <x:c r="A120" s="199" t="n">
        <x:v>743</x:v>
      </x:c>
      <x:c r="B120" s="199" t="n">
        <x:v>23</x:v>
      </x:c>
      <x:c r="C120" s="197" t="str">
        <x:v>Họ và tên</x:v>
      </x:c>
      <x:c r="D120" s="197" t="str">
        <x:v>LÝ QUỐC NAM</x:v>
      </x:c>
      <x:c r="E120" s="197" t="str">
        <x:v>LÊ QUỐC NAM</x:v>
      </x:c>
      <x:c r="F120" s="197" t="str">
        <x:v>Đối chiếu trực tiếp ảnh quét trong PDF nguồn</x:v>
      </x:c>
    </x:row>
    <x:row r="121" ht="22" customHeight="1">
      <x:c r="A121" s="199" t="n">
        <x:v>752</x:v>
      </x:c>
      <x:c r="B121" s="199" t="n">
        <x:v>23</x:v>
      </x:c>
      <x:c r="C121" s="197" t="str">
        <x:v>Họ và tên</x:v>
      </x:c>
      <x:c r="D121" s="197" t="str">
        <x:v>NGÔ GIA HUY</x:v>
      </x:c>
      <x:c r="E121" s="197" t="str">
        <x:v>NGŨ GIA HUY</x:v>
      </x:c>
      <x:c r="F121" s="197" t="str">
        <x:v>Đối chiếu trực tiếp ảnh quét trong PDF nguồn</x:v>
      </x:c>
    </x:row>
    <x:row r="122" ht="22" customHeight="1">
      <x:c r="A122" s="199" t="n">
        <x:v>753</x:v>
      </x:c>
      <x:c r="B122" s="199" t="n">
        <x:v>23</x:v>
      </x:c>
      <x:c r="C122" s="197" t="str">
        <x:v>Họ và tên</x:v>
      </x:c>
      <x:c r="D122" s="197" t="str">
        <x:v>HÀNG CHÂM ANH</x:v>
      </x:c>
      <x:c r="E122" s="197" t="str">
        <x:v>HẰNG CHÂM ANH</x:v>
      </x:c>
      <x:c r="F122" s="197" t="str">
        <x:v>Đối chiếu trực tiếp ảnh quét trong PDF nguồn</x:v>
      </x:c>
    </x:row>
    <x:row r="123" ht="22" customHeight="1">
      <x:c r="A123" s="199" t="n">
        <x:v>761</x:v>
      </x:c>
      <x:c r="B123" s="199" t="n">
        <x:v>23</x:v>
      </x:c>
      <x:c r="C123" s="197" t="str">
        <x:v>Họ và tên</x:v>
      </x:c>
      <x:c r="D123" s="197" t="str">
        <x:v>LÝ QUỐC TAM</x:v>
      </x:c>
      <x:c r="E123" s="197" t="str">
        <x:v>LÊ QUỐC TAM</x:v>
      </x:c>
      <x:c r="F123" s="197" t="str">
        <x:v>Đối chiếu trực tiếp ảnh quét trong PDF nguồn</x:v>
      </x:c>
    </x:row>
    <x:row r="124" ht="22" customHeight="1">
      <x:c r="A124" s="199" t="n">
        <x:v>776</x:v>
      </x:c>
      <x:c r="B124" s="199" t="n">
        <x:v>23</x:v>
      </x:c>
      <x:c r="C124" s="197" t="str">
        <x:v>Họ và tên</x:v>
      </x:c>
      <x:c r="D124" s="197" t="str">
        <x:v>TRẦN VIỆT BẢC</x:v>
      </x:c>
      <x:c r="E124" s="197" t="str">
        <x:v>TRẦN VIỆT BẮC</x:v>
      </x:c>
      <x:c r="F124" s="197" t="str">
        <x:v>Đối chiếu trực tiếp ảnh quét trong PDF nguồn</x:v>
      </x:c>
    </x:row>
    <x:row r="125" ht="22" customHeight="1">
      <x:c r="A125" s="199" t="n">
        <x:v>777</x:v>
      </x:c>
      <x:c r="B125" s="199" t="n">
        <x:v>24</x:v>
      </x:c>
      <x:c r="C125" s="197" t="str">
        <x:v>Họ và tên</x:v>
      </x:c>
      <x:c r="D125" s="197" t="str">
        <x:v>TÔ TUYÉẾT BĂNG</x:v>
      </x:c>
      <x:c r="E125" s="197" t="str">
        <x:v>TÔ TUYẾT BĂNG</x:v>
      </x:c>
      <x:c r="F125" s="197" t="str">
        <x:v>Đối chiếu trực tiếp ảnh quét trong PDF nguồn</x:v>
      </x:c>
    </x:row>
    <x:row r="126" ht="22" customHeight="1">
      <x:c r="A126" s="199" t="n">
        <x:v>780</x:v>
      </x:c>
      <x:c r="B126" s="199" t="n">
        <x:v>24</x:v>
      </x:c>
      <x:c r="C126" s="197" t="str">
        <x:v>Họ và tên</x:v>
      </x:c>
      <x:c r="D126" s="197" t="str">
        <x:v>VÕ THỊ KIÊU</x:v>
      </x:c>
      <x:c r="E126" s="197" t="str">
        <x:v>VÕ THỊ KIỀU</x:v>
      </x:c>
      <x:c r="F126" s="197" t="str">
        <x:v>Đối chiếu trực tiếp ảnh quét trong PDF nguồn</x:v>
      </x:c>
    </x:row>
    <x:row r="127" ht="22" customHeight="1">
      <x:c r="A127" s="199" t="n">
        <x:v>786</x:v>
      </x:c>
      <x:c r="B127" s="199" t="n">
        <x:v>24</x:v>
      </x:c>
      <x:c r="C127" s="197" t="str">
        <x:v>Họ và tên</x:v>
      </x:c>
      <x:c r="D127" s="197" t="str">
        <x:v>ĐẶNG THỊ HUYÊN TRÂN</x:v>
      </x:c>
      <x:c r="E127" s="197" t="str">
        <x:v>ĐẶNG THỊ HUYỀN TRÂN</x:v>
      </x:c>
      <x:c r="F127" s="197" t="str">
        <x:v>Đối chiếu trực tiếp ảnh quét trong PDF nguồn</x:v>
      </x:c>
    </x:row>
    <x:row r="128" ht="22" customHeight="1">
      <x:c r="A128" s="199" t="n">
        <x:v>795</x:v>
      </x:c>
      <x:c r="B128" s="199" t="n">
        <x:v>24</x:v>
      </x:c>
      <x:c r="C128" s="197" t="str">
        <x:v>Họ và tên</x:v>
      </x:c>
      <x:c r="D128" s="197" t="str">
        <x:v>DƯƠNG LƯU VÃNG</x:v>
      </x:c>
      <x:c r="E128" s="197" t="str">
        <x:v>DƯƠNG LƯU VÀNG</x:v>
      </x:c>
      <x:c r="F128" s="197" t="str">
        <x:v>Đối chiếu trực tiếp ảnh quét trong PDF nguồn</x:v>
      </x:c>
    </x:row>
    <x:row r="129" ht="22" customHeight="1">
      <x:c r="A129" s="199" t="n">
        <x:v>797</x:v>
      </x:c>
      <x:c r="B129" s="199" t="n">
        <x:v>24</x:v>
      </x:c>
      <x:c r="C129" s="197" t="str">
        <x:v>Họ và tên</x:v>
      </x:c>
      <x:c r="D129" s="197" t="str">
        <x:v>NGUYỄN PHÚ LẦM</x:v>
      </x:c>
      <x:c r="E129" s="197" t="str">
        <x:v>NGUYỄN PHÚ LÂM</x:v>
      </x:c>
      <x:c r="F129" s="197" t="str">
        <x:v>Đối chiếu trực tiếp ảnh quét trong PDF nguồn</x:v>
      </x:c>
    </x:row>
    <x:row r="130" ht="22" customHeight="1">
      <x:c r="A130" s="199" t="n">
        <x:v>808</x:v>
      </x:c>
      <x:c r="B130" s="199" t="n">
        <x:v>24</x:v>
      </x:c>
      <x:c r="C130" s="197" t="str">
        <x:v>Họ và tên</x:v>
      </x:c>
      <x:c r="D130" s="197" t="str">
        <x:v>LÊ NHẬT TUYỂN</x:v>
      </x:c>
      <x:c r="E130" s="197" t="str">
        <x:v>LÊ NHẬT TUYỀN</x:v>
      </x:c>
      <x:c r="F130" s="197" t="str">
        <x:v>Đối chiếu trực tiếp ảnh quét trong PDF nguồn</x:v>
      </x:c>
    </x:row>
    <x:row r="131" ht="22" customHeight="1">
      <x:c r="A131" s="199" t="n">
        <x:v>812</x:v>
      </x:c>
      <x:c r="B131" s="199" t="n">
        <x:v>25</x:v>
      </x:c>
      <x:c r="C131" s="197" t="str">
        <x:v>Họ và tên</x:v>
      </x:c>
      <x:c r="D131" s="197" t="str">
        <x:v>BÙI NGỌC CẢM</x:v>
      </x:c>
      <x:c r="E131" s="197" t="str">
        <x:v>BÙI NGỌC CẨM</x:v>
      </x:c>
      <x:c r="F131" s="197" t="str">
        <x:v>Đối chiếu trực tiếp ảnh quét trong PDF nguồn</x:v>
      </x:c>
    </x:row>
    <x:row r="132" ht="22" customHeight="1">
      <x:c r="A132" s="199" t="n">
        <x:v>813</x:v>
      </x:c>
      <x:c r="B132" s="199" t="n">
        <x:v>25</x:v>
      </x:c>
      <x:c r="C132" s="197" t="str">
        <x:v>Họ và tên</x:v>
      </x:c>
      <x:c r="D132" s="197" t="str">
        <x:v>LÝ BẢO AN</x:v>
      </x:c>
      <x:c r="E132" s="197" t="str">
        <x:v>LÊ BẢO AN</x:v>
      </x:c>
      <x:c r="F132" s="197" t="str">
        <x:v>Đối chiếu trực tiếp ảnh quét trong PDF nguồn</x:v>
      </x:c>
    </x:row>
    <x:row r="133" ht="22" customHeight="1">
      <x:c r="A133" s="199" t="n">
        <x:v>818</x:v>
      </x:c>
      <x:c r="B133" s="199" t="n">
        <x:v>25</x:v>
      </x:c>
      <x:c r="C133" s="197" t="str">
        <x:v>Họ và tên</x:v>
      </x:c>
      <x:c r="D133" s="197" t="str">
        <x:v>NGUYỄN VĂN HIẺU</x:v>
      </x:c>
      <x:c r="E133" s="197" t="str">
        <x:v>NGUYỄN VĂN HIẾU</x:v>
      </x:c>
      <x:c r="F133" s="197" t="str">
        <x:v>Đối chiếu trực tiếp ảnh quét trong PDF nguồn</x:v>
      </x:c>
    </x:row>
    <x:row r="134" ht="22" customHeight="1">
      <x:c r="A134" s="199" t="n">
        <x:v>835</x:v>
      </x:c>
      <x:c r="B134" s="199" t="n">
        <x:v>25</x:v>
      </x:c>
      <x:c r="C134" s="197" t="str">
        <x:v>Ngày tháng năm sinh</x:v>
      </x:c>
      <x:c r="D134" s="197" t="str">
        <x:v>00/12/2011</x:v>
      </x:c>
      <x:c r="E134" s="197" t="str">
        <x:v>30/12/2011</x:v>
      </x:c>
      <x:c r="F134" s="197" t="str">
        <x:v>Đối chiếu trực tiếp ảnh quét trong PDF nguồn</x:v>
      </x:c>
    </x:row>
    <x:row r="135" ht="22" customHeight="1">
      <x:c r="A135" s="199" t="n">
        <x:v>841</x:v>
      </x:c>
      <x:c r="B135" s="199" t="n">
        <x:v>25</x:v>
      </x:c>
      <x:c r="C135" s="197" t="str">
        <x:v>Họ và tên</x:v>
      </x:c>
      <x:c r="D135" s="197" t="str">
        <x:v>TỨA HẢI NGHIÊM</x:v>
      </x:c>
      <x:c r="E135" s="197" t="str">
        <x:v>HỨA HẢI NGHIÊM</x:v>
      </x:c>
      <x:c r="F135" s="197" t="str">
        <x:v>Đối chiếu trực tiếp ảnh quét trong PDF nguồn</x:v>
      </x:c>
    </x:row>
    <x:row r="136" ht="22" customHeight="1">
      <x:c r="A136" s="199" t="n">
        <x:v>843</x:v>
      </x:c>
      <x:c r="B136" s="199" t="n">
        <x:v>25</x:v>
      </x:c>
      <x:c r="C136" s="197" t="str">
        <x:v>Họ và tên</x:v>
      </x:c>
      <x:c r="D136" s="197" t="str">
        <x:v>LÝ KIM THƯ</x:v>
      </x:c>
      <x:c r="E136" s="197" t="str">
        <x:v>LÊ KIM THƯ</x:v>
      </x:c>
      <x:c r="F136" s="197" t="str">
        <x:v>Đối chiếu trực tiếp ảnh quét trong PDF nguồn</x:v>
      </x:c>
    </x:row>
    <x:row r="137" ht="22" customHeight="1">
      <x:c r="A137" s="199" t="n">
        <x:v>848</x:v>
      </x:c>
      <x:c r="B137" s="199" t="n">
        <x:v>26</x:v>
      </x:c>
      <x:c r="C137" s="197" t="str">
        <x:v>Họ và tên</x:v>
      </x:c>
      <x:c r="D137" s="197" t="str">
        <x:v>TRẦN NGỌC HUYÊN</x:v>
      </x:c>
      <x:c r="E137" s="197" t="str">
        <x:v>TRẦN NGỌC HUYỀN</x:v>
      </x:c>
      <x:c r="F137" s="197" t="str">
        <x:v>Đối chiếu trực tiếp ảnh quét trong PDF nguồn</x:v>
      </x:c>
    </x:row>
    <x:row r="138" ht="22" customHeight="1">
      <x:c r="A138" s="199" t="n">
        <x:v>854</x:v>
      </x:c>
      <x:c r="B138" s="199" t="n">
        <x:v>26</x:v>
      </x:c>
      <x:c r="C138" s="197" t="str">
        <x:v>Họ và tên</x:v>
      </x:c>
      <x:c r="D138" s="197" t="str">
        <x:v>PHỪÙNG QUANG VINH</x:v>
      </x:c>
      <x:c r="E138" s="197" t="str">
        <x:v>PHÙNG QUANG VINH</x:v>
      </x:c>
      <x:c r="F138" s="197" t="str">
        <x:v>Đối chiếu trực tiếp ảnh quét trong PDF nguồn</x:v>
      </x:c>
    </x:row>
    <x:row r="139" ht="22" customHeight="1">
      <x:c r="A139" s="199" t="n">
        <x:v>862</x:v>
      </x:c>
      <x:c r="B139" s="199" t="n">
        <x:v>26</x:v>
      </x:c>
      <x:c r="C139" s="197" t="str">
        <x:v>Họ và tên</x:v>
      </x:c>
      <x:c r="D139" s="197" t="str">
        <x:v>ĐOÀN ANH KIỆT</x:v>
      </x:c>
      <x:c r="E139" s="197" t="str">
        <x:v>ĐỖ ANH KIỆT</x:v>
      </x:c>
      <x:c r="F139" s="197" t="str">
        <x:v>Đối chiếu trực tiếp ảnh quét trong PDF nguồn</x:v>
      </x:c>
    </x:row>
    <x:row r="140" ht="22" customHeight="1">
      <x:c r="A140" s="199" t="n">
        <x:v>879</x:v>
      </x:c>
      <x:c r="B140" s="199" t="n">
        <x:v>27</x:v>
      </x:c>
      <x:c r="C140" s="197" t="str">
        <x:v>Họ và tên</x:v>
      </x:c>
      <x:c r="D140" s="197" t="str">
        <x:v>LÝ HỮU PHÁT</x:v>
      </x:c>
      <x:c r="E140" s="197" t="str">
        <x:v>LÊ HỮU PHÁT</x:v>
      </x:c>
      <x:c r="F140" s="197" t="str">
        <x:v>Đối chiếu trực tiếp ảnh quét trong PDF nguồn</x:v>
      </x:c>
    </x:row>
    <x:row r="141" ht="22" customHeight="1">
      <x:c r="A141" s="199" t="n">
        <x:v>887</x:v>
      </x:c>
      <x:c r="B141" s="199" t="n">
        <x:v>27</x:v>
      </x:c>
      <x:c r="C141" s="197" t="str">
        <x:v>Họ và tên</x:v>
      </x:c>
      <x:c r="D141" s="197" t="str">
        <x:v>ĐOÀN CHÍ HỪNG</x:v>
      </x:c>
      <x:c r="E141" s="197" t="str">
        <x:v>ĐOÀN CHÍ HƯNG</x:v>
      </x:c>
      <x:c r="F141" s="197" t="str">
        <x:v>Đối chiếu trực tiếp ảnh quét trong PDF nguồn</x:v>
      </x:c>
    </x:row>
    <x:row r="142" ht="22" customHeight="1">
      <x:c r="A142" s="199" t="n">
        <x:v>899</x:v>
      </x:c>
      <x:c r="B142" s="199" t="n">
        <x:v>27</x:v>
      </x:c>
      <x:c r="C142" s="197" t="str">
        <x:v>Họ và tên</x:v>
      </x:c>
      <x:c r="D142" s="197" t="str">
        <x:v>MAI CẢM TÚ</x:v>
      </x:c>
      <x:c r="E142" s="197" t="str">
        <x:v>MAI CẨM TÚ</x:v>
      </x:c>
      <x:c r="F142" s="197" t="str">
        <x:v>Đối chiếu trực tiếp ảnh quét trong PDF nguồn</x:v>
      </x:c>
    </x:row>
    <x:row r="143" ht="22" customHeight="1">
      <x:c r="A143" s="199" t="n">
        <x:v>902</x:v>
      </x:c>
      <x:c r="B143" s="199" t="n">
        <x:v>27</x:v>
      </x:c>
      <x:c r="C143" s="197" t="str">
        <x:v>Họ và tên</x:v>
      </x:c>
      <x:c r="D143" s="197" t="str">
        <x:v>TRẦN TRONG ANH</x:v>
      </x:c>
      <x:c r="E143" s="197" t="str">
        <x:v>TRẦN TRỌNG ANH</x:v>
      </x:c>
      <x:c r="F143" s="197" t="str">
        <x:v>Đối chiếu trực tiếp ảnh quét trong PDF nguồn</x:v>
      </x:c>
    </x:row>
    <x:row r="144" ht="22" customHeight="1">
      <x:c r="A144" s="199" t="n">
        <x:v>906</x:v>
      </x:c>
      <x:c r="B144" s="199" t="n">
        <x:v>27</x:v>
      </x:c>
      <x:c r="C144" s="197" t="str">
        <x:v>Họ và tên</x:v>
      </x:c>
      <x:c r="D144" s="197" t="str">
        <x:v>LÝ THANH NGUYỄN</x:v>
      </x:c>
      <x:c r="E144" s="197" t="str">
        <x:v>LÊ THANH NGUYÊN</x:v>
      </x:c>
      <x:c r="F144" s="197" t="str">
        <x:v>Đối chiếu trực tiếp ảnh quét trong PDF nguồn</x:v>
      </x:c>
    </x:row>
    <x:row r="145" ht="22" customHeight="1">
      <x:c r="A145" s="199" t="n">
        <x:v>912</x:v>
      </x:c>
      <x:c r="B145" s="199" t="n">
        <x:v>27</x:v>
      </x:c>
      <x:c r="C145" s="197" t="str">
        <x:v>Họ và tên</x:v>
      </x:c>
      <x:c r="D145" s="197" t="str">
        <x:v>LÝ DUY KHÁNH</x:v>
      </x:c>
      <x:c r="E145" s="197" t="str">
        <x:v>LÊ DUY KHÁNH</x:v>
      </x:c>
      <x:c r="F145" s="197" t="str">
        <x:v>Đối chiếu trực tiếp ảnh quét trong PDF nguồn</x:v>
      </x:c>
    </x:row>
    <x:row r="146" ht="22" customHeight="1">
      <x:c r="A146" s="199" t="n">
        <x:v>914</x:v>
      </x:c>
      <x:c r="B146" s="199" t="n">
        <x:v>28</x:v>
      </x:c>
      <x:c r="C146" s="197" t="str">
        <x:v>Họ và tên</x:v>
      </x:c>
      <x:c r="D146" s="197" t="str">
        <x:v>LÊ HÃI ĐĂNG</x:v>
      </x:c>
      <x:c r="E146" s="197" t="str">
        <x:v>LÊ HẢI ĐĂNG</x:v>
      </x:c>
      <x:c r="F146" s="197" t="str">
        <x:v>Đối chiếu trực tiếp ảnh quét trong PDF nguồn</x:v>
      </x:c>
    </x:row>
    <x:row r="147" ht="22" customHeight="1">
      <x:c r="A147" s="199" t="n">
        <x:v>927</x:v>
      </x:c>
      <x:c r="B147" s="199" t="n">
        <x:v>28</x:v>
      </x:c>
      <x:c r="C147" s="197" t="str">
        <x:v>Họ và tên</x:v>
      </x:c>
      <x:c r="D147" s="197" t="str">
        <x:v>NGUYỄN TRỌNG NGUYẼN</x:v>
      </x:c>
      <x:c r="E147" s="197" t="str">
        <x:v>NGUYỄN TRỌNG NGUYÊN</x:v>
      </x:c>
      <x:c r="F147" s="197" t="str">
        <x:v>Đối chiếu trực tiếp ảnh quét trong PDF nguồn</x:v>
      </x:c>
    </x:row>
    <x:row r="148" ht="22" customHeight="1">
      <x:c r="A148" s="200" t="n">
        <x:v>929</x:v>
      </x:c>
      <x:c r="B148" s="200" t="n">
        <x:v>28</x:v>
      </x:c>
      <x:c r="C148" s="198" t="str">
        <x:v>Họ và tên</x:v>
      </x:c>
      <x:c r="D148" s="198" t="str">
        <x:v>LÊ TIỀN ĐẠT</x:v>
      </x:c>
      <x:c r="E148" s="198" t="str">
        <x:v>LÊ TIẾN ĐẠT</x:v>
      </x:c>
      <x:c r="F148" s="198" t="str">
        <x:v>Đối chiếu trực tiếp ảnh quét trong PDF nguồn</x:v>
      </x:c>
    </x:row>
  </x:sheetData>
  <x:mergeCells>
    <x:mergeCell ref="A1:F1"/>
    <x:mergeCell ref="A2:F2"/>
  </x:mergeCells>
  <x:pageMargins left="0.7" right="0.7" top="0.75" bottom="0.75" header="0.3" footer="0.3"/>
  <x:tableParts count="1">
    <x:tablePart xmlns:r="http://schemas.openxmlformats.org/officeDocument/2006/relationships" r:id="Raf9b9b59804242b4"/>
  </x:tableParts>
</x:worksheet>
</file>

<file path=xl/worksheets/sheet5.xml><?xml version="1.0" encoding="utf-8"?>
<x:worksheet xmlns:x="http://schemas.openxmlformats.org/spreadsheetml/2006/main">
  <x:sheetFormatPr defaultRowHeight="15"/>
  <x:cols>
    <x:col min="1" max="1" width="8" hidden="0" customWidth="1"/>
    <x:col min="2" max="2" width="11" hidden="0" customWidth="1"/>
    <x:col min="3" max="3" width="20" hidden="0" customWidth="1"/>
    <x:col min="4" max="4" width="31" hidden="0" customWidth="1"/>
    <x:col min="5" max="5" width="31" hidden="0" customWidth="1"/>
    <x:col min="6" max="6" width="26" hidden="0" customWidth="1"/>
    <x:col min="7" max="7" width="46" hidden="0" customWidth="1"/>
  </x:cols>
  <x:sheetData>
    <x:row r="1" ht="30" customHeight="1">
      <x:c r="A1" s="214" t="str">
        <x:v>KẾT QUẢ RÀ SOÁT BỔ SUNG NHIỀU VÒNG - CHÍNH TẢ, KÝ TỰ VÀ HỌ TÊN</x:v>
      </x:c>
      <x:c r="B1" s="214"/>
      <x:c r="C1" s="214"/>
      <x:c r="D1" s="214"/>
      <x:c r="E1" s="214"/>
      <x:c r="F1" s="214"/>
      <x:c r="G1" s="214"/>
    </x:row>
    <x:row r="2" ht="34" customHeight="1">
      <x:c r="A2" s="219" t="str">
        <x:v>Đối chiếu lại toàn bộ danh sách, các dòng đã sửa trước đó và các trường hợp tên hiếm/khó đọc với ảnh quét PDF nguồn.</x:v>
      </x:c>
      <x:c r="B2" s="219"/>
      <x:c r="C2" s="219"/>
      <x:c r="D2" s="219"/>
      <x:c r="E2" s="219"/>
      <x:c r="F2" s="219"/>
      <x:c r="G2" s="219"/>
    </x:row>
    <x:row r="4">
      <x:c r="A4" s="241" t="str">
        <x:v>Hạng mục kiểm tra</x:v>
      </x:c>
      <x:c r="B4" s="242" t="str">
        <x:v>Kết quả</x:v>
      </x:c>
    </x:row>
    <x:row r="5">
      <x:c r="A5" s="237" t="str">
        <x:v>Tổng số học sinh đã rà soát</x:v>
      </x:c>
      <x:c r="B5" s="238" t="n">
        <x:v>930</x:v>
      </x:c>
    </x:row>
    <x:row r="6">
      <x:c r="A6" s="237" t="str">
        <x:v>Tổng số trang PDF đã đối chiếu</x:v>
      </x:c>
      <x:c r="B6" s="238" t="n">
        <x:v>28</x:v>
      </x:c>
    </x:row>
    <x:row r="7">
      <x:c r="A7" s="237" t="str">
        <x:v>Lỗi bổ sung đã sửa trong lần này</x:v>
      </x:c>
      <x:c r="B7" s="238" t="n">
        <x:v>12</x:v>
      </x:c>
    </x:row>
    <x:row r="8">
      <x:c r="A8" s="237" t="str">
        <x:v>Tổng số ô đã sửa qua các lần</x:v>
      </x:c>
      <x:c r="B8" s="238" t="n">
        <x:v>156</x:v>
      </x:c>
    </x:row>
    <x:row r="9">
      <x:c r="A9" s="237" t="str">
        <x:v>Tổng số học sinh có điều chỉnh</x:v>
      </x:c>
      <x:c r="B9" s="238" t="n">
        <x:v>154</x:v>
      </x:c>
    </x:row>
    <x:row r="10">
      <x:c r="A10" s="237" t="str">
        <x:v>Mã định danh bị trùng</x:v>
      </x:c>
      <x:c r="B10" s="238" t="n">
        <x:v>0</x:v>
      </x:c>
    </x:row>
    <x:row r="11">
      <x:c r="A11" s="237" t="str">
        <x:v>Ngày sinh không hợp lệ</x:v>
      </x:c>
      <x:c r="B11" s="238" t="n">
        <x:v>0</x:v>
      </x:c>
    </x:row>
    <x:row r="12">
      <x:c r="A12" s="237" t="str">
        <x:v>Ký tự lạ/khoảng trắng bất thường còn phát hiện</x:v>
      </x:c>
      <x:c r="B12" s="238" t="n">
        <x:v>0</x:v>
      </x:c>
    </x:row>
    <x:row r="13">
      <x:c r="A13" s="239" t="str">
        <x:v>Sai lệch phép tính điểm xét tuyển còn phát hiện</x:v>
      </x:c>
      <x:c r="B13" s="240" t="n">
        <x:v>0</x:v>
      </x:c>
    </x:row>
    <x:row r="15" ht="38" customHeight="1">
      <x:c r="A15" s="245" t="str">
        <x:v>TT</x:v>
      </x:c>
      <x:c r="B15" s="245" t="str">
        <x:v>Trang PDF</x:v>
      </x:c>
      <x:c r="C15" s="245" t="str">
        <x:v>Cột dữ liệu</x:v>
      </x:c>
      <x:c r="D15" s="245" t="str">
        <x:v>Giá trị trước</x:v>
      </x:c>
      <x:c r="E15" s="245" t="str">
        <x:v>Giá trị sau</x:v>
      </x:c>
      <x:c r="F15" s="245" t="str">
        <x:v>Loại lỗi</x:v>
      </x:c>
      <x:c r="G15" s="245" t="str">
        <x:v>Căn cứ sửa</x:v>
      </x:c>
    </x:row>
    <x:row r="16" ht="24" customHeight="1">
      <x:c r="A16" s="264" t="n">
        <x:v>56</x:v>
      </x:c>
      <x:c r="B16" s="265" t="n">
        <x:v>2</x:v>
      </x:c>
      <x:c r="C16" s="259" t="str">
        <x:v>Họ và tên</x:v>
      </x:c>
      <x:c r="D16" s="259" t="str">
        <x:v>LÂM KIÊU MY</x:v>
      </x:c>
      <x:c r="E16" s="259" t="str">
        <x:v>LÂM KIỀU MY</x:v>
      </x:c>
      <x:c r="F16" s="259" t="str">
        <x:v>Sai dấu hoặc ký tự OCR</x:v>
      </x:c>
      <x:c r="G16" s="260" t="str">
        <x:v>Đối chiếu trực tiếp nhiều lần với ảnh quét PDF nguồn</x:v>
      </x:c>
    </x:row>
    <x:row r="17" ht="24" customHeight="1">
      <x:c r="A17" s="266" t="n">
        <x:v>63</x:v>
      </x:c>
      <x:c r="B17" s="199" t="n">
        <x:v>3</x:v>
      </x:c>
      <x:c r="C17" s="197" t="str">
        <x:v>Họ và tên</x:v>
      </x:c>
      <x:c r="D17" s="197" t="str">
        <x:v>NGUYỄN THÉ BẢO</x:v>
      </x:c>
      <x:c r="E17" s="197" t="str">
        <x:v>NGUYỄN THẾ BẢO</x:v>
      </x:c>
      <x:c r="F17" s="197" t="str">
        <x:v>Sai dấu hoặc ký tự OCR</x:v>
      </x:c>
      <x:c r="G17" s="238" t="str">
        <x:v>Đối chiếu trực tiếp nhiều lần với ảnh quét PDF nguồn</x:v>
      </x:c>
    </x:row>
    <x:row r="18" ht="24" customHeight="1">
      <x:c r="A18" s="266" t="n">
        <x:v>238</x:v>
      </x:c>
      <x:c r="B18" s="199" t="n">
        <x:v>8</x:v>
      </x:c>
      <x:c r="C18" s="197" t="str">
        <x:v>Họ và tên</x:v>
      </x:c>
      <x:c r="D18" s="197" t="str">
        <x:v>PHAN UYÊỀN NHI</x:v>
      </x:c>
      <x:c r="E18" s="197" t="str">
        <x:v>PHAN UYỂN NHI</x:v>
      </x:c>
      <x:c r="F18" s="197" t="str">
        <x:v>Sai dấu hoặc ký tự OCR</x:v>
      </x:c>
      <x:c r="G18" s="238" t="str">
        <x:v>Đối chiếu trực tiếp nhiều lần với ảnh quét PDF nguồn</x:v>
      </x:c>
    </x:row>
    <x:row r="19" ht="24" customHeight="1">
      <x:c r="A19" s="266" t="n">
        <x:v>457</x:v>
      </x:c>
      <x:c r="B19" s="199" t="n">
        <x:v>14</x:v>
      </x:c>
      <x:c r="C19" s="197" t="str">
        <x:v>Họ và tên</x:v>
      </x:c>
      <x:c r="D19" s="197" t="str">
        <x:v>PHẠM VĂNTỶ</x:v>
      </x:c>
      <x:c r="E19" s="197" t="str">
        <x:v>PHẠM VĂN TỶ</x:v>
      </x:c>
      <x:c r="F19" s="197" t="str">
        <x:v>Dính chữ hoặc sai khoảng trắng</x:v>
      </x:c>
      <x:c r="G19" s="238" t="str">
        <x:v>Đối chiếu trực tiếp nhiều lần với ảnh quét PDF nguồn</x:v>
      </x:c>
    </x:row>
    <x:row r="20" ht="24" customHeight="1">
      <x:c r="A20" s="266" t="n">
        <x:v>580</x:v>
      </x:c>
      <x:c r="B20" s="199" t="n">
        <x:v>18</x:v>
      </x:c>
      <x:c r="C20" s="197" t="str">
        <x:v>Họ và tên</x:v>
      </x:c>
      <x:c r="D20" s="197" t="str">
        <x:v>VÕ NHƯNGUYỆN</x:v>
      </x:c>
      <x:c r="E20" s="197" t="str">
        <x:v>VÕ NHƯ NGUYỆN</x:v>
      </x:c>
      <x:c r="F20" s="197" t="str">
        <x:v>Dính chữ hoặc sai khoảng trắng</x:v>
      </x:c>
      <x:c r="G20" s="238" t="str">
        <x:v>Đối chiếu trực tiếp nhiều lần với ảnh quét PDF nguồn</x:v>
      </x:c>
    </x:row>
    <x:row r="21" ht="24" customHeight="1">
      <x:c r="A21" s="266" t="n">
        <x:v>589</x:v>
      </x:c>
      <x:c r="B21" s="199" t="n">
        <x:v>18</x:v>
      </x:c>
      <x:c r="C21" s="197" t="str">
        <x:v>Họ và tên</x:v>
      </x:c>
      <x:c r="D21" s="197" t="str">
        <x:v>TRẦN QUYÊN NGHI</x:v>
      </x:c>
      <x:c r="E21" s="197" t="str">
        <x:v>TRẦN QUYỀN NGHI</x:v>
      </x:c>
      <x:c r="F21" s="197" t="str">
        <x:v>Sai dấu hoặc ký tự OCR</x:v>
      </x:c>
      <x:c r="G21" s="238" t="str">
        <x:v>Đối chiếu trực tiếp nhiều lần với ảnh quét PDF nguồn</x:v>
      </x:c>
    </x:row>
    <x:row r="22" ht="24" customHeight="1">
      <x:c r="A22" s="266" t="n">
        <x:v>610</x:v>
      </x:c>
      <x:c r="B22" s="199" t="n">
        <x:v>19</x:v>
      </x:c>
      <x:c r="C22" s="197" t="str">
        <x:v>Họ và tên</x:v>
      </x:c>
      <x:c r="D22" s="197" t="str">
        <x:v>VÕ DIỄN NHƯ NGUYÊN</x:v>
      </x:c>
      <x:c r="E22" s="197" t="str">
        <x:v>VÕ DIỄN NHƯ NGUYỄN</x:v>
      </x:c>
      <x:c r="F22" s="197" t="str">
        <x:v>Sai dấu hoặc ký tự OCR</x:v>
      </x:c>
      <x:c r="G22" s="238" t="str">
        <x:v>Đối chiếu trực tiếp nhiều lần với ảnh quét PDF nguồn</x:v>
      </x:c>
    </x:row>
    <x:row r="23" ht="24" customHeight="1">
      <x:c r="A23" s="266" t="n">
        <x:v>725</x:v>
      </x:c>
      <x:c r="B23" s="199" t="n">
        <x:v>22</x:v>
      </x:c>
      <x:c r="C23" s="197" t="str">
        <x:v>Họ và tên</x:v>
      </x:c>
      <x:c r="D23" s="197" t="str">
        <x:v>NGUYỄN TRỌNGPHÚC</x:v>
      </x:c>
      <x:c r="E23" s="197" t="str">
        <x:v>NGUYỄN TRỌNG PHÚC</x:v>
      </x:c>
      <x:c r="F23" s="197" t="str">
        <x:v>Dính chữ hoặc sai khoảng trắng</x:v>
      </x:c>
      <x:c r="G23" s="238" t="str">
        <x:v>Đối chiếu trực tiếp nhiều lần với ảnh quét PDF nguồn</x:v>
      </x:c>
    </x:row>
    <x:row r="24" ht="24" customHeight="1">
      <x:c r="A24" s="266" t="n">
        <x:v>729</x:v>
      </x:c>
      <x:c r="B24" s="199" t="n">
        <x:v>22</x:v>
      </x:c>
      <x:c r="C24" s="197" t="str">
        <x:v>Họ và tên</x:v>
      </x:c>
      <x:c r="D24" s="197" t="str">
        <x:v>NGUYỄN QUỐC DINH</x:v>
      </x:c>
      <x:c r="E24" s="197" t="str">
        <x:v>NGUYỄN QUỐC ĐINH</x:v>
      </x:c>
      <x:c r="F24" s="197" t="str">
        <x:v>Sai dấu hoặc ký tự OCR</x:v>
      </x:c>
      <x:c r="G24" s="238" t="str">
        <x:v>Đối chiếu trực tiếp nhiều lần với ảnh quét PDF nguồn</x:v>
      </x:c>
    </x:row>
    <x:row r="25" ht="24" customHeight="1">
      <x:c r="A25" s="266" t="n">
        <x:v>758</x:v>
      </x:c>
      <x:c r="B25" s="199" t="n">
        <x:v>23</x:v>
      </x:c>
      <x:c r="C25" s="197" t="str">
        <x:v>Họ và tên</x:v>
      </x:c>
      <x:c r="D25" s="197" t="str">
        <x:v>ĐẶNG BÁ QUYÉT</x:v>
      </x:c>
      <x:c r="E25" s="197" t="str">
        <x:v>ĐẶNG BÁ QUYẾT</x:v>
      </x:c>
      <x:c r="F25" s="197" t="str">
        <x:v>Sai dấu hoặc ký tự OCR</x:v>
      </x:c>
      <x:c r="G25" s="238" t="str">
        <x:v>Đối chiếu trực tiếp nhiều lần với ảnh quét PDF nguồn</x:v>
      </x:c>
    </x:row>
    <x:row r="26" ht="24" customHeight="1">
      <x:c r="A26" s="266" t="n">
        <x:v>856</x:v>
      </x:c>
      <x:c r="B26" s="199" t="n">
        <x:v>26</x:v>
      </x:c>
      <x:c r="C26" s="197" t="str">
        <x:v>Họ và tên</x:v>
      </x:c>
      <x:c r="D26" s="197" t="str">
        <x:v>VÕ HOÀNG QUỐC DINH</x:v>
      </x:c>
      <x:c r="E26" s="197" t="str">
        <x:v>VÕ HOÀNG QUỐC ĐINH</x:v>
      </x:c>
      <x:c r="F26" s="197" t="str">
        <x:v>Sai dấu hoặc ký tự OCR</x:v>
      </x:c>
      <x:c r="G26" s="238" t="str">
        <x:v>Đối chiếu trực tiếp nhiều lần với ảnh quét PDF nguồn</x:v>
      </x:c>
    </x:row>
    <x:row r="27" ht="24" customHeight="1">
      <x:c r="A27" s="267" t="n">
        <x:v>864</x:v>
      </x:c>
      <x:c r="B27" s="268" t="n">
        <x:v>26</x:v>
      </x:c>
      <x:c r="C27" s="263" t="str">
        <x:v>Họ và tên</x:v>
      </x:c>
      <x:c r="D27" s="263" t="str">
        <x:v>TRẦN MINH TUÂN</x:v>
      </x:c>
      <x:c r="E27" s="263" t="str">
        <x:v>TRẦN MINH TUẤN</x:v>
      </x:c>
      <x:c r="F27" s="263" t="str">
        <x:v>Sai dấu hoặc ký tự OCR</x:v>
      </x:c>
      <x:c r="G27" s="240" t="str">
        <x:v>Đối chiếu trực tiếp nhiều lần với ảnh quét PDF nguồn</x:v>
      </x:c>
    </x:row>
    <x:row r="29">
      <x:c r="A29" s="272" t="str">
        <x:v>Lưu ý: Các tên riêng ít gặp hoặc cách viết không phổ biến được giữ nguyên khi ảnh quét nguồn thể hiện đúng như vậy; không tự ý chuẩn hóa theo suy đoán.</x:v>
      </x:c>
      <x:c r="B29" s="272"/>
      <x:c r="C29" s="272"/>
      <x:c r="D29" s="272"/>
      <x:c r="E29" s="272"/>
      <x:c r="F29" s="272"/>
      <x:c r="G29" s="272"/>
    </x:row>
    <x:row r="30">
      <x:c r="A30" s="272"/>
      <x:c r="B30" s="272"/>
      <x:c r="C30" s="272"/>
      <x:c r="D30" s="272"/>
      <x:c r="E30" s="272"/>
      <x:c r="F30" s="272"/>
      <x:c r="G30" s="272"/>
    </x:row>
  </x:sheetData>
  <x:mergeCells>
    <x:mergeCell ref="A1:G1"/>
    <x:mergeCell ref="A2:G2"/>
    <x:mergeCell ref="A29:G30"/>
  </x:mergeCells>
  <x:pageMargins left="0.7" right="0.7" top="0.75" bottom="0.75" header="0.3" footer="0.3"/>
  <x:tableParts count="1">
    <x:tablePart xmlns:r="http://schemas.openxmlformats.org/officeDocument/2006/relationships" r:id="R1a2d570fb55f4770"/>
  </x:tableParts>
</x:worksheet>
</file>

<file path=xl/worksheets/sheet6.xml><?xml version="1.0" encoding="utf-8"?>
<x:worksheet xmlns:x="http://schemas.openxmlformats.org/spreadsheetml/2006/main">
  <x:sheetFormatPr defaultRowHeight="15"/>
  <x:cols>
    <x:col min="1" max="1" width="8" hidden="0" customWidth="1"/>
    <x:col min="2" max="2" width="11" hidden="0" customWidth="1"/>
    <x:col min="3" max="3" width="20" hidden="0" customWidth="1"/>
    <x:col min="4" max="4" width="34" hidden="0" customWidth="1"/>
    <x:col min="5" max="5" width="34" hidden="0" customWidth="1"/>
    <x:col min="6" max="6" width="31" hidden="0" customWidth="1"/>
    <x:col min="7" max="7" width="44" hidden="0" customWidth="1"/>
  </x:cols>
  <x:sheetData>
    <x:row r="1" ht="30" customHeight="1">
      <x:c r="A1" s="282" t="str">
        <x:v>KẾT QUẢ RÀ SOÁT LẦN CUỐI - ĐỐI CHIẾU TOÀN BỘ 930 DÒNG VỚI 28 TRANG PDF</x:v>
      </x:c>
      <x:c r="B1" s="282"/>
      <x:c r="C1" s="282"/>
      <x:c r="D1" s="282"/>
      <x:c r="E1" s="282"/>
      <x:c r="F1" s="282"/>
      <x:c r="G1" s="282"/>
    </x:row>
    <x:row r="2" ht="34" customHeight="1">
      <x:c r="A2" s="287" t="str">
        <x:v>Lần này kiểm tra lại từng trang, tập trung vào họ tên, dấu tiếng Việt, ký tự OCR, giới tính, ngày sinh và tính nhất quán dữ liệu.</x:v>
      </x:c>
      <x:c r="B2" s="287"/>
      <x:c r="C2" s="287"/>
      <x:c r="D2" s="287"/>
      <x:c r="E2" s="287"/>
      <x:c r="F2" s="287"/>
      <x:c r="G2" s="287"/>
    </x:row>
    <x:row r="4">
      <x:c r="A4" s="292" t="str">
        <x:v>Hạng mục</x:v>
      </x:c>
      <x:c r="B4" s="292" t="str">
        <x:v>Kết quả</x:v>
      </x:c>
    </x:row>
    <x:row r="5">
      <x:c r="A5" s="210" t="str">
        <x:v>Số học sinh đã đối chiếu</x:v>
      </x:c>
      <x:c r="B5" s="68" t="n">
        <x:v>930</x:v>
      </x:c>
    </x:row>
    <x:row r="6">
      <x:c r="A6" s="210" t="str">
        <x:v>Số trang PDF đã đối chiếu</x:v>
      </x:c>
      <x:c r="B6" s="68" t="n">
        <x:v>28</x:v>
      </x:c>
    </x:row>
    <x:row r="7">
      <x:c r="A7" s="210" t="str">
        <x:v>Số lỗi bổ sung phát hiện và sửa</x:v>
      </x:c>
      <x:c r="B7" s="68" t="n">
        <x:v>6</x:v>
      </x:c>
    </x:row>
    <x:row r="8">
      <x:c r="A8" s="210" t="str">
        <x:v>Mã định danh trùng</x:v>
      </x:c>
      <x:c r="B8" s="68" t="n">
        <x:v>0</x:v>
      </x:c>
    </x:row>
    <x:row r="9">
      <x:c r="A9" s="210" t="str">
        <x:v>TT thiếu hoặc trùng</x:v>
      </x:c>
      <x:c r="B9" s="68" t="n">
        <x:v>0</x:v>
      </x:c>
    </x:row>
    <x:row r="10">
      <x:c r="A10" s="210" t="str">
        <x:v>Ngày sinh không hợp lệ</x:v>
      </x:c>
      <x:c r="B10" s="68" t="n">
        <x:v>0</x:v>
      </x:c>
    </x:row>
    <x:row r="11">
      <x:c r="A11" s="210" t="str">
        <x:v>Ký tự lạ/khoảng trắng bất thường</x:v>
      </x:c>
      <x:c r="B11" s="68" t="n">
        <x:v>0</x:v>
      </x:c>
    </x:row>
    <x:row r="12">
      <x:c r="A12" s="210" t="str">
        <x:v>Sai lệch phép tính điểm xét tuyển</x:v>
      </x:c>
      <x:c r="B12" s="68" t="n">
        <x:v>0</x:v>
      </x:c>
    </x:row>
    <x:row r="14" ht="38" customHeight="1">
      <x:c r="A14" s="292" t="str">
        <x:v>TT</x:v>
      </x:c>
      <x:c r="B14" s="292" t="str">
        <x:v>Trang PDF</x:v>
      </x:c>
      <x:c r="C14" s="292" t="str">
        <x:v>Cột dữ liệu</x:v>
      </x:c>
      <x:c r="D14" s="292" t="str">
        <x:v>Giá trị trước</x:v>
      </x:c>
      <x:c r="E14" s="292" t="str">
        <x:v>Giá trị sau</x:v>
      </x:c>
      <x:c r="F14" s="292" t="str">
        <x:v>Loại lỗi</x:v>
      </x:c>
      <x:c r="G14" s="292" t="str">
        <x:v>Căn cứ</x:v>
      </x:c>
    </x:row>
    <x:row r="15" ht="26" customHeight="1">
      <x:c r="A15" s="319" t="n">
        <x:v>52</x:v>
      </x:c>
      <x:c r="B15" s="320" t="n">
        <x:v>2</x:v>
      </x:c>
      <x:c r="C15" s="312" t="str">
        <x:v>Họ và tên</x:v>
      </x:c>
      <x:c r="D15" s="312" t="str">
        <x:v>TRẦN KIM NGÂN</x:v>
      </x:c>
      <x:c r="E15" s="312" t="str">
        <x:v>TRANG KIM NGÂN</x:v>
      </x:c>
      <x:c r="F15" s="312" t="str">
        <x:v>Sai họ do OCR</x:v>
      </x:c>
      <x:c r="G15" s="313" t="str">
        <x:v>Đối chiếu trực tiếp ảnh quét PDF nguồn</x:v>
      </x:c>
    </x:row>
    <x:row r="16" ht="26" customHeight="1">
      <x:c r="A16" s="321" t="n">
        <x:v>98</x:v>
      </x:c>
      <x:c r="B16" s="199" t="n">
        <x:v>4</x:v>
      </x:c>
      <x:c r="C16" s="197" t="str">
        <x:v>Họ và tên</x:v>
      </x:c>
      <x:c r="D16" s="197" t="str">
        <x:v>NGUYỄN HUỲNH THẢO MỸ</x:v>
      </x:c>
      <x:c r="E16" s="197" t="str">
        <x:v>NGUYỄN HUỲNH THẢO MY</x:v>
      </x:c>
      <x:c r="F16" s="197" t="str">
        <x:v>Thêm dấu không có trong bản nguồn</x:v>
      </x:c>
      <x:c r="G16" s="315" t="str">
        <x:v>Đối chiếu trực tiếp ảnh quét PDF nguồn</x:v>
      </x:c>
    </x:row>
    <x:row r="17" ht="26" customHeight="1">
      <x:c r="A17" s="321" t="n">
        <x:v>298</x:v>
      </x:c>
      <x:c r="B17" s="199" t="n">
        <x:v>9</x:v>
      </x:c>
      <x:c r="C17" s="197" t="str">
        <x:v>Họ và tên</x:v>
      </x:c>
      <x:c r="D17" s="197" t="str">
        <x:v>ÔNG THỊ KIM</x:v>
      </x:c>
      <x:c r="E17" s="197" t="str">
        <x:v>ONG THỊ KIM</x:v>
      </x:c>
      <x:c r="F17" s="197" t="str">
        <x:v>Thêm dấu không có trong bản nguồn</x:v>
      </x:c>
      <x:c r="G17" s="315" t="str">
        <x:v>Đối chiếu trực tiếp ảnh quét PDF nguồn</x:v>
      </x:c>
    </x:row>
    <x:row r="18" ht="26" customHeight="1">
      <x:c r="A18" s="321" t="n">
        <x:v>448</x:v>
      </x:c>
      <x:c r="B18" s="199" t="n">
        <x:v>14</x:v>
      </x:c>
      <x:c r="C18" s="197" t="str">
        <x:v>Họ và tên</x:v>
      </x:c>
      <x:c r="D18" s="197" t="str">
        <x:v>SỬ THÀNH MAI</x:v>
      </x:c>
      <x:c r="E18" s="197" t="str">
        <x:v>SỬ THÀNH MÃI</x:v>
      </x:c>
      <x:c r="F18" s="197" t="str">
        <x:v>Thiếu dấu tiếng Việt</x:v>
      </x:c>
      <x:c r="G18" s="315" t="str">
        <x:v>Đối chiếu trực tiếp ảnh quét PDF nguồn</x:v>
      </x:c>
    </x:row>
    <x:row r="19" ht="26" customHeight="1">
      <x:c r="A19" s="321" t="n">
        <x:v>729</x:v>
      </x:c>
      <x:c r="B19" s="199" t="n">
        <x:v>22</x:v>
      </x:c>
      <x:c r="C19" s="197" t="str">
        <x:v>Họ và tên</x:v>
      </x:c>
      <x:c r="D19" s="197" t="str">
        <x:v>NGUYỄN QUỐC ĐINH</x:v>
      </x:c>
      <x:c r="E19" s="197" t="str">
        <x:v>NGUYỄN QUỐC DINH</x:v>
      </x:c>
      <x:c r="F19" s="197" t="str">
        <x:v>Tự chuẩn hóa sai so với bản nguồn</x:v>
      </x:c>
      <x:c r="G19" s="315" t="str">
        <x:v>Đối chiếu trực tiếp ảnh quét PDF nguồn</x:v>
      </x:c>
    </x:row>
    <x:row r="20" ht="26" customHeight="1">
      <x:c r="A20" s="322" t="n">
        <x:v>856</x:v>
      </x:c>
      <x:c r="B20" s="323" t="n">
        <x:v>26</x:v>
      </x:c>
      <x:c r="C20" s="317" t="str">
        <x:v>Họ và tên</x:v>
      </x:c>
      <x:c r="D20" s="317" t="str">
        <x:v>VÕ HOÀNG QUỐC ĐINH</x:v>
      </x:c>
      <x:c r="E20" s="317" t="str">
        <x:v>VÕ HOÀNG QUỐC DINH</x:v>
      </x:c>
      <x:c r="F20" s="317" t="str">
        <x:v>Tự chuẩn hóa sai so với bản nguồn</x:v>
      </x:c>
      <x:c r="G20" s="318" t="str">
        <x:v>Đối chiếu trực tiếp ảnh quét PDF nguồn</x:v>
      </x:c>
    </x:row>
    <x:row r="22">
      <x:c r="A22" s="327" t="str">
        <x:v>Nguyên tắc xử lý: giữ đúng cách viết trên PDF nguồn, kể cả trường hợp tên có vẻ không theo cách viết thông dụng; không tự ý sửa theo suy đoán.</x:v>
      </x:c>
      <x:c r="B22" s="327"/>
      <x:c r="C22" s="327"/>
      <x:c r="D22" s="327"/>
      <x:c r="E22" s="327"/>
      <x:c r="F22" s="327"/>
      <x:c r="G22" s="327"/>
    </x:row>
    <x:row r="23">
      <x:c r="A23" s="327"/>
      <x:c r="B23" s="327"/>
      <x:c r="C23" s="327"/>
      <x:c r="D23" s="327"/>
      <x:c r="E23" s="327"/>
      <x:c r="F23" s="327"/>
      <x:c r="G23" s="327"/>
    </x:row>
  </x:sheetData>
  <x:mergeCells>
    <x:mergeCell ref="A1:G1"/>
    <x:mergeCell ref="A2:G2"/>
    <x:mergeCell ref="A22:G23"/>
  </x:mergeCells>
  <x:pageMargins left="0.7" right="0.7" top="0.75" bottom="0.75" header="0.3" footer="0.3"/>
  <x:tableParts count="1">
    <x:tablePart xmlns:r="http://schemas.openxmlformats.org/officeDocument/2006/relationships" r:id="R5a7a63b55b394a55"/>
  </x:tableParts>
</x:worksheet>
</file>

<file path=xl/worksheets/sheet7.xml><?xml version="1.0" encoding="utf-8"?>
<x:worksheet xmlns:x="http://schemas.openxmlformats.org/spreadsheetml/2006/main">
  <x:sheetFormatPr defaultRowHeight="15"/>
  <x:cols>
    <x:col min="1" max="1" width="8" hidden="0" customWidth="1"/>
    <x:col min="2" max="2" width="12" hidden="0" customWidth="1"/>
    <x:col min="3" max="3" width="20" hidden="0" customWidth="1"/>
    <x:col min="4" max="4" width="35" hidden="0" customWidth="1"/>
    <x:col min="5" max="5" width="35" hidden="0" customWidth="1"/>
    <x:col min="6" max="6" width="30" hidden="0" customWidth="1"/>
    <x:col min="7" max="7" width="45" hidden="0" customWidth="1"/>
  </x:cols>
  <x:sheetData>
    <x:row r="1" ht="30" customHeight="1">
      <x:c r="A1" s="332" t="str">
        <x:v>KẾT QUẢ RÀ SOÁT XÁC NHẬN - ĐỐI CHIẾU LẠI 930 DÒNG VỚI 28 TRANG PDF</x:v>
      </x:c>
      <x:c r="B1" s="332"/>
      <x:c r="C1" s="332"/>
      <x:c r="D1" s="332"/>
      <x:c r="E1" s="332"/>
      <x:c r="F1" s="332"/>
      <x:c r="G1" s="332"/>
    </x:row>
    <x:row r="2" ht="34" customHeight="1">
      <x:c r="A2" s="337" t="str">
        <x:v>Đã kiểm tra lại toàn bộ họ tên theo từng trang; đồng thời kiểm tra số thứ tự, mã định danh, ngày sinh, ký tự, khoảng trắng và phép tính điểm.</x:v>
      </x:c>
      <x:c r="B2" s="337"/>
      <x:c r="C2" s="337"/>
      <x:c r="D2" s="337"/>
      <x:c r="E2" s="337"/>
      <x:c r="F2" s="337"/>
      <x:c r="G2" s="337"/>
    </x:row>
    <x:row r="4">
      <x:c r="A4" s="342" t="str">
        <x:v>Hạng mục kiểm tra</x:v>
      </x:c>
      <x:c r="B4" s="342" t="str">
        <x:v>Kết quả</x:v>
      </x:c>
    </x:row>
    <x:row r="5">
      <x:c r="A5" s="210" t="str">
        <x:v>Số học sinh đã đối chiếu</x:v>
      </x:c>
      <x:c r="B5" s="68" t="n">
        <x:v>930</x:v>
      </x:c>
    </x:row>
    <x:row r="6">
      <x:c r="A6" s="210" t="str">
        <x:v>Số trang PDF đã đối chiếu</x:v>
      </x:c>
      <x:c r="B6" s="68" t="n">
        <x:v>28</x:v>
      </x:c>
    </x:row>
    <x:row r="7">
      <x:c r="A7" s="210" t="str">
        <x:v>Lỗi còn sót phát hiện và sửa</x:v>
      </x:c>
      <x:c r="B7" s="68" t="n">
        <x:v>2</x:v>
      </x:c>
    </x:row>
    <x:row r="8">
      <x:c r="A8" s="210" t="str">
        <x:v>Số thứ tự thiếu hoặc trùng</x:v>
      </x:c>
      <x:c r="B8" s="68" t="n">
        <x:v>0</x:v>
      </x:c>
    </x:row>
    <x:row r="9">
      <x:c r="A9" s="210" t="str">
        <x:v>Mã định danh trùng hoặc sai định dạng</x:v>
      </x:c>
      <x:c r="B9" s="68" t="n">
        <x:v>0</x:v>
      </x:c>
    </x:row>
    <x:row r="10">
      <x:c r="A10" s="210" t="str">
        <x:v>Ngày sinh không hợp lệ</x:v>
      </x:c>
      <x:c r="B10" s="68" t="n">
        <x:v>0</x:v>
      </x:c>
    </x:row>
    <x:row r="11">
      <x:c r="A11" s="210" t="str">
        <x:v>Ký tự lạ hoặc khoảng trắng bất thường</x:v>
      </x:c>
      <x:c r="B11" s="68" t="n">
        <x:v>0</x:v>
      </x:c>
    </x:row>
    <x:row r="12">
      <x:c r="A12" s="210" t="str">
        <x:v>Sai lệch phép tính điểm xét tuyển</x:v>
      </x:c>
      <x:c r="B12" s="68" t="n">
        <x:v>0</x:v>
      </x:c>
    </x:row>
    <x:row r="13">
      <x:c r="A13" s="210" t="str">
        <x:v>Thứ tự điểm xét tuyển bị đảo</x:v>
      </x:c>
      <x:c r="B13" s="68" t="n">
        <x:v>0</x:v>
      </x:c>
    </x:row>
    <x:row r="15" ht="38" customHeight="1">
      <x:c r="A15" s="342" t="str">
        <x:v>TT</x:v>
      </x:c>
      <x:c r="B15" s="342" t="str">
        <x:v>Trang PDF</x:v>
      </x:c>
      <x:c r="C15" s="342" t="str">
        <x:v>Cột dữ liệu</x:v>
      </x:c>
      <x:c r="D15" s="342" t="str">
        <x:v>Giá trị trước</x:v>
      </x:c>
      <x:c r="E15" s="342" t="str">
        <x:v>Giá trị sau</x:v>
      </x:c>
      <x:c r="F15" s="342" t="str">
        <x:v>Loại lỗi</x:v>
      </x:c>
      <x:c r="G15" s="342" t="str">
        <x:v>Căn cứ sửa</x:v>
      </x:c>
    </x:row>
    <x:row r="16" ht="28" customHeight="1">
      <x:c r="A16" s="363" t="n">
        <x:v>21</x:v>
      </x:c>
      <x:c r="B16" s="364" t="n">
        <x:v>1</x:v>
      </x:c>
      <x:c r="C16" s="358" t="str">
        <x:v>Họ và tên</x:v>
      </x:c>
      <x:c r="D16" s="358" t="str">
        <x:v>ĐẶNG HỒNG LUYẾN</x:v>
      </x:c>
      <x:c r="E16" s="358" t="str">
        <x:v>DƯƠNG HỒNG LUYẾN</x:v>
      </x:c>
      <x:c r="F16" s="358" t="str">
        <x:v>Sai họ do nhận dạng OCR</x:v>
      </x:c>
      <x:c r="G16" s="359" t="str">
        <x:v>Đối chiếu trực tiếp ảnh quét PDF nguồn</x:v>
      </x:c>
    </x:row>
    <x:row r="17" ht="28" customHeight="1">
      <x:c r="A17" s="365" t="n">
        <x:v>217</x:v>
      </x:c>
      <x:c r="B17" s="366" t="n">
        <x:v>7</x:v>
      </x:c>
      <x:c r="C17" s="361" t="str">
        <x:v>Họ và tên</x:v>
      </x:c>
      <x:c r="D17" s="361" t="str">
        <x:v>NGUYỄN PHAN THÙY TRANG</x:v>
      </x:c>
      <x:c r="E17" s="361" t="str">
        <x:v>NGUYỄN PHAN THỦY TRANG</x:v>
      </x:c>
      <x:c r="F17" s="361" t="str">
        <x:v>Sai dấu tiếng Việt do OCR</x:v>
      </x:c>
      <x:c r="G17" s="362" t="str">
        <x:v>Đối chiếu trực tiếp ảnh quét PDF nguồn</x:v>
      </x:c>
    </x:row>
    <x:row r="19">
      <x:c r="A19" s="370" t="str">
        <x:v>Kết luận: Sau khi sửa hai trường hợp trên, chưa phát hiện thêm lỗi chính tả, lỗi ký tự hoặc sai lệch cấu trúc dữ liệu. Các tên riêng có cách viết ít gặp được giữ nguyên đúng theo PDF nguồn.</x:v>
      </x:c>
      <x:c r="B19" s="370"/>
      <x:c r="C19" s="370"/>
      <x:c r="D19" s="370"/>
      <x:c r="E19" s="370"/>
      <x:c r="F19" s="370"/>
      <x:c r="G19" s="370"/>
    </x:row>
    <x:row r="20">
      <x:c r="A20" s="370"/>
      <x:c r="B20" s="370"/>
      <x:c r="C20" s="370"/>
      <x:c r="D20" s="370"/>
      <x:c r="E20" s="370"/>
      <x:c r="F20" s="370"/>
      <x:c r="G20" s="370"/>
    </x:row>
  </x:sheetData>
  <x:mergeCells>
    <x:mergeCell ref="A1:G1"/>
    <x:mergeCell ref="A2:G2"/>
    <x:mergeCell ref="A19:G20"/>
  </x:mergeCells>
  <x:pageMargins left="0.7" right="0.7" top="0.75" bottom="0.75" header="0.3" footer="0.3"/>
  <x:tableParts count="1">
    <x:tablePart xmlns:r="http://schemas.openxmlformats.org/officeDocument/2006/relationships" r:id="R3414a092a7f446fb"/>
  </x:tableParts>
</x:worksheet>
</file>